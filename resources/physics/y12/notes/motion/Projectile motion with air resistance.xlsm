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activeX/activeX2.xml" ContentType="application/vnd.ms-office.activeX+xml"/>
  <Override PartName="/xl/activeX/activeX2.bin" ContentType="application/vnd.ms-office.activeX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xl/activeX/activeX1.bin" ContentType="application/vnd.ms-office.activeX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105" windowWidth="13395" windowHeight="516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15" i="1" l="1"/>
  <c r="R47" i="1" s="1"/>
  <c r="E13" i="1"/>
  <c r="N24" i="1"/>
  <c r="A25" i="1"/>
  <c r="N16" i="1" l="1"/>
  <c r="B20" i="1" s="1"/>
  <c r="C24" i="1" s="1"/>
  <c r="A26" i="1"/>
  <c r="J24" i="1" l="1"/>
  <c r="C25" i="1"/>
  <c r="E24" i="1" s="1"/>
  <c r="B19" i="1"/>
  <c r="I24" i="1" s="1"/>
  <c r="C26" i="1"/>
  <c r="A27" i="1"/>
  <c r="L24" i="1" l="1"/>
  <c r="F25" i="1" s="1"/>
  <c r="D24" i="1"/>
  <c r="B24" i="1"/>
  <c r="E25" i="1"/>
  <c r="K24" i="1"/>
  <c r="C27" i="1"/>
  <c r="E26" i="1" s="1"/>
  <c r="A28" i="1"/>
  <c r="G25" i="1" l="1"/>
  <c r="I25" i="1" s="1"/>
  <c r="D26" i="1"/>
  <c r="D25" i="1"/>
  <c r="B25" i="1"/>
  <c r="B26" i="1" s="1"/>
  <c r="H25" i="1"/>
  <c r="J25" i="1" s="1"/>
  <c r="C28" i="1"/>
  <c r="E27" i="1" s="1"/>
  <c r="A29" i="1"/>
  <c r="K25" i="1" l="1"/>
  <c r="D27" i="1"/>
  <c r="B27" i="1"/>
  <c r="N25" i="1"/>
  <c r="P24" i="1" s="1"/>
  <c r="O24" i="1" s="1"/>
  <c r="L25" i="1"/>
  <c r="F26" i="1" s="1"/>
  <c r="C29" i="1"/>
  <c r="E28" i="1" s="1"/>
  <c r="A30" i="1"/>
  <c r="H26" i="1" l="1"/>
  <c r="J26" i="1" s="1"/>
  <c r="N26" i="1" s="1"/>
  <c r="P25" i="1" s="1"/>
  <c r="D28" i="1"/>
  <c r="B28" i="1"/>
  <c r="G26" i="1"/>
  <c r="I26" i="1" s="1"/>
  <c r="C30" i="1"/>
  <c r="E29" i="1" s="1"/>
  <c r="A31" i="1"/>
  <c r="K26" i="1" l="1"/>
  <c r="D29" i="1"/>
  <c r="B29" i="1"/>
  <c r="L26" i="1"/>
  <c r="F27" i="1" s="1"/>
  <c r="O25" i="1"/>
  <c r="M25" i="1"/>
  <c r="A32" i="1"/>
  <c r="C31" i="1"/>
  <c r="E30" i="1" s="1"/>
  <c r="H27" i="1" l="1"/>
  <c r="J27" i="1" s="1"/>
  <c r="N27" i="1" s="1"/>
  <c r="P26" i="1" s="1"/>
  <c r="D30" i="1"/>
  <c r="B30" i="1"/>
  <c r="G27" i="1"/>
  <c r="I27" i="1" s="1"/>
  <c r="C32" i="1"/>
  <c r="E31" i="1" s="1"/>
  <c r="A33" i="1"/>
  <c r="K27" i="1" l="1"/>
  <c r="D31" i="1"/>
  <c r="B31" i="1"/>
  <c r="L27" i="1"/>
  <c r="F28" i="1" s="1"/>
  <c r="O26" i="1"/>
  <c r="M26" i="1"/>
  <c r="C33" i="1"/>
  <c r="E32" i="1" s="1"/>
  <c r="A34" i="1"/>
  <c r="G28" i="1" l="1"/>
  <c r="I28" i="1" s="1"/>
  <c r="D32" i="1"/>
  <c r="B32" i="1"/>
  <c r="H28" i="1"/>
  <c r="J28" i="1" s="1"/>
  <c r="C34" i="1"/>
  <c r="E33" i="1" s="1"/>
  <c r="A35" i="1"/>
  <c r="K28" i="1" l="1"/>
  <c r="D33" i="1"/>
  <c r="B33" i="1"/>
  <c r="L28" i="1"/>
  <c r="F29" i="1" s="1"/>
  <c r="N28" i="1"/>
  <c r="P27" i="1" s="1"/>
  <c r="O27" i="1" s="1"/>
  <c r="C35" i="1"/>
  <c r="E34" i="1" s="1"/>
  <c r="A36" i="1"/>
  <c r="G29" i="1" l="1"/>
  <c r="I29" i="1" s="1"/>
  <c r="D34" i="1"/>
  <c r="B34" i="1"/>
  <c r="H29" i="1"/>
  <c r="J29" i="1" s="1"/>
  <c r="M27" i="1"/>
  <c r="C36" i="1"/>
  <c r="E35" i="1" s="1"/>
  <c r="A37" i="1"/>
  <c r="K29" i="1" l="1"/>
  <c r="D35" i="1"/>
  <c r="B35" i="1"/>
  <c r="N29" i="1"/>
  <c r="P28" i="1" s="1"/>
  <c r="L29" i="1"/>
  <c r="F30" i="1" s="1"/>
  <c r="A38" i="1"/>
  <c r="C37" i="1"/>
  <c r="E36" i="1" s="1"/>
  <c r="H30" i="1" l="1"/>
  <c r="J30" i="1" s="1"/>
  <c r="N30" i="1" s="1"/>
  <c r="P29" i="1" s="1"/>
  <c r="D36" i="1"/>
  <c r="B36" i="1"/>
  <c r="G30" i="1"/>
  <c r="I30" i="1" s="1"/>
  <c r="M28" i="1"/>
  <c r="O28" i="1"/>
  <c r="C38" i="1"/>
  <c r="E37" i="1" s="1"/>
  <c r="A39" i="1"/>
  <c r="K30" i="1" l="1"/>
  <c r="D37" i="1"/>
  <c r="B37" i="1"/>
  <c r="L30" i="1"/>
  <c r="F31" i="1" s="1"/>
  <c r="O29" i="1"/>
  <c r="M29" i="1"/>
  <c r="A40" i="1"/>
  <c r="C39" i="1"/>
  <c r="E38" i="1" s="1"/>
  <c r="H31" i="1" l="1"/>
  <c r="J31" i="1" s="1"/>
  <c r="N31" i="1" s="1"/>
  <c r="P30" i="1" s="1"/>
  <c r="D38" i="1"/>
  <c r="B38" i="1"/>
  <c r="G31" i="1"/>
  <c r="I31" i="1" s="1"/>
  <c r="A41" i="1"/>
  <c r="C40" i="1"/>
  <c r="E39" i="1" s="1"/>
  <c r="K31" i="1" l="1"/>
  <c r="D39" i="1"/>
  <c r="B39" i="1"/>
  <c r="L31" i="1"/>
  <c r="F32" i="1" s="1"/>
  <c r="O30" i="1"/>
  <c r="M30" i="1"/>
  <c r="C41" i="1"/>
  <c r="E40" i="1" s="1"/>
  <c r="A42" i="1"/>
  <c r="H32" i="1" l="1"/>
  <c r="J32" i="1" s="1"/>
  <c r="N32" i="1" s="1"/>
  <c r="P31" i="1" s="1"/>
  <c r="D40" i="1"/>
  <c r="B40" i="1"/>
  <c r="G32" i="1"/>
  <c r="I32" i="1" s="1"/>
  <c r="A43" i="1"/>
  <c r="C42" i="1"/>
  <c r="E41" i="1" s="1"/>
  <c r="K32" i="1" l="1"/>
  <c r="D41" i="1"/>
  <c r="B41" i="1"/>
  <c r="L32" i="1"/>
  <c r="F33" i="1" s="1"/>
  <c r="O31" i="1"/>
  <c r="M31" i="1"/>
  <c r="C43" i="1"/>
  <c r="E42" i="1" s="1"/>
  <c r="A44" i="1"/>
  <c r="G33" i="1" l="1"/>
  <c r="I33" i="1" s="1"/>
  <c r="D42" i="1"/>
  <c r="B42" i="1"/>
  <c r="H33" i="1"/>
  <c r="J33" i="1" s="1"/>
  <c r="A45" i="1"/>
  <c r="C44" i="1"/>
  <c r="E43" i="1" s="1"/>
  <c r="K33" i="1" l="1"/>
  <c r="D43" i="1"/>
  <c r="B43" i="1"/>
  <c r="N33" i="1"/>
  <c r="P32" i="1" s="1"/>
  <c r="M32" i="1" s="1"/>
  <c r="L33" i="1"/>
  <c r="F34" i="1" s="1"/>
  <c r="C45" i="1"/>
  <c r="E44" i="1" s="1"/>
  <c r="A46" i="1"/>
  <c r="G34" i="1" l="1"/>
  <c r="I34" i="1" s="1"/>
  <c r="H34" i="1"/>
  <c r="J34" i="1" s="1"/>
  <c r="N34" i="1" s="1"/>
  <c r="P33" i="1" s="1"/>
  <c r="D44" i="1"/>
  <c r="B44" i="1"/>
  <c r="O32" i="1"/>
  <c r="C46" i="1"/>
  <c r="E45" i="1" s="1"/>
  <c r="A47" i="1"/>
  <c r="L34" i="1" l="1"/>
  <c r="F35" i="1" s="1"/>
  <c r="K34" i="1"/>
  <c r="D45" i="1"/>
  <c r="B45" i="1"/>
  <c r="O33" i="1"/>
  <c r="M33" i="1"/>
  <c r="A48" i="1"/>
  <c r="C47" i="1"/>
  <c r="E46" i="1" s="1"/>
  <c r="H35" i="1" l="1"/>
  <c r="J35" i="1" s="1"/>
  <c r="N35" i="1" s="1"/>
  <c r="P34" i="1" s="1"/>
  <c r="G35" i="1"/>
  <c r="I35" i="1" s="1"/>
  <c r="D46" i="1"/>
  <c r="B46" i="1"/>
  <c r="A49" i="1"/>
  <c r="C48" i="1"/>
  <c r="E47" i="1" s="1"/>
  <c r="K35" i="1" l="1"/>
  <c r="L35" i="1"/>
  <c r="F36" i="1" s="1"/>
  <c r="D47" i="1"/>
  <c r="B47" i="1"/>
  <c r="O34" i="1"/>
  <c r="M34" i="1"/>
  <c r="C49" i="1"/>
  <c r="E48" i="1" s="1"/>
  <c r="A50" i="1"/>
  <c r="G36" i="1" l="1"/>
  <c r="I36" i="1" s="1"/>
  <c r="H36" i="1"/>
  <c r="J36" i="1" s="1"/>
  <c r="D48" i="1"/>
  <c r="B48" i="1"/>
  <c r="C50" i="1"/>
  <c r="E49" i="1" s="1"/>
  <c r="A51" i="1"/>
  <c r="K36" i="1" l="1"/>
  <c r="N36" i="1"/>
  <c r="P35" i="1" s="1"/>
  <c r="M35" i="1" s="1"/>
  <c r="L36" i="1"/>
  <c r="F37" i="1" s="1"/>
  <c r="D49" i="1"/>
  <c r="B49" i="1"/>
  <c r="C51" i="1"/>
  <c r="E50" i="1" s="1"/>
  <c r="A52" i="1"/>
  <c r="H37" i="1" l="1"/>
  <c r="J37" i="1" s="1"/>
  <c r="N37" i="1" s="1"/>
  <c r="P36" i="1" s="1"/>
  <c r="G37" i="1"/>
  <c r="I37" i="1" s="1"/>
  <c r="O35" i="1"/>
  <c r="D50" i="1"/>
  <c r="B50" i="1"/>
  <c r="C52" i="1"/>
  <c r="E51" i="1" s="1"/>
  <c r="A53" i="1"/>
  <c r="K37" i="1" l="1"/>
  <c r="L37" i="1"/>
  <c r="F38" i="1" s="1"/>
  <c r="D51" i="1"/>
  <c r="B51" i="1"/>
  <c r="O36" i="1"/>
  <c r="M36" i="1"/>
  <c r="C53" i="1"/>
  <c r="E52" i="1" s="1"/>
  <c r="A54" i="1"/>
  <c r="G38" i="1" l="1"/>
  <c r="I38" i="1" s="1"/>
  <c r="H38" i="1"/>
  <c r="J38" i="1" s="1"/>
  <c r="D52" i="1"/>
  <c r="B52" i="1"/>
  <c r="C54" i="1"/>
  <c r="E53" i="1" s="1"/>
  <c r="A55" i="1"/>
  <c r="K38" i="1" l="1"/>
  <c r="L38" i="1"/>
  <c r="F39" i="1" s="1"/>
  <c r="N38" i="1"/>
  <c r="P37" i="1" s="1"/>
  <c r="O37" i="1" s="1"/>
  <c r="D53" i="1"/>
  <c r="B53" i="1"/>
  <c r="C55" i="1"/>
  <c r="E54" i="1" s="1"/>
  <c r="A56" i="1"/>
  <c r="G39" i="1" l="1"/>
  <c r="I39" i="1" s="1"/>
  <c r="H39" i="1"/>
  <c r="J39" i="1" s="1"/>
  <c r="N39" i="1" s="1"/>
  <c r="P38" i="1" s="1"/>
  <c r="M37" i="1"/>
  <c r="D54" i="1"/>
  <c r="B54" i="1"/>
  <c r="A57" i="1"/>
  <c r="C56" i="1"/>
  <c r="E55" i="1" s="1"/>
  <c r="K39" i="1" l="1"/>
  <c r="L39" i="1"/>
  <c r="F40" i="1" s="1"/>
  <c r="D55" i="1"/>
  <c r="B55" i="1"/>
  <c r="O38" i="1"/>
  <c r="M38" i="1"/>
  <c r="C57" i="1"/>
  <c r="E56" i="1" s="1"/>
  <c r="A58" i="1"/>
  <c r="H40" i="1" l="1"/>
  <c r="J40" i="1" s="1"/>
  <c r="N40" i="1" s="1"/>
  <c r="P39" i="1" s="1"/>
  <c r="G40" i="1"/>
  <c r="I40" i="1" s="1"/>
  <c r="D56" i="1"/>
  <c r="B56" i="1"/>
  <c r="C58" i="1"/>
  <c r="E57" i="1" s="1"/>
  <c r="A59" i="1"/>
  <c r="K40" i="1" l="1"/>
  <c r="L40" i="1"/>
  <c r="F41" i="1" s="1"/>
  <c r="D57" i="1"/>
  <c r="B57" i="1"/>
  <c r="O39" i="1"/>
  <c r="M39" i="1"/>
  <c r="C59" i="1"/>
  <c r="E58" i="1" s="1"/>
  <c r="A60" i="1"/>
  <c r="H41" i="1" l="1"/>
  <c r="J41" i="1" s="1"/>
  <c r="N41" i="1" s="1"/>
  <c r="P40" i="1" s="1"/>
  <c r="G41" i="1"/>
  <c r="I41" i="1" s="1"/>
  <c r="D58" i="1"/>
  <c r="B58" i="1"/>
  <c r="C60" i="1"/>
  <c r="E59" i="1" s="1"/>
  <c r="A61" i="1"/>
  <c r="K41" i="1" l="1"/>
  <c r="L41" i="1"/>
  <c r="F42" i="1" s="1"/>
  <c r="D59" i="1"/>
  <c r="B59" i="1"/>
  <c r="O40" i="1"/>
  <c r="M40" i="1"/>
  <c r="C61" i="1"/>
  <c r="E60" i="1" s="1"/>
  <c r="A62" i="1"/>
  <c r="H42" i="1" l="1"/>
  <c r="J42" i="1" s="1"/>
  <c r="N42" i="1" s="1"/>
  <c r="P41" i="1" s="1"/>
  <c r="G42" i="1"/>
  <c r="I42" i="1" s="1"/>
  <c r="D60" i="1"/>
  <c r="B60" i="1"/>
  <c r="C62" i="1"/>
  <c r="E61" i="1" s="1"/>
  <c r="A63" i="1"/>
  <c r="K42" i="1" l="1"/>
  <c r="L42" i="1"/>
  <c r="F43" i="1" s="1"/>
  <c r="D61" i="1"/>
  <c r="B61" i="1"/>
  <c r="O41" i="1"/>
  <c r="M41" i="1"/>
  <c r="A64" i="1"/>
  <c r="C63" i="1"/>
  <c r="E62" i="1" s="1"/>
  <c r="G43" i="1" l="1"/>
  <c r="I43" i="1" s="1"/>
  <c r="H43" i="1"/>
  <c r="J43" i="1" s="1"/>
  <c r="N43" i="1" s="1"/>
  <c r="P42" i="1" s="1"/>
  <c r="D62" i="1"/>
  <c r="B62" i="1"/>
  <c r="A65" i="1"/>
  <c r="C64" i="1"/>
  <c r="E63" i="1" s="1"/>
  <c r="K43" i="1" l="1"/>
  <c r="L43" i="1"/>
  <c r="F44" i="1" s="1"/>
  <c r="D63" i="1"/>
  <c r="B63" i="1"/>
  <c r="O42" i="1"/>
  <c r="M42" i="1"/>
  <c r="A66" i="1"/>
  <c r="C65" i="1"/>
  <c r="E64" i="1" s="1"/>
  <c r="G44" i="1" l="1"/>
  <c r="I44" i="1" s="1"/>
  <c r="H44" i="1"/>
  <c r="J44" i="1" s="1"/>
  <c r="D64" i="1"/>
  <c r="B64" i="1"/>
  <c r="A67" i="1"/>
  <c r="C66" i="1"/>
  <c r="E65" i="1" s="1"/>
  <c r="K44" i="1" l="1"/>
  <c r="L44" i="1"/>
  <c r="F45" i="1" s="1"/>
  <c r="N44" i="1"/>
  <c r="P43" i="1" s="1"/>
  <c r="O43" i="1" s="1"/>
  <c r="D65" i="1"/>
  <c r="B65" i="1"/>
  <c r="C67" i="1"/>
  <c r="E66" i="1" s="1"/>
  <c r="A68" i="1"/>
  <c r="G45" i="1" l="1"/>
  <c r="I45" i="1" s="1"/>
  <c r="M43" i="1"/>
  <c r="H45" i="1"/>
  <c r="J45" i="1" s="1"/>
  <c r="D66" i="1"/>
  <c r="B66" i="1"/>
  <c r="A69" i="1"/>
  <c r="C68" i="1"/>
  <c r="E67" i="1" s="1"/>
  <c r="K45" i="1" l="1"/>
  <c r="N45" i="1"/>
  <c r="P44" i="1" s="1"/>
  <c r="M44" i="1" s="1"/>
  <c r="L45" i="1"/>
  <c r="F46" i="1" s="1"/>
  <c r="D67" i="1"/>
  <c r="B67" i="1"/>
  <c r="C69" i="1"/>
  <c r="E68" i="1" s="1"/>
  <c r="A70" i="1"/>
  <c r="H46" i="1" l="1"/>
  <c r="J46" i="1" s="1"/>
  <c r="N46" i="1" s="1"/>
  <c r="P45" i="1" s="1"/>
  <c r="O44" i="1"/>
  <c r="G46" i="1"/>
  <c r="I46" i="1" s="1"/>
  <c r="D68" i="1"/>
  <c r="B68" i="1"/>
  <c r="C70" i="1"/>
  <c r="E69" i="1" s="1"/>
  <c r="A71" i="1"/>
  <c r="K46" i="1" l="1"/>
  <c r="L46" i="1"/>
  <c r="F47" i="1" s="1"/>
  <c r="D69" i="1"/>
  <c r="B69" i="1"/>
  <c r="O45" i="1"/>
  <c r="M45" i="1"/>
  <c r="C71" i="1"/>
  <c r="E70" i="1" s="1"/>
  <c r="A72" i="1"/>
  <c r="G47" i="1" l="1"/>
  <c r="I47" i="1" s="1"/>
  <c r="H47" i="1"/>
  <c r="J47" i="1" s="1"/>
  <c r="D70" i="1"/>
  <c r="B70" i="1"/>
  <c r="A73" i="1"/>
  <c r="C72" i="1"/>
  <c r="E71" i="1" s="1"/>
  <c r="K47" i="1" l="1"/>
  <c r="L47" i="1"/>
  <c r="F48" i="1" s="1"/>
  <c r="N47" i="1"/>
  <c r="P46" i="1" s="1"/>
  <c r="O46" i="1" s="1"/>
  <c r="D71" i="1"/>
  <c r="B71" i="1"/>
  <c r="C73" i="1"/>
  <c r="E72" i="1" s="1"/>
  <c r="A74" i="1"/>
  <c r="G48" i="1" l="1"/>
  <c r="I48" i="1" s="1"/>
  <c r="H48" i="1"/>
  <c r="J48" i="1" s="1"/>
  <c r="N48" i="1" s="1"/>
  <c r="P47" i="1" s="1"/>
  <c r="M46" i="1"/>
  <c r="D72" i="1"/>
  <c r="B72" i="1"/>
  <c r="A75" i="1"/>
  <c r="C74" i="1"/>
  <c r="E73" i="1" s="1"/>
  <c r="L48" i="1" l="1"/>
  <c r="F49" i="1" s="1"/>
  <c r="K48" i="1"/>
  <c r="D73" i="1"/>
  <c r="B73" i="1"/>
  <c r="O47" i="1"/>
  <c r="M47" i="1"/>
  <c r="C75" i="1"/>
  <c r="E74" i="1" s="1"/>
  <c r="A76" i="1"/>
  <c r="H49" i="1" l="1"/>
  <c r="J49" i="1" s="1"/>
  <c r="N49" i="1" s="1"/>
  <c r="P48" i="1" s="1"/>
  <c r="G49" i="1"/>
  <c r="I49" i="1" s="1"/>
  <c r="D74" i="1"/>
  <c r="B74" i="1"/>
  <c r="C76" i="1"/>
  <c r="E75" i="1" s="1"/>
  <c r="A77" i="1"/>
  <c r="K49" i="1" l="1"/>
  <c r="L49" i="1"/>
  <c r="F50" i="1" s="1"/>
  <c r="D75" i="1"/>
  <c r="B75" i="1"/>
  <c r="O48" i="1"/>
  <c r="M48" i="1"/>
  <c r="C77" i="1"/>
  <c r="E76" i="1" s="1"/>
  <c r="A78" i="1"/>
  <c r="H50" i="1" l="1"/>
  <c r="J50" i="1" s="1"/>
  <c r="N50" i="1" s="1"/>
  <c r="P49" i="1" s="1"/>
  <c r="G50" i="1"/>
  <c r="I50" i="1" s="1"/>
  <c r="D76" i="1"/>
  <c r="B76" i="1"/>
  <c r="A79" i="1"/>
  <c r="C78" i="1"/>
  <c r="E77" i="1" s="1"/>
  <c r="L50" i="1" l="1"/>
  <c r="F51" i="1" s="1"/>
  <c r="K50" i="1"/>
  <c r="D77" i="1"/>
  <c r="B77" i="1"/>
  <c r="O49" i="1"/>
  <c r="M49" i="1"/>
  <c r="C79" i="1"/>
  <c r="E78" i="1" s="1"/>
  <c r="A80" i="1"/>
  <c r="H51" i="1" l="1"/>
  <c r="J51" i="1" s="1"/>
  <c r="N51" i="1" s="1"/>
  <c r="P50" i="1" s="1"/>
  <c r="G51" i="1"/>
  <c r="I51" i="1" s="1"/>
  <c r="D78" i="1"/>
  <c r="B78" i="1"/>
  <c r="C80" i="1"/>
  <c r="E79" i="1" s="1"/>
  <c r="A81" i="1"/>
  <c r="K51" i="1" l="1"/>
  <c r="L51" i="1"/>
  <c r="F52" i="1" s="1"/>
  <c r="D79" i="1"/>
  <c r="B79" i="1"/>
  <c r="O50" i="1"/>
  <c r="M50" i="1"/>
  <c r="A82" i="1"/>
  <c r="C81" i="1"/>
  <c r="E80" i="1" s="1"/>
  <c r="G52" i="1" l="1"/>
  <c r="I52" i="1" s="1"/>
  <c r="H52" i="1"/>
  <c r="J52" i="1" s="1"/>
  <c r="D80" i="1"/>
  <c r="B80" i="1"/>
  <c r="C82" i="1"/>
  <c r="E81" i="1" s="1"/>
  <c r="A83" i="1"/>
  <c r="K52" i="1" l="1"/>
  <c r="L52" i="1"/>
  <c r="F53" i="1" s="1"/>
  <c r="N52" i="1"/>
  <c r="P51" i="1" s="1"/>
  <c r="O51" i="1" s="1"/>
  <c r="D81" i="1"/>
  <c r="B81" i="1"/>
  <c r="C83" i="1"/>
  <c r="E82" i="1" s="1"/>
  <c r="A84" i="1"/>
  <c r="G53" i="1" l="1"/>
  <c r="I53" i="1" s="1"/>
  <c r="H53" i="1"/>
  <c r="J53" i="1" s="1"/>
  <c r="N53" i="1" s="1"/>
  <c r="P52" i="1" s="1"/>
  <c r="M51" i="1"/>
  <c r="D82" i="1"/>
  <c r="B82" i="1"/>
  <c r="C84" i="1"/>
  <c r="E83" i="1" s="1"/>
  <c r="A85" i="1"/>
  <c r="K53" i="1" l="1"/>
  <c r="L53" i="1"/>
  <c r="F54" i="1" s="1"/>
  <c r="D83" i="1"/>
  <c r="B83" i="1"/>
  <c r="O52" i="1"/>
  <c r="M52" i="1"/>
  <c r="C85" i="1"/>
  <c r="E84" i="1" s="1"/>
  <c r="A86" i="1"/>
  <c r="G54" i="1" l="1"/>
  <c r="I54" i="1" s="1"/>
  <c r="H54" i="1"/>
  <c r="J54" i="1" s="1"/>
  <c r="D84" i="1"/>
  <c r="B84" i="1"/>
  <c r="C86" i="1"/>
  <c r="E85" i="1" s="1"/>
  <c r="A87" i="1"/>
  <c r="K54" i="1" l="1"/>
  <c r="N54" i="1"/>
  <c r="P53" i="1" s="1"/>
  <c r="M53" i="1" s="1"/>
  <c r="L54" i="1"/>
  <c r="F55" i="1" s="1"/>
  <c r="D85" i="1"/>
  <c r="B85" i="1"/>
  <c r="A88" i="1"/>
  <c r="C87" i="1"/>
  <c r="E86" i="1" s="1"/>
  <c r="G55" i="1" l="1"/>
  <c r="I55" i="1" s="1"/>
  <c r="O53" i="1"/>
  <c r="H55" i="1"/>
  <c r="J55" i="1" s="1"/>
  <c r="D86" i="1"/>
  <c r="B86" i="1"/>
  <c r="C88" i="1"/>
  <c r="E87" i="1" s="1"/>
  <c r="A89" i="1"/>
  <c r="K55" i="1" l="1"/>
  <c r="L55" i="1"/>
  <c r="F56" i="1" s="1"/>
  <c r="N55" i="1"/>
  <c r="P54" i="1" s="1"/>
  <c r="O54" i="1" s="1"/>
  <c r="D87" i="1"/>
  <c r="B87" i="1"/>
  <c r="A90" i="1"/>
  <c r="C89" i="1"/>
  <c r="E88" i="1" s="1"/>
  <c r="H56" i="1" l="1"/>
  <c r="J56" i="1" s="1"/>
  <c r="G56" i="1"/>
  <c r="I56" i="1" s="1"/>
  <c r="M54" i="1"/>
  <c r="D88" i="1"/>
  <c r="B88" i="1"/>
  <c r="C90" i="1"/>
  <c r="E89" i="1" s="1"/>
  <c r="A91" i="1"/>
  <c r="L56" i="1" l="1"/>
  <c r="F57" i="1" s="1"/>
  <c r="K56" i="1"/>
  <c r="N56" i="1"/>
  <c r="P55" i="1" s="1"/>
  <c r="O55" i="1" s="1"/>
  <c r="D89" i="1"/>
  <c r="B89" i="1"/>
  <c r="C91" i="1"/>
  <c r="E90" i="1" s="1"/>
  <c r="A92" i="1"/>
  <c r="G57" i="1" l="1"/>
  <c r="I57" i="1" s="1"/>
  <c r="H57" i="1"/>
  <c r="J57" i="1" s="1"/>
  <c r="M55" i="1"/>
  <c r="D90" i="1"/>
  <c r="B90" i="1"/>
  <c r="C92" i="1"/>
  <c r="E91" i="1" s="1"/>
  <c r="A93" i="1"/>
  <c r="L57" i="1" l="1"/>
  <c r="F58" i="1" s="1"/>
  <c r="K57" i="1"/>
  <c r="N57" i="1"/>
  <c r="P56" i="1" s="1"/>
  <c r="O56" i="1" s="1"/>
  <c r="D91" i="1"/>
  <c r="B91" i="1"/>
  <c r="C93" i="1"/>
  <c r="E92" i="1" s="1"/>
  <c r="A94" i="1"/>
  <c r="G58" i="1" l="1"/>
  <c r="I58" i="1" s="1"/>
  <c r="H58" i="1"/>
  <c r="J58" i="1" s="1"/>
  <c r="N58" i="1" s="1"/>
  <c r="P57" i="1" s="1"/>
  <c r="M56" i="1"/>
  <c r="D92" i="1"/>
  <c r="B92" i="1"/>
  <c r="A95" i="1"/>
  <c r="C94" i="1"/>
  <c r="E93" i="1" s="1"/>
  <c r="K58" i="1" l="1"/>
  <c r="L58" i="1"/>
  <c r="F59" i="1" s="1"/>
  <c r="D93" i="1"/>
  <c r="B93" i="1"/>
  <c r="O57" i="1"/>
  <c r="M57" i="1"/>
  <c r="C95" i="1"/>
  <c r="E94" i="1" s="1"/>
  <c r="A96" i="1"/>
  <c r="G59" i="1" l="1"/>
  <c r="I59" i="1" s="1"/>
  <c r="H59" i="1"/>
  <c r="J59" i="1" s="1"/>
  <c r="D94" i="1"/>
  <c r="B94" i="1"/>
  <c r="C96" i="1"/>
  <c r="E95" i="1" s="1"/>
  <c r="A97" i="1"/>
  <c r="K59" i="1" l="1"/>
  <c r="L59" i="1"/>
  <c r="F60" i="1" s="1"/>
  <c r="N59" i="1"/>
  <c r="P58" i="1" s="1"/>
  <c r="O58" i="1" s="1"/>
  <c r="D95" i="1"/>
  <c r="B95" i="1"/>
  <c r="C97" i="1"/>
  <c r="E96" i="1" s="1"/>
  <c r="A98" i="1"/>
  <c r="G60" i="1" l="1"/>
  <c r="I60" i="1" s="1"/>
  <c r="H60" i="1"/>
  <c r="J60" i="1" s="1"/>
  <c r="N60" i="1" s="1"/>
  <c r="P59" i="1" s="1"/>
  <c r="M58" i="1"/>
  <c r="D96" i="1"/>
  <c r="B96" i="1"/>
  <c r="C98" i="1"/>
  <c r="E97" i="1" s="1"/>
  <c r="A99" i="1"/>
  <c r="K60" i="1" l="1"/>
  <c r="L60" i="1"/>
  <c r="F61" i="1" s="1"/>
  <c r="D97" i="1"/>
  <c r="B97" i="1"/>
  <c r="O59" i="1"/>
  <c r="M59" i="1"/>
  <c r="A100" i="1"/>
  <c r="C99" i="1"/>
  <c r="E98" i="1" s="1"/>
  <c r="G61" i="1" l="1"/>
  <c r="I61" i="1" s="1"/>
  <c r="H61" i="1"/>
  <c r="J61" i="1" s="1"/>
  <c r="D98" i="1"/>
  <c r="B98" i="1"/>
  <c r="A101" i="1"/>
  <c r="C100" i="1"/>
  <c r="E99" i="1" s="1"/>
  <c r="K61" i="1" l="1"/>
  <c r="N61" i="1"/>
  <c r="P60" i="1" s="1"/>
  <c r="M60" i="1" s="1"/>
  <c r="L61" i="1"/>
  <c r="F62" i="1" s="1"/>
  <c r="D99" i="1"/>
  <c r="B99" i="1"/>
  <c r="C101" i="1"/>
  <c r="E100" i="1" s="1"/>
  <c r="A102" i="1"/>
  <c r="G62" i="1" l="1"/>
  <c r="I62" i="1" s="1"/>
  <c r="O60" i="1"/>
  <c r="H62" i="1"/>
  <c r="J62" i="1" s="1"/>
  <c r="D100" i="1"/>
  <c r="B100" i="1"/>
  <c r="C102" i="1"/>
  <c r="E101" i="1" s="1"/>
  <c r="A103" i="1"/>
  <c r="K62" i="1" l="1"/>
  <c r="N62" i="1"/>
  <c r="P61" i="1" s="1"/>
  <c r="M61" i="1" s="1"/>
  <c r="L62" i="1"/>
  <c r="F63" i="1" s="1"/>
  <c r="D101" i="1"/>
  <c r="B101" i="1"/>
  <c r="C103" i="1"/>
  <c r="E102" i="1" s="1"/>
  <c r="A104" i="1"/>
  <c r="H63" i="1" l="1"/>
  <c r="J63" i="1" s="1"/>
  <c r="N63" i="1" s="1"/>
  <c r="P62" i="1" s="1"/>
  <c r="O61" i="1"/>
  <c r="G63" i="1"/>
  <c r="I63" i="1" s="1"/>
  <c r="D102" i="1"/>
  <c r="B102" i="1"/>
  <c r="C104" i="1"/>
  <c r="E103" i="1" s="1"/>
  <c r="A105" i="1"/>
  <c r="K63" i="1" l="1"/>
  <c r="L63" i="1"/>
  <c r="F64" i="1" s="1"/>
  <c r="D103" i="1"/>
  <c r="B103" i="1"/>
  <c r="O62" i="1"/>
  <c r="M62" i="1"/>
  <c r="C105" i="1"/>
  <c r="E104" i="1" s="1"/>
  <c r="A106" i="1"/>
  <c r="G64" i="1" l="1"/>
  <c r="I64" i="1" s="1"/>
  <c r="H64" i="1"/>
  <c r="J64" i="1" s="1"/>
  <c r="D104" i="1"/>
  <c r="B104" i="1"/>
  <c r="C106" i="1"/>
  <c r="E105" i="1" s="1"/>
  <c r="A107" i="1"/>
  <c r="K64" i="1" l="1"/>
  <c r="L64" i="1"/>
  <c r="F65" i="1" s="1"/>
  <c r="N64" i="1"/>
  <c r="P63" i="1" s="1"/>
  <c r="O63" i="1" s="1"/>
  <c r="D105" i="1"/>
  <c r="B105" i="1"/>
  <c r="C107" i="1"/>
  <c r="E106" i="1" s="1"/>
  <c r="A108" i="1"/>
  <c r="H65" i="1" l="1"/>
  <c r="J65" i="1" s="1"/>
  <c r="N65" i="1" s="1"/>
  <c r="P64" i="1" s="1"/>
  <c r="G65" i="1"/>
  <c r="I65" i="1" s="1"/>
  <c r="M63" i="1"/>
  <c r="D106" i="1"/>
  <c r="B106" i="1"/>
  <c r="C108" i="1"/>
  <c r="E107" i="1" s="1"/>
  <c r="A109" i="1"/>
  <c r="L65" i="1" l="1"/>
  <c r="F66" i="1" s="1"/>
  <c r="K65" i="1"/>
  <c r="D107" i="1"/>
  <c r="B107" i="1"/>
  <c r="O64" i="1"/>
  <c r="M64" i="1"/>
  <c r="A110" i="1"/>
  <c r="C109" i="1"/>
  <c r="E108" i="1" s="1"/>
  <c r="G66" i="1" l="1"/>
  <c r="I66" i="1" s="1"/>
  <c r="H66" i="1"/>
  <c r="J66" i="1" s="1"/>
  <c r="D108" i="1"/>
  <c r="B108" i="1"/>
  <c r="A111" i="1"/>
  <c r="C110" i="1"/>
  <c r="E109" i="1" s="1"/>
  <c r="K66" i="1" l="1"/>
  <c r="N66" i="1"/>
  <c r="P65" i="1" s="1"/>
  <c r="M65" i="1" s="1"/>
  <c r="L66" i="1"/>
  <c r="F67" i="1" s="1"/>
  <c r="D109" i="1"/>
  <c r="B109" i="1"/>
  <c r="A112" i="1"/>
  <c r="C111" i="1"/>
  <c r="E110" i="1" s="1"/>
  <c r="O65" i="1" l="1"/>
  <c r="G67" i="1"/>
  <c r="I67" i="1" s="1"/>
  <c r="H67" i="1"/>
  <c r="J67" i="1" s="1"/>
  <c r="D110" i="1"/>
  <c r="B110" i="1"/>
  <c r="A113" i="1"/>
  <c r="C112" i="1"/>
  <c r="E111" i="1" s="1"/>
  <c r="L67" i="1" l="1"/>
  <c r="F68" i="1" s="1"/>
  <c r="N67" i="1"/>
  <c r="P66" i="1" s="1"/>
  <c r="M66" i="1" s="1"/>
  <c r="K67" i="1"/>
  <c r="D111" i="1"/>
  <c r="B111" i="1"/>
  <c r="A114" i="1"/>
  <c r="C113" i="1"/>
  <c r="E112" i="1" s="1"/>
  <c r="G68" i="1" l="1"/>
  <c r="I68" i="1" s="1"/>
  <c r="O66" i="1"/>
  <c r="H68" i="1"/>
  <c r="J68" i="1" s="1"/>
  <c r="D112" i="1"/>
  <c r="B112" i="1"/>
  <c r="C114" i="1"/>
  <c r="E113" i="1" s="1"/>
  <c r="A115" i="1"/>
  <c r="L68" i="1" l="1"/>
  <c r="F69" i="1" s="1"/>
  <c r="N68" i="1"/>
  <c r="P67" i="1" s="1"/>
  <c r="O67" i="1" s="1"/>
  <c r="K68" i="1"/>
  <c r="D113" i="1"/>
  <c r="B113" i="1"/>
  <c r="C115" i="1"/>
  <c r="E114" i="1" s="1"/>
  <c r="A116" i="1"/>
  <c r="G69" i="1" l="1"/>
  <c r="I69" i="1" s="1"/>
  <c r="M67" i="1"/>
  <c r="H69" i="1"/>
  <c r="J69" i="1" s="1"/>
  <c r="D114" i="1"/>
  <c r="B114" i="1"/>
  <c r="C116" i="1"/>
  <c r="E115" i="1" s="1"/>
  <c r="A117" i="1"/>
  <c r="L69" i="1" l="1"/>
  <c r="F70" i="1" s="1"/>
  <c r="N69" i="1"/>
  <c r="P68" i="1" s="1"/>
  <c r="M68" i="1" s="1"/>
  <c r="K69" i="1"/>
  <c r="D115" i="1"/>
  <c r="B115" i="1"/>
  <c r="C117" i="1"/>
  <c r="E116" i="1" s="1"/>
  <c r="A118" i="1"/>
  <c r="O68" i="1" l="1"/>
  <c r="H70" i="1"/>
  <c r="J70" i="1" s="1"/>
  <c r="N70" i="1" s="1"/>
  <c r="P69" i="1" s="1"/>
  <c r="G70" i="1"/>
  <c r="I70" i="1" s="1"/>
  <c r="D116" i="1"/>
  <c r="B116" i="1"/>
  <c r="A119" i="1"/>
  <c r="C118" i="1"/>
  <c r="E117" i="1" s="1"/>
  <c r="K70" i="1" l="1"/>
  <c r="L70" i="1"/>
  <c r="F71" i="1" s="1"/>
  <c r="D117" i="1"/>
  <c r="B117" i="1"/>
  <c r="O69" i="1"/>
  <c r="M69" i="1"/>
  <c r="C119" i="1"/>
  <c r="E118" i="1" s="1"/>
  <c r="A120" i="1"/>
  <c r="H71" i="1" l="1"/>
  <c r="J71" i="1" s="1"/>
  <c r="N71" i="1" s="1"/>
  <c r="P70" i="1" s="1"/>
  <c r="G71" i="1"/>
  <c r="I71" i="1" s="1"/>
  <c r="D118" i="1"/>
  <c r="B118" i="1"/>
  <c r="C120" i="1"/>
  <c r="E119" i="1" s="1"/>
  <c r="A121" i="1"/>
  <c r="L71" i="1" l="1"/>
  <c r="F72" i="1" s="1"/>
  <c r="K71" i="1"/>
  <c r="D119" i="1"/>
  <c r="B119" i="1"/>
  <c r="O70" i="1"/>
  <c r="M70" i="1"/>
  <c r="C121" i="1"/>
  <c r="E120" i="1" s="1"/>
  <c r="A122" i="1"/>
  <c r="G72" i="1" l="1"/>
  <c r="I72" i="1" s="1"/>
  <c r="H72" i="1"/>
  <c r="J72" i="1" s="1"/>
  <c r="N72" i="1" s="1"/>
  <c r="P71" i="1" s="1"/>
  <c r="D120" i="1"/>
  <c r="B120" i="1"/>
  <c r="A123" i="1"/>
  <c r="C122" i="1"/>
  <c r="E121" i="1" s="1"/>
  <c r="L72" i="1" l="1"/>
  <c r="F73" i="1" s="1"/>
  <c r="K72" i="1"/>
  <c r="D121" i="1"/>
  <c r="B121" i="1"/>
  <c r="O71" i="1"/>
  <c r="M71" i="1"/>
  <c r="C123" i="1"/>
  <c r="E122" i="1" s="1"/>
  <c r="A124" i="1"/>
  <c r="H73" i="1" l="1"/>
  <c r="J73" i="1" s="1"/>
  <c r="N73" i="1" s="1"/>
  <c r="P72" i="1" s="1"/>
  <c r="G73" i="1"/>
  <c r="I73" i="1" s="1"/>
  <c r="D122" i="1"/>
  <c r="B122" i="1"/>
  <c r="C124" i="1"/>
  <c r="E123" i="1" s="1"/>
  <c r="A125" i="1"/>
  <c r="L73" i="1" l="1"/>
  <c r="F74" i="1" s="1"/>
  <c r="K73" i="1"/>
  <c r="D123" i="1"/>
  <c r="B123" i="1"/>
  <c r="O72" i="1"/>
  <c r="M72" i="1"/>
  <c r="A126" i="1"/>
  <c r="C125" i="1"/>
  <c r="E124" i="1" s="1"/>
  <c r="H74" i="1" l="1"/>
  <c r="J74" i="1" s="1"/>
  <c r="N74" i="1" s="1"/>
  <c r="P73" i="1" s="1"/>
  <c r="G74" i="1"/>
  <c r="I74" i="1" s="1"/>
  <c r="D124" i="1"/>
  <c r="B124" i="1"/>
  <c r="C126" i="1"/>
  <c r="E125" i="1" s="1"/>
  <c r="A127" i="1"/>
  <c r="L74" i="1" l="1"/>
  <c r="F75" i="1" s="1"/>
  <c r="K74" i="1"/>
  <c r="D125" i="1"/>
  <c r="B125" i="1"/>
  <c r="O73" i="1"/>
  <c r="M73" i="1"/>
  <c r="C127" i="1"/>
  <c r="E126" i="1" s="1"/>
  <c r="A128" i="1"/>
  <c r="G75" i="1" l="1"/>
  <c r="I75" i="1" s="1"/>
  <c r="H75" i="1"/>
  <c r="J75" i="1" s="1"/>
  <c r="D126" i="1"/>
  <c r="B126" i="1"/>
  <c r="C128" i="1"/>
  <c r="E127" i="1" s="1"/>
  <c r="A129" i="1"/>
  <c r="K75" i="1" l="1"/>
  <c r="N75" i="1"/>
  <c r="P74" i="1" s="1"/>
  <c r="M74" i="1" s="1"/>
  <c r="L75" i="1"/>
  <c r="F76" i="1" s="1"/>
  <c r="D127" i="1"/>
  <c r="B127" i="1"/>
  <c r="A130" i="1"/>
  <c r="C129" i="1"/>
  <c r="E128" i="1" s="1"/>
  <c r="H76" i="1" l="1"/>
  <c r="J76" i="1" s="1"/>
  <c r="N76" i="1" s="1"/>
  <c r="P75" i="1" s="1"/>
  <c r="G76" i="1"/>
  <c r="I76" i="1" s="1"/>
  <c r="O74" i="1"/>
  <c r="D128" i="1"/>
  <c r="B128" i="1"/>
  <c r="C130" i="1"/>
  <c r="E129" i="1" s="1"/>
  <c r="A131" i="1"/>
  <c r="K76" i="1" l="1"/>
  <c r="L76" i="1"/>
  <c r="F77" i="1" s="1"/>
  <c r="D129" i="1"/>
  <c r="B129" i="1"/>
  <c r="O75" i="1"/>
  <c r="M75" i="1"/>
  <c r="C131" i="1"/>
  <c r="E130" i="1" s="1"/>
  <c r="A132" i="1"/>
  <c r="H77" i="1" l="1"/>
  <c r="J77" i="1" s="1"/>
  <c r="N77" i="1" s="1"/>
  <c r="P76" i="1" s="1"/>
  <c r="G77" i="1"/>
  <c r="I77" i="1" s="1"/>
  <c r="D130" i="1"/>
  <c r="B130" i="1"/>
  <c r="C132" i="1"/>
  <c r="E131" i="1" s="1"/>
  <c r="A133" i="1"/>
  <c r="K77" i="1" l="1"/>
  <c r="L77" i="1"/>
  <c r="F78" i="1" s="1"/>
  <c r="D131" i="1"/>
  <c r="B131" i="1"/>
  <c r="O76" i="1"/>
  <c r="M76" i="1"/>
  <c r="A134" i="1"/>
  <c r="C133" i="1"/>
  <c r="E132" i="1" s="1"/>
  <c r="G78" i="1" l="1"/>
  <c r="I78" i="1" s="1"/>
  <c r="H78" i="1"/>
  <c r="J78" i="1" s="1"/>
  <c r="N78" i="1" s="1"/>
  <c r="P77" i="1" s="1"/>
  <c r="D132" i="1"/>
  <c r="B132" i="1"/>
  <c r="C134" i="1"/>
  <c r="E133" i="1" s="1"/>
  <c r="A135" i="1"/>
  <c r="L78" i="1" l="1"/>
  <c r="F79" i="1" s="1"/>
  <c r="K78" i="1"/>
  <c r="D133" i="1"/>
  <c r="B133" i="1"/>
  <c r="O77" i="1"/>
  <c r="M77" i="1"/>
  <c r="C135" i="1"/>
  <c r="E134" i="1" s="1"/>
  <c r="A136" i="1"/>
  <c r="G79" i="1" l="1"/>
  <c r="I79" i="1" s="1"/>
  <c r="H79" i="1"/>
  <c r="J79" i="1" s="1"/>
  <c r="D134" i="1"/>
  <c r="B134" i="1"/>
  <c r="C136" i="1"/>
  <c r="E135" i="1" s="1"/>
  <c r="A137" i="1"/>
  <c r="K79" i="1" l="1"/>
  <c r="L79" i="1"/>
  <c r="F80" i="1" s="1"/>
  <c r="N79" i="1"/>
  <c r="P78" i="1" s="1"/>
  <c r="O78" i="1" s="1"/>
  <c r="D135" i="1"/>
  <c r="B135" i="1"/>
  <c r="A138" i="1"/>
  <c r="C137" i="1"/>
  <c r="E136" i="1" s="1"/>
  <c r="G80" i="1" l="1"/>
  <c r="I80" i="1" s="1"/>
  <c r="H80" i="1"/>
  <c r="J80" i="1" s="1"/>
  <c r="N80" i="1" s="1"/>
  <c r="P79" i="1" s="1"/>
  <c r="M78" i="1"/>
  <c r="D136" i="1"/>
  <c r="B136" i="1"/>
  <c r="A139" i="1"/>
  <c r="C138" i="1"/>
  <c r="E137" i="1" s="1"/>
  <c r="K80" i="1" l="1"/>
  <c r="L80" i="1"/>
  <c r="F81" i="1" s="1"/>
  <c r="D137" i="1"/>
  <c r="B137" i="1"/>
  <c r="O79" i="1"/>
  <c r="M79" i="1"/>
  <c r="C139" i="1"/>
  <c r="E138" i="1" s="1"/>
  <c r="A140" i="1"/>
  <c r="G81" i="1" l="1"/>
  <c r="I81" i="1" s="1"/>
  <c r="H81" i="1"/>
  <c r="J81" i="1" s="1"/>
  <c r="D138" i="1"/>
  <c r="B138" i="1"/>
  <c r="C140" i="1"/>
  <c r="E139" i="1" s="1"/>
  <c r="A141" i="1"/>
  <c r="L81" i="1" l="1"/>
  <c r="F82" i="1" s="1"/>
  <c r="N81" i="1"/>
  <c r="P80" i="1" s="1"/>
  <c r="M80" i="1" s="1"/>
  <c r="K81" i="1"/>
  <c r="D139" i="1"/>
  <c r="B139" i="1"/>
  <c r="C141" i="1"/>
  <c r="E140" i="1" s="1"/>
  <c r="A142" i="1"/>
  <c r="H82" i="1" l="1"/>
  <c r="J82" i="1" s="1"/>
  <c r="N82" i="1" s="1"/>
  <c r="P81" i="1" s="1"/>
  <c r="G82" i="1"/>
  <c r="I82" i="1" s="1"/>
  <c r="O80" i="1"/>
  <c r="D140" i="1"/>
  <c r="B140" i="1"/>
  <c r="A143" i="1"/>
  <c r="C142" i="1"/>
  <c r="E141" i="1" s="1"/>
  <c r="L82" i="1" l="1"/>
  <c r="F83" i="1" s="1"/>
  <c r="K82" i="1"/>
  <c r="D141" i="1"/>
  <c r="B141" i="1"/>
  <c r="O81" i="1"/>
  <c r="M81" i="1"/>
  <c r="C143" i="1"/>
  <c r="E142" i="1" s="1"/>
  <c r="A144" i="1"/>
  <c r="H83" i="1" l="1"/>
  <c r="J83" i="1" s="1"/>
  <c r="N83" i="1" s="1"/>
  <c r="P82" i="1" s="1"/>
  <c r="G83" i="1"/>
  <c r="I83" i="1" s="1"/>
  <c r="D142" i="1"/>
  <c r="B142" i="1"/>
  <c r="A145" i="1"/>
  <c r="C144" i="1"/>
  <c r="E143" i="1" s="1"/>
  <c r="L83" i="1" l="1"/>
  <c r="F84" i="1" s="1"/>
  <c r="K83" i="1"/>
  <c r="D143" i="1"/>
  <c r="B143" i="1"/>
  <c r="O82" i="1"/>
  <c r="M82" i="1"/>
  <c r="C145" i="1"/>
  <c r="E144" i="1" s="1"/>
  <c r="A146" i="1"/>
  <c r="H84" i="1" l="1"/>
  <c r="J84" i="1" s="1"/>
  <c r="N84" i="1" s="1"/>
  <c r="P83" i="1" s="1"/>
  <c r="G84" i="1"/>
  <c r="I84" i="1" s="1"/>
  <c r="D144" i="1"/>
  <c r="B144" i="1"/>
  <c r="C146" i="1"/>
  <c r="E145" i="1" s="1"/>
  <c r="A147" i="1"/>
  <c r="K84" i="1" l="1"/>
  <c r="L84" i="1"/>
  <c r="F85" i="1" s="1"/>
  <c r="D145" i="1"/>
  <c r="B145" i="1"/>
  <c r="O83" i="1"/>
  <c r="M83" i="1"/>
  <c r="C147" i="1"/>
  <c r="E146" i="1" s="1"/>
  <c r="A148" i="1"/>
  <c r="H85" i="1" l="1"/>
  <c r="J85" i="1" s="1"/>
  <c r="N85" i="1" s="1"/>
  <c r="P84" i="1" s="1"/>
  <c r="G85" i="1"/>
  <c r="I85" i="1" s="1"/>
  <c r="D146" i="1"/>
  <c r="B146" i="1"/>
  <c r="C148" i="1"/>
  <c r="E147" i="1" s="1"/>
  <c r="A149" i="1"/>
  <c r="L85" i="1" l="1"/>
  <c r="F86" i="1" s="1"/>
  <c r="K85" i="1"/>
  <c r="D147" i="1"/>
  <c r="B147" i="1"/>
  <c r="O84" i="1"/>
  <c r="M84" i="1"/>
  <c r="C149" i="1"/>
  <c r="E148" i="1" s="1"/>
  <c r="A150" i="1"/>
  <c r="H86" i="1" l="1"/>
  <c r="J86" i="1" s="1"/>
  <c r="N86" i="1" s="1"/>
  <c r="P85" i="1" s="1"/>
  <c r="G86" i="1"/>
  <c r="I86" i="1" s="1"/>
  <c r="D148" i="1"/>
  <c r="B148" i="1"/>
  <c r="A151" i="1"/>
  <c r="C150" i="1"/>
  <c r="E149" i="1" s="1"/>
  <c r="L86" i="1" l="1"/>
  <c r="F87" i="1" s="1"/>
  <c r="K86" i="1"/>
  <c r="D149" i="1"/>
  <c r="B149" i="1"/>
  <c r="O85" i="1"/>
  <c r="M85" i="1"/>
  <c r="C151" i="1"/>
  <c r="E150" i="1" s="1"/>
  <c r="A152" i="1"/>
  <c r="G87" i="1" l="1"/>
  <c r="I87" i="1" s="1"/>
  <c r="H87" i="1"/>
  <c r="J87" i="1" s="1"/>
  <c r="D150" i="1"/>
  <c r="B150" i="1"/>
  <c r="C152" i="1"/>
  <c r="E151" i="1" s="1"/>
  <c r="A153" i="1"/>
  <c r="L87" i="1" l="1"/>
  <c r="F88" i="1" s="1"/>
  <c r="N87" i="1"/>
  <c r="P86" i="1" s="1"/>
  <c r="O86" i="1" s="1"/>
  <c r="K87" i="1"/>
  <c r="D151" i="1"/>
  <c r="B151" i="1"/>
  <c r="C153" i="1"/>
  <c r="E152" i="1" s="1"/>
  <c r="A154" i="1"/>
  <c r="H88" i="1" l="1"/>
  <c r="J88" i="1" s="1"/>
  <c r="N88" i="1" s="1"/>
  <c r="P87" i="1" s="1"/>
  <c r="M86" i="1"/>
  <c r="G88" i="1"/>
  <c r="I88" i="1" s="1"/>
  <c r="D152" i="1"/>
  <c r="B152" i="1"/>
  <c r="A155" i="1"/>
  <c r="C154" i="1"/>
  <c r="E153" i="1" s="1"/>
  <c r="K88" i="1" l="1"/>
  <c r="L88" i="1"/>
  <c r="F89" i="1" s="1"/>
  <c r="D153" i="1"/>
  <c r="B153" i="1"/>
  <c r="O87" i="1"/>
  <c r="M87" i="1"/>
  <c r="C155" i="1"/>
  <c r="E154" i="1" s="1"/>
  <c r="A156" i="1"/>
  <c r="H89" i="1" l="1"/>
  <c r="J89" i="1" s="1"/>
  <c r="N89" i="1" s="1"/>
  <c r="P88" i="1" s="1"/>
  <c r="G89" i="1"/>
  <c r="I89" i="1" s="1"/>
  <c r="D154" i="1"/>
  <c r="B154" i="1"/>
  <c r="C156" i="1"/>
  <c r="E155" i="1" s="1"/>
  <c r="A157" i="1"/>
  <c r="K89" i="1" l="1"/>
  <c r="L89" i="1"/>
  <c r="F90" i="1" s="1"/>
  <c r="D155" i="1"/>
  <c r="B155" i="1"/>
  <c r="O88" i="1"/>
  <c r="M88" i="1"/>
  <c r="C157" i="1"/>
  <c r="E156" i="1" s="1"/>
  <c r="A158" i="1"/>
  <c r="H90" i="1" l="1"/>
  <c r="J90" i="1" s="1"/>
  <c r="N90" i="1" s="1"/>
  <c r="P89" i="1" s="1"/>
  <c r="G90" i="1"/>
  <c r="I90" i="1" s="1"/>
  <c r="D156" i="1"/>
  <c r="B156" i="1"/>
  <c r="A159" i="1"/>
  <c r="C158" i="1"/>
  <c r="E157" i="1" s="1"/>
  <c r="L90" i="1" l="1"/>
  <c r="F91" i="1" s="1"/>
  <c r="K90" i="1"/>
  <c r="D157" i="1"/>
  <c r="B157" i="1"/>
  <c r="O89" i="1"/>
  <c r="M89" i="1"/>
  <c r="C159" i="1"/>
  <c r="E158" i="1" s="1"/>
  <c r="A160" i="1"/>
  <c r="G91" i="1" l="1"/>
  <c r="I91" i="1" s="1"/>
  <c r="H91" i="1"/>
  <c r="J91" i="1" s="1"/>
  <c r="D158" i="1"/>
  <c r="B158" i="1"/>
  <c r="A161" i="1"/>
  <c r="C160" i="1"/>
  <c r="E159" i="1" s="1"/>
  <c r="L91" i="1" l="1"/>
  <c r="F92" i="1" s="1"/>
  <c r="N91" i="1"/>
  <c r="P90" i="1" s="1"/>
  <c r="M90" i="1" s="1"/>
  <c r="K91" i="1"/>
  <c r="D159" i="1"/>
  <c r="B159" i="1"/>
  <c r="A162" i="1"/>
  <c r="C161" i="1"/>
  <c r="E160" i="1" s="1"/>
  <c r="O90" i="1" l="1"/>
  <c r="H92" i="1"/>
  <c r="J92" i="1" s="1"/>
  <c r="N92" i="1" s="1"/>
  <c r="P91" i="1" s="1"/>
  <c r="G92" i="1"/>
  <c r="I92" i="1" s="1"/>
  <c r="D160" i="1"/>
  <c r="B160" i="1"/>
  <c r="C162" i="1"/>
  <c r="E161" i="1" s="1"/>
  <c r="A163" i="1"/>
  <c r="K92" i="1" l="1"/>
  <c r="L92" i="1"/>
  <c r="F93" i="1" s="1"/>
  <c r="D161" i="1"/>
  <c r="B161" i="1"/>
  <c r="O91" i="1"/>
  <c r="M91" i="1"/>
  <c r="C163" i="1"/>
  <c r="E162" i="1" s="1"/>
  <c r="A164" i="1"/>
  <c r="G93" i="1" l="1"/>
  <c r="I93" i="1" s="1"/>
  <c r="H93" i="1"/>
  <c r="J93" i="1" s="1"/>
  <c r="D162" i="1"/>
  <c r="B162" i="1"/>
  <c r="A165" i="1"/>
  <c r="C164" i="1"/>
  <c r="E163" i="1" s="1"/>
  <c r="K93" i="1" l="1"/>
  <c r="N93" i="1"/>
  <c r="P92" i="1" s="1"/>
  <c r="O92" i="1" s="1"/>
  <c r="L93" i="1"/>
  <c r="F94" i="1" s="1"/>
  <c r="D163" i="1"/>
  <c r="B163" i="1"/>
  <c r="C165" i="1"/>
  <c r="E164" i="1" s="1"/>
  <c r="A166" i="1"/>
  <c r="G94" i="1" l="1"/>
  <c r="I94" i="1" s="1"/>
  <c r="M92" i="1"/>
  <c r="H94" i="1"/>
  <c r="J94" i="1" s="1"/>
  <c r="D164" i="1"/>
  <c r="B164" i="1"/>
  <c r="C166" i="1"/>
  <c r="E165" i="1" s="1"/>
  <c r="A167" i="1"/>
  <c r="K94" i="1" l="1"/>
  <c r="L94" i="1"/>
  <c r="F95" i="1" s="1"/>
  <c r="N94" i="1"/>
  <c r="P93" i="1" s="1"/>
  <c r="O93" i="1" s="1"/>
  <c r="D165" i="1"/>
  <c r="B165" i="1"/>
  <c r="C167" i="1"/>
  <c r="E166" i="1" s="1"/>
  <c r="A168" i="1"/>
  <c r="H95" i="1" l="1"/>
  <c r="J95" i="1" s="1"/>
  <c r="N95" i="1" s="1"/>
  <c r="P94" i="1" s="1"/>
  <c r="G95" i="1"/>
  <c r="I95" i="1" s="1"/>
  <c r="M93" i="1"/>
  <c r="D166" i="1"/>
  <c r="B166" i="1"/>
  <c r="C168" i="1"/>
  <c r="E167" i="1" s="1"/>
  <c r="A169" i="1"/>
  <c r="L95" i="1" l="1"/>
  <c r="F96" i="1" s="1"/>
  <c r="K95" i="1"/>
  <c r="D167" i="1"/>
  <c r="B167" i="1"/>
  <c r="O94" i="1"/>
  <c r="M94" i="1"/>
  <c r="A170" i="1"/>
  <c r="C169" i="1"/>
  <c r="E168" i="1" s="1"/>
  <c r="H96" i="1" l="1"/>
  <c r="J96" i="1" s="1"/>
  <c r="N96" i="1" s="1"/>
  <c r="P95" i="1" s="1"/>
  <c r="G96" i="1"/>
  <c r="I96" i="1" s="1"/>
  <c r="D168" i="1"/>
  <c r="B168" i="1"/>
  <c r="C170" i="1"/>
  <c r="E169" i="1" s="1"/>
  <c r="A171" i="1"/>
  <c r="K96" i="1" l="1"/>
  <c r="L96" i="1"/>
  <c r="F97" i="1" s="1"/>
  <c r="D169" i="1"/>
  <c r="B169" i="1"/>
  <c r="O95" i="1"/>
  <c r="M95" i="1"/>
  <c r="C171" i="1"/>
  <c r="E170" i="1" s="1"/>
  <c r="A172" i="1"/>
  <c r="G97" i="1" l="1"/>
  <c r="I97" i="1" s="1"/>
  <c r="H97" i="1"/>
  <c r="J97" i="1" s="1"/>
  <c r="D170" i="1"/>
  <c r="B170" i="1"/>
  <c r="C172" i="1"/>
  <c r="E171" i="1" s="1"/>
  <c r="A173" i="1"/>
  <c r="L97" i="1" l="1"/>
  <c r="F98" i="1" s="1"/>
  <c r="N97" i="1"/>
  <c r="P96" i="1" s="1"/>
  <c r="M96" i="1" s="1"/>
  <c r="K97" i="1"/>
  <c r="D171" i="1"/>
  <c r="B171" i="1"/>
  <c r="C173" i="1"/>
  <c r="E172" i="1" s="1"/>
  <c r="A174" i="1"/>
  <c r="O96" i="1" l="1"/>
  <c r="H98" i="1"/>
  <c r="J98" i="1" s="1"/>
  <c r="N98" i="1" s="1"/>
  <c r="P97" i="1" s="1"/>
  <c r="G98" i="1"/>
  <c r="I98" i="1" s="1"/>
  <c r="D172" i="1"/>
  <c r="B172" i="1"/>
  <c r="C174" i="1"/>
  <c r="E173" i="1" s="1"/>
  <c r="A175" i="1"/>
  <c r="K98" i="1" l="1"/>
  <c r="L98" i="1"/>
  <c r="F99" i="1" s="1"/>
  <c r="D173" i="1"/>
  <c r="B173" i="1"/>
  <c r="O97" i="1"/>
  <c r="M97" i="1"/>
  <c r="C175" i="1"/>
  <c r="E174" i="1" s="1"/>
  <c r="A176" i="1"/>
  <c r="H99" i="1" l="1"/>
  <c r="J99" i="1" s="1"/>
  <c r="N99" i="1" s="1"/>
  <c r="P98" i="1" s="1"/>
  <c r="G99" i="1"/>
  <c r="I99" i="1" s="1"/>
  <c r="D174" i="1"/>
  <c r="B174" i="1"/>
  <c r="C176" i="1"/>
  <c r="E175" i="1" s="1"/>
  <c r="A177" i="1"/>
  <c r="K99" i="1" l="1"/>
  <c r="L99" i="1"/>
  <c r="F100" i="1" s="1"/>
  <c r="D175" i="1"/>
  <c r="B175" i="1"/>
  <c r="O98" i="1"/>
  <c r="M98" i="1"/>
  <c r="C177" i="1"/>
  <c r="E176" i="1" s="1"/>
  <c r="A178" i="1"/>
  <c r="H100" i="1" l="1"/>
  <c r="J100" i="1" s="1"/>
  <c r="N100" i="1" s="1"/>
  <c r="P99" i="1" s="1"/>
  <c r="G100" i="1"/>
  <c r="I100" i="1" s="1"/>
  <c r="D176" i="1"/>
  <c r="B176" i="1"/>
  <c r="A179" i="1"/>
  <c r="C178" i="1"/>
  <c r="E177" i="1" s="1"/>
  <c r="K100" i="1" l="1"/>
  <c r="L100" i="1"/>
  <c r="F101" i="1" s="1"/>
  <c r="D177" i="1"/>
  <c r="B177" i="1"/>
  <c r="O99" i="1"/>
  <c r="M99" i="1"/>
  <c r="A180" i="1"/>
  <c r="C179" i="1"/>
  <c r="E178" i="1" s="1"/>
  <c r="G101" i="1" l="1"/>
  <c r="I101" i="1" s="1"/>
  <c r="H101" i="1"/>
  <c r="J101" i="1" s="1"/>
  <c r="D178" i="1"/>
  <c r="B178" i="1"/>
  <c r="C180" i="1"/>
  <c r="E179" i="1" s="1"/>
  <c r="A181" i="1"/>
  <c r="K101" i="1" l="1"/>
  <c r="N101" i="1"/>
  <c r="P100" i="1" s="1"/>
  <c r="M100" i="1" s="1"/>
  <c r="L101" i="1"/>
  <c r="F102" i="1" s="1"/>
  <c r="D179" i="1"/>
  <c r="B179" i="1"/>
  <c r="C181" i="1"/>
  <c r="E180" i="1" s="1"/>
  <c r="A182" i="1"/>
  <c r="O100" i="1" l="1"/>
  <c r="G102" i="1"/>
  <c r="I102" i="1" s="1"/>
  <c r="H102" i="1"/>
  <c r="J102" i="1" s="1"/>
  <c r="N102" i="1" s="1"/>
  <c r="P101" i="1" s="1"/>
  <c r="D180" i="1"/>
  <c r="B180" i="1"/>
  <c r="C182" i="1"/>
  <c r="E181" i="1" s="1"/>
  <c r="A183" i="1"/>
  <c r="L102" i="1" l="1"/>
  <c r="F103" i="1" s="1"/>
  <c r="K102" i="1"/>
  <c r="D181" i="1"/>
  <c r="B181" i="1"/>
  <c r="O101" i="1"/>
  <c r="M101" i="1"/>
  <c r="C183" i="1"/>
  <c r="E182" i="1" s="1"/>
  <c r="A184" i="1"/>
  <c r="G103" i="1" l="1"/>
  <c r="I103" i="1" s="1"/>
  <c r="H103" i="1"/>
  <c r="J103" i="1" s="1"/>
  <c r="D182" i="1"/>
  <c r="B182" i="1"/>
  <c r="A185" i="1"/>
  <c r="C184" i="1"/>
  <c r="E183" i="1" s="1"/>
  <c r="K103" i="1" l="1"/>
  <c r="N103" i="1"/>
  <c r="P102" i="1" s="1"/>
  <c r="M102" i="1" s="1"/>
  <c r="L103" i="1"/>
  <c r="F104" i="1" s="1"/>
  <c r="D183" i="1"/>
  <c r="B183" i="1"/>
  <c r="C185" i="1"/>
  <c r="E184" i="1" s="1"/>
  <c r="A186" i="1"/>
  <c r="O102" i="1" l="1"/>
  <c r="H104" i="1"/>
  <c r="J104" i="1" s="1"/>
  <c r="G104" i="1"/>
  <c r="I104" i="1" s="1"/>
  <c r="D184" i="1"/>
  <c r="B184" i="1"/>
  <c r="C186" i="1"/>
  <c r="E185" i="1" s="1"/>
  <c r="A187" i="1"/>
  <c r="L104" i="1" l="1"/>
  <c r="F105" i="1" s="1"/>
  <c r="N104" i="1"/>
  <c r="P103" i="1" s="1"/>
  <c r="M103" i="1" s="1"/>
  <c r="K104" i="1"/>
  <c r="D185" i="1"/>
  <c r="B185" i="1"/>
  <c r="C187" i="1"/>
  <c r="E186" i="1" s="1"/>
  <c r="A188" i="1"/>
  <c r="H105" i="1" l="1"/>
  <c r="J105" i="1" s="1"/>
  <c r="N105" i="1" s="1"/>
  <c r="P104" i="1" s="1"/>
  <c r="O103" i="1"/>
  <c r="G105" i="1"/>
  <c r="I105" i="1" s="1"/>
  <c r="D186" i="1"/>
  <c r="B186" i="1"/>
  <c r="A189" i="1"/>
  <c r="C188" i="1"/>
  <c r="E187" i="1" s="1"/>
  <c r="L105" i="1" l="1"/>
  <c r="F106" i="1" s="1"/>
  <c r="K105" i="1"/>
  <c r="D187" i="1"/>
  <c r="B187" i="1"/>
  <c r="O104" i="1"/>
  <c r="M104" i="1"/>
  <c r="C189" i="1"/>
  <c r="E188" i="1" s="1"/>
  <c r="A190" i="1"/>
  <c r="H106" i="1" l="1"/>
  <c r="J106" i="1" s="1"/>
  <c r="N106" i="1" s="1"/>
  <c r="P105" i="1" s="1"/>
  <c r="G106" i="1"/>
  <c r="I106" i="1" s="1"/>
  <c r="D188" i="1"/>
  <c r="B188" i="1"/>
  <c r="A191" i="1"/>
  <c r="C190" i="1"/>
  <c r="E189" i="1" s="1"/>
  <c r="L106" i="1" l="1"/>
  <c r="F107" i="1" s="1"/>
  <c r="K106" i="1"/>
  <c r="D189" i="1"/>
  <c r="B189" i="1"/>
  <c r="O105" i="1"/>
  <c r="M105" i="1"/>
  <c r="C191" i="1"/>
  <c r="E190" i="1" s="1"/>
  <c r="A192" i="1"/>
  <c r="G107" i="1" l="1"/>
  <c r="I107" i="1" s="1"/>
  <c r="H107" i="1"/>
  <c r="J107" i="1" s="1"/>
  <c r="D190" i="1"/>
  <c r="B190" i="1"/>
  <c r="C192" i="1"/>
  <c r="E191" i="1" s="1"/>
  <c r="A193" i="1"/>
  <c r="L107" i="1" l="1"/>
  <c r="F108" i="1" s="1"/>
  <c r="N107" i="1"/>
  <c r="P106" i="1" s="1"/>
  <c r="O106" i="1" s="1"/>
  <c r="K107" i="1"/>
  <c r="D191" i="1"/>
  <c r="B191" i="1"/>
  <c r="C193" i="1"/>
  <c r="E192" i="1" s="1"/>
  <c r="A194" i="1"/>
  <c r="G108" i="1" l="1"/>
  <c r="I108" i="1" s="1"/>
  <c r="M106" i="1"/>
  <c r="H108" i="1"/>
  <c r="J108" i="1" s="1"/>
  <c r="D192" i="1"/>
  <c r="B192" i="1"/>
  <c r="A195" i="1"/>
  <c r="C194" i="1"/>
  <c r="E193" i="1" s="1"/>
  <c r="L108" i="1" l="1"/>
  <c r="F109" i="1" s="1"/>
  <c r="N108" i="1"/>
  <c r="P107" i="1" s="1"/>
  <c r="M107" i="1" s="1"/>
  <c r="K108" i="1"/>
  <c r="D193" i="1"/>
  <c r="B193" i="1"/>
  <c r="C195" i="1"/>
  <c r="E194" i="1" s="1"/>
  <c r="A196" i="1"/>
  <c r="H109" i="1" l="1"/>
  <c r="J109" i="1" s="1"/>
  <c r="N109" i="1" s="1"/>
  <c r="P108" i="1" s="1"/>
  <c r="O107" i="1"/>
  <c r="G109" i="1"/>
  <c r="I109" i="1" s="1"/>
  <c r="D194" i="1"/>
  <c r="B194" i="1"/>
  <c r="A197" i="1"/>
  <c r="C196" i="1"/>
  <c r="E195" i="1" s="1"/>
  <c r="K109" i="1" l="1"/>
  <c r="L109" i="1"/>
  <c r="F110" i="1" s="1"/>
  <c r="D195" i="1"/>
  <c r="B195" i="1"/>
  <c r="O108" i="1"/>
  <c r="M108" i="1"/>
  <c r="C197" i="1"/>
  <c r="E196" i="1" s="1"/>
  <c r="A198" i="1"/>
  <c r="G110" i="1" l="1"/>
  <c r="I110" i="1" s="1"/>
  <c r="H110" i="1"/>
  <c r="J110" i="1" s="1"/>
  <c r="N110" i="1" s="1"/>
  <c r="P109" i="1" s="1"/>
  <c r="D196" i="1"/>
  <c r="B196" i="1"/>
  <c r="C198" i="1"/>
  <c r="E197" i="1" s="1"/>
  <c r="A199" i="1"/>
  <c r="L110" i="1" l="1"/>
  <c r="F111" i="1" s="1"/>
  <c r="K110" i="1"/>
  <c r="D197" i="1"/>
  <c r="B197" i="1"/>
  <c r="O109" i="1"/>
  <c r="M109" i="1"/>
  <c r="C199" i="1"/>
  <c r="E198" i="1" s="1"/>
  <c r="A200" i="1"/>
  <c r="H111" i="1" l="1"/>
  <c r="J111" i="1" s="1"/>
  <c r="N111" i="1" s="1"/>
  <c r="P110" i="1" s="1"/>
  <c r="G111" i="1"/>
  <c r="I111" i="1" s="1"/>
  <c r="D198" i="1"/>
  <c r="B198" i="1"/>
  <c r="C200" i="1"/>
  <c r="E199" i="1" s="1"/>
  <c r="A201" i="1"/>
  <c r="K111" i="1" l="1"/>
  <c r="L111" i="1"/>
  <c r="F112" i="1" s="1"/>
  <c r="D199" i="1"/>
  <c r="B199" i="1"/>
  <c r="O110" i="1"/>
  <c r="M110" i="1"/>
  <c r="A202" i="1"/>
  <c r="C201" i="1"/>
  <c r="E200" i="1" s="1"/>
  <c r="H112" i="1" l="1"/>
  <c r="J112" i="1" s="1"/>
  <c r="N112" i="1" s="1"/>
  <c r="P111" i="1" s="1"/>
  <c r="G112" i="1"/>
  <c r="I112" i="1" s="1"/>
  <c r="D200" i="1"/>
  <c r="B200" i="1"/>
  <c r="A203" i="1"/>
  <c r="C202" i="1"/>
  <c r="E201" i="1" s="1"/>
  <c r="L112" i="1" l="1"/>
  <c r="F113" i="1" s="1"/>
  <c r="K112" i="1"/>
  <c r="D201" i="1"/>
  <c r="B201" i="1"/>
  <c r="O111" i="1"/>
  <c r="M111" i="1"/>
  <c r="A204" i="1"/>
  <c r="C203" i="1"/>
  <c r="E202" i="1" s="1"/>
  <c r="H113" i="1" l="1"/>
  <c r="J113" i="1" s="1"/>
  <c r="N113" i="1" s="1"/>
  <c r="P112" i="1" s="1"/>
  <c r="G113" i="1"/>
  <c r="I113" i="1" s="1"/>
  <c r="D202" i="1"/>
  <c r="B202" i="1"/>
  <c r="A205" i="1"/>
  <c r="C204" i="1"/>
  <c r="E203" i="1" s="1"/>
  <c r="L113" i="1" l="1"/>
  <c r="F114" i="1" s="1"/>
  <c r="K113" i="1"/>
  <c r="D203" i="1"/>
  <c r="B203" i="1"/>
  <c r="O112" i="1"/>
  <c r="M112" i="1"/>
  <c r="C205" i="1"/>
  <c r="E204" i="1" s="1"/>
  <c r="A206" i="1"/>
  <c r="H114" i="1" l="1"/>
  <c r="J114" i="1" s="1"/>
  <c r="N114" i="1" s="1"/>
  <c r="P113" i="1" s="1"/>
  <c r="G114" i="1"/>
  <c r="I114" i="1" s="1"/>
  <c r="D204" i="1"/>
  <c r="B204" i="1"/>
  <c r="C206" i="1"/>
  <c r="E205" i="1" s="1"/>
  <c r="A207" i="1"/>
  <c r="K114" i="1" l="1"/>
  <c r="L114" i="1"/>
  <c r="F115" i="1" s="1"/>
  <c r="D205" i="1"/>
  <c r="B205" i="1"/>
  <c r="O113" i="1"/>
  <c r="M113" i="1"/>
  <c r="C207" i="1"/>
  <c r="E206" i="1" s="1"/>
  <c r="A208" i="1"/>
  <c r="G115" i="1" l="1"/>
  <c r="I115" i="1" s="1"/>
  <c r="H115" i="1"/>
  <c r="J115" i="1" s="1"/>
  <c r="D206" i="1"/>
  <c r="B206" i="1"/>
  <c r="A209" i="1"/>
  <c r="C208" i="1"/>
  <c r="E207" i="1" s="1"/>
  <c r="K115" i="1" l="1"/>
  <c r="N115" i="1"/>
  <c r="P114" i="1" s="1"/>
  <c r="M114" i="1" s="1"/>
  <c r="L115" i="1"/>
  <c r="F116" i="1" s="1"/>
  <c r="D207" i="1"/>
  <c r="B207" i="1"/>
  <c r="C209" i="1"/>
  <c r="E208" i="1" s="1"/>
  <c r="A210" i="1"/>
  <c r="H116" i="1" l="1"/>
  <c r="J116" i="1" s="1"/>
  <c r="N116" i="1" s="1"/>
  <c r="P115" i="1" s="1"/>
  <c r="O114" i="1"/>
  <c r="G116" i="1"/>
  <c r="I116" i="1" s="1"/>
  <c r="D208" i="1"/>
  <c r="B208" i="1"/>
  <c r="C210" i="1"/>
  <c r="E209" i="1" s="1"/>
  <c r="A211" i="1"/>
  <c r="L116" i="1" l="1"/>
  <c r="F117" i="1" s="1"/>
  <c r="K116" i="1"/>
  <c r="D209" i="1"/>
  <c r="B209" i="1"/>
  <c r="O115" i="1"/>
  <c r="M115" i="1"/>
  <c r="C211" i="1"/>
  <c r="E210" i="1" s="1"/>
  <c r="A212" i="1"/>
  <c r="G117" i="1" l="1"/>
  <c r="I117" i="1" s="1"/>
  <c r="H117" i="1"/>
  <c r="J117" i="1" s="1"/>
  <c r="D210" i="1"/>
  <c r="B210" i="1"/>
  <c r="A213" i="1"/>
  <c r="C212" i="1"/>
  <c r="E211" i="1" s="1"/>
  <c r="K117" i="1" l="1"/>
  <c r="N117" i="1"/>
  <c r="P116" i="1" s="1"/>
  <c r="M116" i="1" s="1"/>
  <c r="L117" i="1"/>
  <c r="F118" i="1" s="1"/>
  <c r="D211" i="1"/>
  <c r="B211" i="1"/>
  <c r="A214" i="1"/>
  <c r="C213" i="1"/>
  <c r="E212" i="1" s="1"/>
  <c r="G118" i="1" l="1"/>
  <c r="I118" i="1" s="1"/>
  <c r="O116" i="1"/>
  <c r="H118" i="1"/>
  <c r="J118" i="1" s="1"/>
  <c r="N118" i="1" s="1"/>
  <c r="P117" i="1" s="1"/>
  <c r="D212" i="1"/>
  <c r="B212" i="1"/>
  <c r="C214" i="1"/>
  <c r="E213" i="1" s="1"/>
  <c r="A215" i="1"/>
  <c r="L118" i="1" l="1"/>
  <c r="F119" i="1" s="1"/>
  <c r="K118" i="1"/>
  <c r="D213" i="1"/>
  <c r="B213" i="1"/>
  <c r="O117" i="1"/>
  <c r="M117" i="1"/>
  <c r="C215" i="1"/>
  <c r="E214" i="1" s="1"/>
  <c r="A216" i="1"/>
  <c r="G119" i="1" l="1"/>
  <c r="I119" i="1" s="1"/>
  <c r="H119" i="1"/>
  <c r="J119" i="1" s="1"/>
  <c r="D214" i="1"/>
  <c r="B214" i="1"/>
  <c r="C216" i="1"/>
  <c r="E215" i="1" s="1"/>
  <c r="A217" i="1"/>
  <c r="L119" i="1" l="1"/>
  <c r="F120" i="1" s="1"/>
  <c r="N119" i="1"/>
  <c r="P118" i="1" s="1"/>
  <c r="O118" i="1" s="1"/>
  <c r="K119" i="1"/>
  <c r="D215" i="1"/>
  <c r="B215" i="1"/>
  <c r="C217" i="1"/>
  <c r="E216" i="1" s="1"/>
  <c r="A218" i="1"/>
  <c r="H120" i="1" l="1"/>
  <c r="J120" i="1" s="1"/>
  <c r="N120" i="1" s="1"/>
  <c r="P119" i="1" s="1"/>
  <c r="M118" i="1"/>
  <c r="G120" i="1"/>
  <c r="I120" i="1" s="1"/>
  <c r="D216" i="1"/>
  <c r="B216" i="1"/>
  <c r="C218" i="1"/>
  <c r="E217" i="1" s="1"/>
  <c r="A219" i="1"/>
  <c r="K120" i="1" l="1"/>
  <c r="L120" i="1"/>
  <c r="F121" i="1" s="1"/>
  <c r="D217" i="1"/>
  <c r="B217" i="1"/>
  <c r="O119" i="1"/>
  <c r="M119" i="1"/>
  <c r="C219" i="1"/>
  <c r="E218" i="1" s="1"/>
  <c r="A220" i="1"/>
  <c r="H121" i="1" l="1"/>
  <c r="J121" i="1" s="1"/>
  <c r="N121" i="1" s="1"/>
  <c r="P120" i="1" s="1"/>
  <c r="G121" i="1"/>
  <c r="I121" i="1" s="1"/>
  <c r="D218" i="1"/>
  <c r="B218" i="1"/>
  <c r="A221" i="1"/>
  <c r="C220" i="1"/>
  <c r="E219" i="1" s="1"/>
  <c r="K121" i="1" l="1"/>
  <c r="L121" i="1"/>
  <c r="F122" i="1" s="1"/>
  <c r="D219" i="1"/>
  <c r="B219" i="1"/>
  <c r="O120" i="1"/>
  <c r="M120" i="1"/>
  <c r="C221" i="1"/>
  <c r="E220" i="1" s="1"/>
  <c r="A222" i="1"/>
  <c r="G122" i="1" l="1"/>
  <c r="I122" i="1" s="1"/>
  <c r="H122" i="1"/>
  <c r="J122" i="1" s="1"/>
  <c r="D220" i="1"/>
  <c r="B220" i="1"/>
  <c r="C222" i="1"/>
  <c r="E221" i="1" s="1"/>
  <c r="A223" i="1"/>
  <c r="K122" i="1" l="1"/>
  <c r="N122" i="1"/>
  <c r="P121" i="1" s="1"/>
  <c r="M121" i="1" s="1"/>
  <c r="L122" i="1"/>
  <c r="F123" i="1" s="1"/>
  <c r="D221" i="1"/>
  <c r="B221" i="1"/>
  <c r="C223" i="1"/>
  <c r="E222" i="1" s="1"/>
  <c r="A224" i="1"/>
  <c r="O121" i="1" l="1"/>
  <c r="G123" i="1"/>
  <c r="I123" i="1" s="1"/>
  <c r="H123" i="1"/>
  <c r="J123" i="1" s="1"/>
  <c r="N123" i="1" s="1"/>
  <c r="P122" i="1" s="1"/>
  <c r="D222" i="1"/>
  <c r="B222" i="1"/>
  <c r="A225" i="1"/>
  <c r="C224" i="1"/>
  <c r="E223" i="1" s="1"/>
  <c r="L123" i="1" l="1"/>
  <c r="F124" i="1" s="1"/>
  <c r="K123" i="1"/>
  <c r="D223" i="1"/>
  <c r="B223" i="1"/>
  <c r="O122" i="1"/>
  <c r="M122" i="1"/>
  <c r="C225" i="1"/>
  <c r="E224" i="1" s="1"/>
  <c r="A226" i="1"/>
  <c r="G124" i="1" l="1"/>
  <c r="I124" i="1" s="1"/>
  <c r="H124" i="1"/>
  <c r="J124" i="1" s="1"/>
  <c r="D224" i="1"/>
  <c r="B224" i="1"/>
  <c r="C226" i="1"/>
  <c r="E225" i="1" s="1"/>
  <c r="A227" i="1"/>
  <c r="K124" i="1" l="1"/>
  <c r="L124" i="1"/>
  <c r="F125" i="1" s="1"/>
  <c r="N124" i="1"/>
  <c r="P123" i="1" s="1"/>
  <c r="O123" i="1" s="1"/>
  <c r="D225" i="1"/>
  <c r="B225" i="1"/>
  <c r="C227" i="1"/>
  <c r="E226" i="1" s="1"/>
  <c r="A228" i="1"/>
  <c r="G125" i="1" l="1"/>
  <c r="I125" i="1" s="1"/>
  <c r="H125" i="1"/>
  <c r="J125" i="1" s="1"/>
  <c r="N125" i="1" s="1"/>
  <c r="P124" i="1" s="1"/>
  <c r="M123" i="1"/>
  <c r="D226" i="1"/>
  <c r="B226" i="1"/>
  <c r="C228" i="1"/>
  <c r="E227" i="1" s="1"/>
  <c r="A229" i="1"/>
  <c r="K125" i="1" l="1"/>
  <c r="L125" i="1"/>
  <c r="F126" i="1" s="1"/>
  <c r="D227" i="1"/>
  <c r="B227" i="1"/>
  <c r="O124" i="1"/>
  <c r="M124" i="1"/>
  <c r="C229" i="1"/>
  <c r="E228" i="1" s="1"/>
  <c r="A230" i="1"/>
  <c r="G126" i="1" l="1"/>
  <c r="I126" i="1" s="1"/>
  <c r="H126" i="1"/>
  <c r="J126" i="1" s="1"/>
  <c r="N126" i="1" s="1"/>
  <c r="P125" i="1" s="1"/>
  <c r="D228" i="1"/>
  <c r="B228" i="1"/>
  <c r="C230" i="1"/>
  <c r="E229" i="1" s="1"/>
  <c r="A231" i="1"/>
  <c r="L126" i="1" l="1"/>
  <c r="F127" i="1" s="1"/>
  <c r="K126" i="1"/>
  <c r="D229" i="1"/>
  <c r="B229" i="1"/>
  <c r="O125" i="1"/>
  <c r="M125" i="1"/>
  <c r="C231" i="1"/>
  <c r="E230" i="1" s="1"/>
  <c r="A232" i="1"/>
  <c r="H127" i="1" l="1"/>
  <c r="J127" i="1" s="1"/>
  <c r="N127" i="1" s="1"/>
  <c r="P126" i="1" s="1"/>
  <c r="G127" i="1"/>
  <c r="I127" i="1" s="1"/>
  <c r="D230" i="1"/>
  <c r="B230" i="1"/>
  <c r="A233" i="1"/>
  <c r="C232" i="1"/>
  <c r="E231" i="1" s="1"/>
  <c r="K127" i="1" l="1"/>
  <c r="L127" i="1"/>
  <c r="F128" i="1" s="1"/>
  <c r="D231" i="1"/>
  <c r="B231" i="1"/>
  <c r="O126" i="1"/>
  <c r="M126" i="1"/>
  <c r="C233" i="1"/>
  <c r="E232" i="1" s="1"/>
  <c r="A234" i="1"/>
  <c r="H128" i="1" l="1"/>
  <c r="J128" i="1" s="1"/>
  <c r="N128" i="1" s="1"/>
  <c r="P127" i="1" s="1"/>
  <c r="G128" i="1"/>
  <c r="I128" i="1" s="1"/>
  <c r="D232" i="1"/>
  <c r="B232" i="1"/>
  <c r="C234" i="1"/>
  <c r="E233" i="1" s="1"/>
  <c r="A235" i="1"/>
  <c r="K128" i="1" l="1"/>
  <c r="L128" i="1"/>
  <c r="F129" i="1" s="1"/>
  <c r="D233" i="1"/>
  <c r="B233" i="1"/>
  <c r="O127" i="1"/>
  <c r="M127" i="1"/>
  <c r="C235" i="1"/>
  <c r="E234" i="1" s="1"/>
  <c r="A236" i="1"/>
  <c r="H129" i="1" l="1"/>
  <c r="J129" i="1" s="1"/>
  <c r="N129" i="1" s="1"/>
  <c r="P128" i="1" s="1"/>
  <c r="G129" i="1"/>
  <c r="I129" i="1" s="1"/>
  <c r="D234" i="1"/>
  <c r="B234" i="1"/>
  <c r="C236" i="1"/>
  <c r="E235" i="1" s="1"/>
  <c r="A237" i="1"/>
  <c r="K129" i="1" l="1"/>
  <c r="L129" i="1"/>
  <c r="F130" i="1" s="1"/>
  <c r="D235" i="1"/>
  <c r="B235" i="1"/>
  <c r="O128" i="1"/>
  <c r="M128" i="1"/>
  <c r="A238" i="1"/>
  <c r="C237" i="1"/>
  <c r="E236" i="1" s="1"/>
  <c r="G130" i="1" l="1"/>
  <c r="I130" i="1" s="1"/>
  <c r="H130" i="1"/>
  <c r="J130" i="1" s="1"/>
  <c r="D236" i="1"/>
  <c r="B236" i="1"/>
  <c r="C238" i="1"/>
  <c r="E237" i="1" s="1"/>
  <c r="A239" i="1"/>
  <c r="L130" i="1" l="1"/>
  <c r="F131" i="1" s="1"/>
  <c r="N130" i="1"/>
  <c r="P129" i="1" s="1"/>
  <c r="M129" i="1" s="1"/>
  <c r="K130" i="1"/>
  <c r="D237" i="1"/>
  <c r="B237" i="1"/>
  <c r="C239" i="1"/>
  <c r="E238" i="1" s="1"/>
  <c r="A240" i="1"/>
  <c r="G131" i="1" l="1"/>
  <c r="I131" i="1" s="1"/>
  <c r="H131" i="1"/>
  <c r="J131" i="1" s="1"/>
  <c r="N131" i="1" s="1"/>
  <c r="P130" i="1" s="1"/>
  <c r="O129" i="1"/>
  <c r="D238" i="1"/>
  <c r="B238" i="1"/>
  <c r="C240" i="1"/>
  <c r="E239" i="1" s="1"/>
  <c r="A241" i="1"/>
  <c r="K131" i="1" l="1"/>
  <c r="L131" i="1"/>
  <c r="F132" i="1" s="1"/>
  <c r="D239" i="1"/>
  <c r="B239" i="1"/>
  <c r="O130" i="1"/>
  <c r="M130" i="1"/>
  <c r="C241" i="1"/>
  <c r="E240" i="1" s="1"/>
  <c r="A242" i="1"/>
  <c r="H132" i="1" l="1"/>
  <c r="J132" i="1" s="1"/>
  <c r="N132" i="1" s="1"/>
  <c r="P131" i="1" s="1"/>
  <c r="G132" i="1"/>
  <c r="I132" i="1" s="1"/>
  <c r="D240" i="1"/>
  <c r="B240" i="1"/>
  <c r="C242" i="1"/>
  <c r="E241" i="1" s="1"/>
  <c r="A243" i="1"/>
  <c r="L132" i="1" l="1"/>
  <c r="F133" i="1" s="1"/>
  <c r="K132" i="1"/>
  <c r="D241" i="1"/>
  <c r="B241" i="1"/>
  <c r="O131" i="1"/>
  <c r="M131" i="1"/>
  <c r="A244" i="1"/>
  <c r="C243" i="1"/>
  <c r="E242" i="1" s="1"/>
  <c r="G133" i="1" l="1"/>
  <c r="I133" i="1" s="1"/>
  <c r="H133" i="1"/>
  <c r="J133" i="1" s="1"/>
  <c r="D242" i="1"/>
  <c r="B242" i="1"/>
  <c r="C244" i="1"/>
  <c r="E243" i="1" s="1"/>
  <c r="A245" i="1"/>
  <c r="L133" i="1" l="1"/>
  <c r="F134" i="1" s="1"/>
  <c r="K133" i="1"/>
  <c r="N133" i="1"/>
  <c r="P132" i="1" s="1"/>
  <c r="O132" i="1" s="1"/>
  <c r="D243" i="1"/>
  <c r="B243" i="1"/>
  <c r="C245" i="1"/>
  <c r="E244" i="1" s="1"/>
  <c r="A246" i="1"/>
  <c r="H134" i="1" l="1"/>
  <c r="J134" i="1" s="1"/>
  <c r="N134" i="1" s="1"/>
  <c r="P133" i="1" s="1"/>
  <c r="M132" i="1"/>
  <c r="G134" i="1"/>
  <c r="I134" i="1" s="1"/>
  <c r="D244" i="1"/>
  <c r="B244" i="1"/>
  <c r="A247" i="1"/>
  <c r="C246" i="1"/>
  <c r="E245" i="1" s="1"/>
  <c r="L134" i="1" l="1"/>
  <c r="F135" i="1" s="1"/>
  <c r="K134" i="1"/>
  <c r="D245" i="1"/>
  <c r="B245" i="1"/>
  <c r="O133" i="1"/>
  <c r="M133" i="1"/>
  <c r="C247" i="1"/>
  <c r="E246" i="1" s="1"/>
  <c r="A248" i="1"/>
  <c r="H135" i="1" l="1"/>
  <c r="J135" i="1" s="1"/>
  <c r="N135" i="1" s="1"/>
  <c r="P134" i="1" s="1"/>
  <c r="G135" i="1"/>
  <c r="I135" i="1" s="1"/>
  <c r="D246" i="1"/>
  <c r="B246" i="1"/>
  <c r="C248" i="1"/>
  <c r="E247" i="1" s="1"/>
  <c r="A249" i="1"/>
  <c r="K135" i="1" l="1"/>
  <c r="L135" i="1"/>
  <c r="F136" i="1" s="1"/>
  <c r="D247" i="1"/>
  <c r="B247" i="1"/>
  <c r="O134" i="1"/>
  <c r="M134" i="1"/>
  <c r="A250" i="1"/>
  <c r="C249" i="1"/>
  <c r="E248" i="1" s="1"/>
  <c r="G136" i="1" l="1"/>
  <c r="I136" i="1" s="1"/>
  <c r="H136" i="1"/>
  <c r="J136" i="1" s="1"/>
  <c r="D248" i="1"/>
  <c r="B248" i="1"/>
  <c r="A251" i="1"/>
  <c r="C250" i="1"/>
  <c r="E249" i="1" s="1"/>
  <c r="L136" i="1" l="1"/>
  <c r="F137" i="1" s="1"/>
  <c r="K136" i="1"/>
  <c r="N136" i="1"/>
  <c r="P135" i="1" s="1"/>
  <c r="O135" i="1" s="1"/>
  <c r="D249" i="1"/>
  <c r="B249" i="1"/>
  <c r="A252" i="1"/>
  <c r="C251" i="1"/>
  <c r="E250" i="1" s="1"/>
  <c r="G137" i="1" l="1"/>
  <c r="I137" i="1" s="1"/>
  <c r="H137" i="1"/>
  <c r="J137" i="1" s="1"/>
  <c r="N137" i="1" s="1"/>
  <c r="P136" i="1" s="1"/>
  <c r="M135" i="1"/>
  <c r="D250" i="1"/>
  <c r="B250" i="1"/>
  <c r="C252" i="1"/>
  <c r="E251" i="1" s="1"/>
  <c r="A253" i="1"/>
  <c r="L137" i="1" l="1"/>
  <c r="F138" i="1" s="1"/>
  <c r="K137" i="1"/>
  <c r="D251" i="1"/>
  <c r="B251" i="1"/>
  <c r="O136" i="1"/>
  <c r="M136" i="1"/>
  <c r="C253" i="1"/>
  <c r="E252" i="1" s="1"/>
  <c r="A254" i="1"/>
  <c r="H138" i="1" l="1"/>
  <c r="J138" i="1" s="1"/>
  <c r="N138" i="1" s="1"/>
  <c r="P137" i="1" s="1"/>
  <c r="G138" i="1"/>
  <c r="I138" i="1" s="1"/>
  <c r="D252" i="1"/>
  <c r="B252" i="1"/>
  <c r="A255" i="1"/>
  <c r="C254" i="1"/>
  <c r="E253" i="1" s="1"/>
  <c r="K138" i="1" l="1"/>
  <c r="L138" i="1"/>
  <c r="F139" i="1" s="1"/>
  <c r="D253" i="1"/>
  <c r="B253" i="1"/>
  <c r="O137" i="1"/>
  <c r="M137" i="1"/>
  <c r="C255" i="1"/>
  <c r="E254" i="1" s="1"/>
  <c r="A256" i="1"/>
  <c r="G139" i="1" l="1"/>
  <c r="I139" i="1" s="1"/>
  <c r="H139" i="1"/>
  <c r="J139" i="1" s="1"/>
  <c r="D254" i="1"/>
  <c r="B254" i="1"/>
  <c r="C256" i="1"/>
  <c r="E255" i="1" s="1"/>
  <c r="A257" i="1"/>
  <c r="L139" i="1" l="1"/>
  <c r="F140" i="1" s="1"/>
  <c r="N139" i="1"/>
  <c r="P138" i="1" s="1"/>
  <c r="M138" i="1" s="1"/>
  <c r="K139" i="1"/>
  <c r="D255" i="1"/>
  <c r="B255" i="1"/>
  <c r="A258" i="1"/>
  <c r="C257" i="1"/>
  <c r="E256" i="1" s="1"/>
  <c r="G140" i="1" l="1"/>
  <c r="I140" i="1" s="1"/>
  <c r="H140" i="1"/>
  <c r="J140" i="1" s="1"/>
  <c r="O138" i="1"/>
  <c r="D256" i="1"/>
  <c r="B256" i="1"/>
  <c r="C258" i="1"/>
  <c r="E257" i="1" s="1"/>
  <c r="A259" i="1"/>
  <c r="L140" i="1" l="1"/>
  <c r="F141" i="1" s="1"/>
  <c r="N140" i="1"/>
  <c r="P139" i="1" s="1"/>
  <c r="O139" i="1" s="1"/>
  <c r="K140" i="1"/>
  <c r="D257" i="1"/>
  <c r="B257" i="1"/>
  <c r="C259" i="1"/>
  <c r="E258" i="1" s="1"/>
  <c r="A260" i="1"/>
  <c r="H141" i="1" l="1"/>
  <c r="J141" i="1" s="1"/>
  <c r="N141" i="1" s="1"/>
  <c r="P140" i="1" s="1"/>
  <c r="M139" i="1"/>
  <c r="G141" i="1"/>
  <c r="I141" i="1" s="1"/>
  <c r="D258" i="1"/>
  <c r="B258" i="1"/>
  <c r="C260" i="1"/>
  <c r="E259" i="1" s="1"/>
  <c r="A261" i="1"/>
  <c r="K141" i="1" l="1"/>
  <c r="L141" i="1"/>
  <c r="F142" i="1" s="1"/>
  <c r="D259" i="1"/>
  <c r="B259" i="1"/>
  <c r="O140" i="1"/>
  <c r="M140" i="1"/>
  <c r="C261" i="1"/>
  <c r="E260" i="1" s="1"/>
  <c r="A262" i="1"/>
  <c r="G142" i="1" l="1"/>
  <c r="I142" i="1" s="1"/>
  <c r="H142" i="1"/>
  <c r="J142" i="1" s="1"/>
  <c r="D260" i="1"/>
  <c r="B260" i="1"/>
  <c r="A263" i="1"/>
  <c r="C262" i="1"/>
  <c r="E261" i="1" s="1"/>
  <c r="K142" i="1" l="1"/>
  <c r="L142" i="1"/>
  <c r="F143" i="1" s="1"/>
  <c r="N142" i="1"/>
  <c r="P141" i="1" s="1"/>
  <c r="O141" i="1" s="1"/>
  <c r="D261" i="1"/>
  <c r="B261" i="1"/>
  <c r="A264" i="1"/>
  <c r="C263" i="1"/>
  <c r="E262" i="1" s="1"/>
  <c r="H143" i="1" l="1"/>
  <c r="J143" i="1" s="1"/>
  <c r="N143" i="1" s="1"/>
  <c r="P142" i="1" s="1"/>
  <c r="M141" i="1"/>
  <c r="G143" i="1"/>
  <c r="I143" i="1" s="1"/>
  <c r="D262" i="1"/>
  <c r="B262" i="1"/>
  <c r="A265" i="1"/>
  <c r="C264" i="1"/>
  <c r="E263" i="1" s="1"/>
  <c r="K143" i="1" l="1"/>
  <c r="L143" i="1"/>
  <c r="F144" i="1" s="1"/>
  <c r="D263" i="1"/>
  <c r="B263" i="1"/>
  <c r="O142" i="1"/>
  <c r="M142" i="1"/>
  <c r="A266" i="1"/>
  <c r="C265" i="1"/>
  <c r="E264" i="1" s="1"/>
  <c r="G144" i="1" l="1"/>
  <c r="I144" i="1" s="1"/>
  <c r="H144" i="1"/>
  <c r="J144" i="1" s="1"/>
  <c r="N144" i="1" s="1"/>
  <c r="P143" i="1" s="1"/>
  <c r="D264" i="1"/>
  <c r="B264" i="1"/>
  <c r="A267" i="1"/>
  <c r="C266" i="1"/>
  <c r="E265" i="1" s="1"/>
  <c r="L144" i="1" l="1"/>
  <c r="F145" i="1" s="1"/>
  <c r="K144" i="1"/>
  <c r="D265" i="1"/>
  <c r="B265" i="1"/>
  <c r="O143" i="1"/>
  <c r="M143" i="1"/>
  <c r="C267" i="1"/>
  <c r="E266" i="1" s="1"/>
  <c r="A268" i="1"/>
  <c r="G145" i="1" l="1"/>
  <c r="I145" i="1" s="1"/>
  <c r="H145" i="1"/>
  <c r="J145" i="1" s="1"/>
  <c r="D266" i="1"/>
  <c r="B266" i="1"/>
  <c r="C268" i="1"/>
  <c r="E267" i="1" s="1"/>
  <c r="A269" i="1"/>
  <c r="L145" i="1" l="1"/>
  <c r="F146" i="1" s="1"/>
  <c r="N145" i="1"/>
  <c r="P144" i="1" s="1"/>
  <c r="O144" i="1" s="1"/>
  <c r="K145" i="1"/>
  <c r="D267" i="1"/>
  <c r="B267" i="1"/>
  <c r="A270" i="1"/>
  <c r="C269" i="1"/>
  <c r="E268" i="1" s="1"/>
  <c r="G146" i="1" l="1"/>
  <c r="I146" i="1" s="1"/>
  <c r="M144" i="1"/>
  <c r="H146" i="1"/>
  <c r="J146" i="1" s="1"/>
  <c r="D268" i="1"/>
  <c r="B268" i="1"/>
  <c r="C270" i="1"/>
  <c r="E269" i="1" s="1"/>
  <c r="A271" i="1"/>
  <c r="K146" i="1" l="1"/>
  <c r="N146" i="1"/>
  <c r="P145" i="1" s="1"/>
  <c r="O145" i="1" s="1"/>
  <c r="L146" i="1"/>
  <c r="F147" i="1" s="1"/>
  <c r="D269" i="1"/>
  <c r="B269" i="1"/>
  <c r="C271" i="1"/>
  <c r="E270" i="1" s="1"/>
  <c r="A272" i="1"/>
  <c r="H147" i="1" l="1"/>
  <c r="J147" i="1" s="1"/>
  <c r="N147" i="1" s="1"/>
  <c r="P146" i="1" s="1"/>
  <c r="M145" i="1"/>
  <c r="G147" i="1"/>
  <c r="I147" i="1" s="1"/>
  <c r="D270" i="1"/>
  <c r="B270" i="1"/>
  <c r="A273" i="1"/>
  <c r="C272" i="1"/>
  <c r="E271" i="1" s="1"/>
  <c r="K147" i="1" l="1"/>
  <c r="L147" i="1"/>
  <c r="F148" i="1" s="1"/>
  <c r="D271" i="1"/>
  <c r="B271" i="1"/>
  <c r="O146" i="1"/>
  <c r="M146" i="1"/>
  <c r="C273" i="1"/>
  <c r="E272" i="1" s="1"/>
  <c r="A274" i="1"/>
  <c r="G148" i="1" l="1"/>
  <c r="I148" i="1" s="1"/>
  <c r="H148" i="1"/>
  <c r="J148" i="1" s="1"/>
  <c r="D272" i="1"/>
  <c r="B272" i="1"/>
  <c r="C274" i="1"/>
  <c r="E273" i="1" s="1"/>
  <c r="A275" i="1"/>
  <c r="K148" i="1" l="1"/>
  <c r="N148" i="1"/>
  <c r="P147" i="1" s="1"/>
  <c r="M147" i="1" s="1"/>
  <c r="L148" i="1"/>
  <c r="F149" i="1" s="1"/>
  <c r="D273" i="1"/>
  <c r="B273" i="1"/>
  <c r="A276" i="1"/>
  <c r="C275" i="1"/>
  <c r="E274" i="1" s="1"/>
  <c r="G149" i="1" l="1"/>
  <c r="I149" i="1" s="1"/>
  <c r="O147" i="1"/>
  <c r="H149" i="1"/>
  <c r="J149" i="1" s="1"/>
  <c r="D274" i="1"/>
  <c r="B274" i="1"/>
  <c r="C276" i="1"/>
  <c r="E275" i="1" s="1"/>
  <c r="A277" i="1"/>
  <c r="L149" i="1" l="1"/>
  <c r="F150" i="1" s="1"/>
  <c r="N149" i="1"/>
  <c r="P148" i="1" s="1"/>
  <c r="M148" i="1" s="1"/>
  <c r="K149" i="1"/>
  <c r="D275" i="1"/>
  <c r="B275" i="1"/>
  <c r="C277" i="1"/>
  <c r="E276" i="1" s="1"/>
  <c r="A278" i="1"/>
  <c r="G150" i="1" l="1"/>
  <c r="I150" i="1" s="1"/>
  <c r="O148" i="1"/>
  <c r="H150" i="1"/>
  <c r="J150" i="1" s="1"/>
  <c r="N150" i="1" s="1"/>
  <c r="P149" i="1" s="1"/>
  <c r="D276" i="1"/>
  <c r="B276" i="1"/>
  <c r="C278" i="1"/>
  <c r="E277" i="1" s="1"/>
  <c r="A279" i="1"/>
  <c r="L150" i="1" l="1"/>
  <c r="F151" i="1" s="1"/>
  <c r="K150" i="1"/>
  <c r="D277" i="1"/>
  <c r="B277" i="1"/>
  <c r="O149" i="1"/>
  <c r="M149" i="1"/>
  <c r="C279" i="1"/>
  <c r="E278" i="1" s="1"/>
  <c r="A280" i="1"/>
  <c r="H151" i="1" l="1"/>
  <c r="J151" i="1" s="1"/>
  <c r="N151" i="1" s="1"/>
  <c r="P150" i="1" s="1"/>
  <c r="G151" i="1"/>
  <c r="I151" i="1" s="1"/>
  <c r="D278" i="1"/>
  <c r="B278" i="1"/>
  <c r="A281" i="1"/>
  <c r="C280" i="1"/>
  <c r="E279" i="1" s="1"/>
  <c r="L151" i="1" l="1"/>
  <c r="F152" i="1" s="1"/>
  <c r="K151" i="1"/>
  <c r="D279" i="1"/>
  <c r="B279" i="1"/>
  <c r="O150" i="1"/>
  <c r="M150" i="1"/>
  <c r="C281" i="1"/>
  <c r="E280" i="1" s="1"/>
  <c r="A282" i="1"/>
  <c r="G152" i="1" l="1"/>
  <c r="I152" i="1" s="1"/>
  <c r="H152" i="1"/>
  <c r="J152" i="1" s="1"/>
  <c r="D280" i="1"/>
  <c r="B280" i="1"/>
  <c r="C282" i="1"/>
  <c r="E281" i="1" s="1"/>
  <c r="A283" i="1"/>
  <c r="K152" i="1" l="1"/>
  <c r="N152" i="1"/>
  <c r="P151" i="1" s="1"/>
  <c r="O151" i="1" s="1"/>
  <c r="L152" i="1"/>
  <c r="F153" i="1" s="1"/>
  <c r="D281" i="1"/>
  <c r="B281" i="1"/>
  <c r="C283" i="1"/>
  <c r="E282" i="1" s="1"/>
  <c r="A284" i="1"/>
  <c r="G153" i="1" l="1"/>
  <c r="I153" i="1" s="1"/>
  <c r="M151" i="1"/>
  <c r="H153" i="1"/>
  <c r="J153" i="1" s="1"/>
  <c r="N153" i="1" s="1"/>
  <c r="P152" i="1" s="1"/>
  <c r="D282" i="1"/>
  <c r="B282" i="1"/>
  <c r="C284" i="1"/>
  <c r="E283" i="1" s="1"/>
  <c r="A285" i="1"/>
  <c r="L153" i="1" l="1"/>
  <c r="F154" i="1" s="1"/>
  <c r="K153" i="1"/>
  <c r="D283" i="1"/>
  <c r="B283" i="1"/>
  <c r="O152" i="1"/>
  <c r="M152" i="1"/>
  <c r="C285" i="1"/>
  <c r="E284" i="1" s="1"/>
  <c r="A286" i="1"/>
  <c r="G154" i="1" l="1"/>
  <c r="I154" i="1" s="1"/>
  <c r="H154" i="1"/>
  <c r="J154" i="1" s="1"/>
  <c r="N154" i="1" s="1"/>
  <c r="P153" i="1" s="1"/>
  <c r="D284" i="1"/>
  <c r="B284" i="1"/>
  <c r="C286" i="1"/>
  <c r="E285" i="1" s="1"/>
  <c r="A287" i="1"/>
  <c r="L154" i="1" l="1"/>
  <c r="F155" i="1" s="1"/>
  <c r="K154" i="1"/>
  <c r="D285" i="1"/>
  <c r="B285" i="1"/>
  <c r="O153" i="1"/>
  <c r="M153" i="1"/>
  <c r="C287" i="1"/>
  <c r="E286" i="1" s="1"/>
  <c r="A288" i="1"/>
  <c r="G155" i="1" l="1"/>
  <c r="I155" i="1" s="1"/>
  <c r="H155" i="1"/>
  <c r="J155" i="1" s="1"/>
  <c r="D286" i="1"/>
  <c r="B286" i="1"/>
  <c r="C288" i="1"/>
  <c r="E287" i="1" s="1"/>
  <c r="A289" i="1"/>
  <c r="L155" i="1" l="1"/>
  <c r="F156" i="1" s="1"/>
  <c r="N155" i="1"/>
  <c r="P154" i="1" s="1"/>
  <c r="M154" i="1" s="1"/>
  <c r="K155" i="1"/>
  <c r="D287" i="1"/>
  <c r="B287" i="1"/>
  <c r="C289" i="1"/>
  <c r="E288" i="1" s="1"/>
  <c r="A290" i="1"/>
  <c r="G156" i="1" l="1"/>
  <c r="I156" i="1" s="1"/>
  <c r="H156" i="1"/>
  <c r="J156" i="1" s="1"/>
  <c r="N156" i="1" s="1"/>
  <c r="P155" i="1" s="1"/>
  <c r="O154" i="1"/>
  <c r="D288" i="1"/>
  <c r="B288" i="1"/>
  <c r="C290" i="1"/>
  <c r="E289" i="1" s="1"/>
  <c r="A291" i="1"/>
  <c r="K156" i="1" l="1"/>
  <c r="L156" i="1"/>
  <c r="F157" i="1" s="1"/>
  <c r="D289" i="1"/>
  <c r="B289" i="1"/>
  <c r="O155" i="1"/>
  <c r="M155" i="1"/>
  <c r="C291" i="1"/>
  <c r="E290" i="1" s="1"/>
  <c r="A292" i="1"/>
  <c r="H157" i="1" l="1"/>
  <c r="J157" i="1" s="1"/>
  <c r="N157" i="1" s="1"/>
  <c r="P156" i="1" s="1"/>
  <c r="G157" i="1"/>
  <c r="I157" i="1" s="1"/>
  <c r="D290" i="1"/>
  <c r="B290" i="1"/>
  <c r="C292" i="1"/>
  <c r="E291" i="1" s="1"/>
  <c r="A293" i="1"/>
  <c r="K157" i="1" l="1"/>
  <c r="L157" i="1"/>
  <c r="F158" i="1" s="1"/>
  <c r="D291" i="1"/>
  <c r="B291" i="1"/>
  <c r="O156" i="1"/>
  <c r="M156" i="1"/>
  <c r="C293" i="1"/>
  <c r="E292" i="1" s="1"/>
  <c r="A294" i="1"/>
  <c r="G158" i="1" l="1"/>
  <c r="I158" i="1" s="1"/>
  <c r="H158" i="1"/>
  <c r="J158" i="1" s="1"/>
  <c r="D292" i="1"/>
  <c r="B292" i="1"/>
  <c r="A295" i="1"/>
  <c r="C294" i="1"/>
  <c r="E293" i="1" s="1"/>
  <c r="K158" i="1" l="1"/>
  <c r="N158" i="1"/>
  <c r="P157" i="1" s="1"/>
  <c r="M157" i="1" s="1"/>
  <c r="L158" i="1"/>
  <c r="F159" i="1" s="1"/>
  <c r="D293" i="1"/>
  <c r="B293" i="1"/>
  <c r="C295" i="1"/>
  <c r="E294" i="1" s="1"/>
  <c r="A296" i="1"/>
  <c r="G159" i="1" l="1"/>
  <c r="I159" i="1" s="1"/>
  <c r="H159" i="1"/>
  <c r="J159" i="1" s="1"/>
  <c r="O157" i="1"/>
  <c r="D294" i="1"/>
  <c r="B294" i="1"/>
  <c r="A297" i="1"/>
  <c r="C296" i="1"/>
  <c r="E295" i="1" s="1"/>
  <c r="K159" i="1" l="1"/>
  <c r="L159" i="1"/>
  <c r="F160" i="1" s="1"/>
  <c r="N159" i="1"/>
  <c r="P158" i="1" s="1"/>
  <c r="O158" i="1" s="1"/>
  <c r="D295" i="1"/>
  <c r="B295" i="1"/>
  <c r="C297" i="1"/>
  <c r="E296" i="1" s="1"/>
  <c r="A298" i="1"/>
  <c r="G160" i="1" l="1"/>
  <c r="I160" i="1" s="1"/>
  <c r="H160" i="1"/>
  <c r="J160" i="1" s="1"/>
  <c r="N160" i="1" s="1"/>
  <c r="P159" i="1" s="1"/>
  <c r="M158" i="1"/>
  <c r="D296" i="1"/>
  <c r="B296" i="1"/>
  <c r="A299" i="1"/>
  <c r="C298" i="1"/>
  <c r="E297" i="1" s="1"/>
  <c r="K160" i="1" l="1"/>
  <c r="L160" i="1"/>
  <c r="F161" i="1" s="1"/>
  <c r="D297" i="1"/>
  <c r="B297" i="1"/>
  <c r="O159" i="1"/>
  <c r="M159" i="1"/>
  <c r="C299" i="1"/>
  <c r="E298" i="1" s="1"/>
  <c r="A300" i="1"/>
  <c r="H161" i="1" l="1"/>
  <c r="J161" i="1" s="1"/>
  <c r="N161" i="1" s="1"/>
  <c r="P160" i="1" s="1"/>
  <c r="G161" i="1"/>
  <c r="I161" i="1" s="1"/>
  <c r="D298" i="1"/>
  <c r="B298" i="1"/>
  <c r="L161" i="1"/>
  <c r="F162" i="1" s="1"/>
  <c r="C300" i="1"/>
  <c r="E299" i="1" s="1"/>
  <c r="A301" i="1"/>
  <c r="K161" i="1" l="1"/>
  <c r="G162" i="1" s="1"/>
  <c r="I162" i="1" s="1"/>
  <c r="D299" i="1"/>
  <c r="B299" i="1"/>
  <c r="O160" i="1"/>
  <c r="M160" i="1"/>
  <c r="A302" i="1"/>
  <c r="C301" i="1"/>
  <c r="E300" i="1" s="1"/>
  <c r="H162" i="1" l="1"/>
  <c r="J162" i="1" s="1"/>
  <c r="D300" i="1"/>
  <c r="B300" i="1"/>
  <c r="K162" i="1"/>
  <c r="N162" i="1"/>
  <c r="P161" i="1" s="1"/>
  <c r="L162" i="1"/>
  <c r="F163" i="1" s="1"/>
  <c r="C302" i="1"/>
  <c r="E301" i="1" s="1"/>
  <c r="A303" i="1"/>
  <c r="D301" i="1" l="1"/>
  <c r="B301" i="1"/>
  <c r="O161" i="1"/>
  <c r="M161" i="1"/>
  <c r="H163" i="1"/>
  <c r="J163" i="1" s="1"/>
  <c r="G163" i="1"/>
  <c r="I163" i="1" s="1"/>
  <c r="C303" i="1"/>
  <c r="E302" i="1" s="1"/>
  <c r="A304" i="1"/>
  <c r="D302" i="1" l="1"/>
  <c r="B302" i="1"/>
  <c r="K163" i="1"/>
  <c r="N163" i="1"/>
  <c r="P162" i="1" s="1"/>
  <c r="L163" i="1"/>
  <c r="F164" i="1" s="1"/>
  <c r="A305" i="1"/>
  <c r="C304" i="1"/>
  <c r="E303" i="1" s="1"/>
  <c r="D303" i="1" l="1"/>
  <c r="B303" i="1"/>
  <c r="O162" i="1"/>
  <c r="M162" i="1"/>
  <c r="G164" i="1"/>
  <c r="I164" i="1" s="1"/>
  <c r="H164" i="1"/>
  <c r="J164" i="1" s="1"/>
  <c r="C305" i="1"/>
  <c r="E304" i="1" s="1"/>
  <c r="A306" i="1"/>
  <c r="D304" i="1" l="1"/>
  <c r="B304" i="1"/>
  <c r="K164" i="1"/>
  <c r="L164" i="1"/>
  <c r="F165" i="1" s="1"/>
  <c r="N164" i="1"/>
  <c r="P163" i="1" s="1"/>
  <c r="C306" i="1"/>
  <c r="E305" i="1" s="1"/>
  <c r="A307" i="1"/>
  <c r="D305" i="1" l="1"/>
  <c r="B305" i="1"/>
  <c r="O163" i="1"/>
  <c r="M163" i="1"/>
  <c r="G165" i="1"/>
  <c r="I165" i="1" s="1"/>
  <c r="H165" i="1"/>
  <c r="J165" i="1" s="1"/>
  <c r="A308" i="1"/>
  <c r="C307" i="1"/>
  <c r="E306" i="1" s="1"/>
  <c r="D306" i="1" l="1"/>
  <c r="B306" i="1"/>
  <c r="K165" i="1"/>
  <c r="L165" i="1"/>
  <c r="F166" i="1" s="1"/>
  <c r="N165" i="1"/>
  <c r="P164" i="1" s="1"/>
  <c r="C308" i="1"/>
  <c r="E307" i="1" s="1"/>
  <c r="A309" i="1"/>
  <c r="D307" i="1" l="1"/>
  <c r="B307" i="1"/>
  <c r="O164" i="1"/>
  <c r="M164" i="1"/>
  <c r="G166" i="1"/>
  <c r="I166" i="1" s="1"/>
  <c r="H166" i="1"/>
  <c r="J166" i="1" s="1"/>
  <c r="C309" i="1"/>
  <c r="E308" i="1" s="1"/>
  <c r="A310" i="1"/>
  <c r="D308" i="1" l="1"/>
  <c r="B308" i="1"/>
  <c r="K166" i="1"/>
  <c r="N166" i="1"/>
  <c r="P165" i="1" s="1"/>
  <c r="L166" i="1"/>
  <c r="F167" i="1" s="1"/>
  <c r="C310" i="1"/>
  <c r="E309" i="1" s="1"/>
  <c r="A311" i="1"/>
  <c r="D309" i="1" l="1"/>
  <c r="B309" i="1"/>
  <c r="O165" i="1"/>
  <c r="M165" i="1"/>
  <c r="G167" i="1"/>
  <c r="I167" i="1" s="1"/>
  <c r="H167" i="1"/>
  <c r="J167" i="1" s="1"/>
  <c r="C311" i="1"/>
  <c r="E310" i="1" s="1"/>
  <c r="A312" i="1"/>
  <c r="D310" i="1" l="1"/>
  <c r="B310" i="1"/>
  <c r="K167" i="1"/>
  <c r="N167" i="1"/>
  <c r="P166" i="1" s="1"/>
  <c r="L167" i="1"/>
  <c r="F168" i="1" s="1"/>
  <c r="A313" i="1"/>
  <c r="C312" i="1"/>
  <c r="E311" i="1" s="1"/>
  <c r="D311" i="1" l="1"/>
  <c r="B311" i="1"/>
  <c r="O166" i="1"/>
  <c r="M166" i="1"/>
  <c r="H168" i="1"/>
  <c r="J168" i="1" s="1"/>
  <c r="G168" i="1"/>
  <c r="I168" i="1" s="1"/>
  <c r="C313" i="1"/>
  <c r="E312" i="1" s="1"/>
  <c r="A314" i="1"/>
  <c r="D312" i="1" l="1"/>
  <c r="B312" i="1"/>
  <c r="K168" i="1"/>
  <c r="L168" i="1"/>
  <c r="F169" i="1" s="1"/>
  <c r="N168" i="1"/>
  <c r="P167" i="1" s="1"/>
  <c r="C314" i="1"/>
  <c r="E313" i="1" s="1"/>
  <c r="A315" i="1"/>
  <c r="D313" i="1" l="1"/>
  <c r="B313" i="1"/>
  <c r="O167" i="1"/>
  <c r="M167" i="1"/>
  <c r="H169" i="1"/>
  <c r="J169" i="1" s="1"/>
  <c r="G169" i="1"/>
  <c r="I169" i="1" s="1"/>
  <c r="C315" i="1"/>
  <c r="E314" i="1" s="1"/>
  <c r="A316" i="1"/>
  <c r="D314" i="1" l="1"/>
  <c r="B314" i="1"/>
  <c r="K169" i="1"/>
  <c r="N169" i="1"/>
  <c r="P168" i="1" s="1"/>
  <c r="L169" i="1"/>
  <c r="F170" i="1" s="1"/>
  <c r="A317" i="1"/>
  <c r="C316" i="1"/>
  <c r="E315" i="1" s="1"/>
  <c r="D315" i="1" l="1"/>
  <c r="B315" i="1"/>
  <c r="O168" i="1"/>
  <c r="M168" i="1"/>
  <c r="H170" i="1"/>
  <c r="J170" i="1" s="1"/>
  <c r="G170" i="1"/>
  <c r="I170" i="1" s="1"/>
  <c r="A318" i="1"/>
  <c r="C317" i="1"/>
  <c r="E316" i="1" s="1"/>
  <c r="D316" i="1" l="1"/>
  <c r="B316" i="1"/>
  <c r="K170" i="1"/>
  <c r="N170" i="1"/>
  <c r="P169" i="1" s="1"/>
  <c r="L170" i="1"/>
  <c r="F171" i="1" s="1"/>
  <c r="C318" i="1"/>
  <c r="E317" i="1" s="1"/>
  <c r="A319" i="1"/>
  <c r="D317" i="1" l="1"/>
  <c r="B317" i="1"/>
  <c r="O169" i="1"/>
  <c r="M169" i="1"/>
  <c r="G171" i="1"/>
  <c r="I171" i="1" s="1"/>
  <c r="H171" i="1"/>
  <c r="J171" i="1" s="1"/>
  <c r="A320" i="1"/>
  <c r="C319" i="1"/>
  <c r="E318" i="1" s="1"/>
  <c r="D318" i="1" l="1"/>
  <c r="B318" i="1"/>
  <c r="K171" i="1"/>
  <c r="L171" i="1"/>
  <c r="F172" i="1" s="1"/>
  <c r="N171" i="1"/>
  <c r="P170" i="1" s="1"/>
  <c r="A321" i="1"/>
  <c r="C320" i="1"/>
  <c r="E319" i="1" s="1"/>
  <c r="D319" i="1" l="1"/>
  <c r="B319" i="1"/>
  <c r="O170" i="1"/>
  <c r="M170" i="1"/>
  <c r="H172" i="1"/>
  <c r="J172" i="1" s="1"/>
  <c r="G172" i="1"/>
  <c r="I172" i="1" s="1"/>
  <c r="C321" i="1"/>
  <c r="E320" i="1" s="1"/>
  <c r="A322" i="1"/>
  <c r="D320" i="1" l="1"/>
  <c r="B320" i="1"/>
  <c r="K172" i="1"/>
  <c r="N172" i="1"/>
  <c r="P171" i="1" s="1"/>
  <c r="L172" i="1"/>
  <c r="F173" i="1" s="1"/>
  <c r="C322" i="1"/>
  <c r="E321" i="1" s="1"/>
  <c r="A323" i="1"/>
  <c r="D321" i="1" l="1"/>
  <c r="B321" i="1"/>
  <c r="O171" i="1"/>
  <c r="M171" i="1"/>
  <c r="H173" i="1"/>
  <c r="J173" i="1" s="1"/>
  <c r="G173" i="1"/>
  <c r="I173" i="1" s="1"/>
  <c r="C323" i="1"/>
  <c r="E322" i="1" s="1"/>
  <c r="A324" i="1"/>
  <c r="D322" i="1" l="1"/>
  <c r="B322" i="1"/>
  <c r="K173" i="1"/>
  <c r="N173" i="1"/>
  <c r="P172" i="1" s="1"/>
  <c r="L173" i="1"/>
  <c r="F174" i="1" s="1"/>
  <c r="A325" i="1"/>
  <c r="C324" i="1"/>
  <c r="E323" i="1" s="1"/>
  <c r="D323" i="1" l="1"/>
  <c r="B323" i="1"/>
  <c r="O172" i="1"/>
  <c r="M172" i="1"/>
  <c r="G174" i="1"/>
  <c r="I174" i="1" s="1"/>
  <c r="H174" i="1"/>
  <c r="J174" i="1" s="1"/>
  <c r="A326" i="1"/>
  <c r="C325" i="1"/>
  <c r="E324" i="1" s="1"/>
  <c r="D324" i="1" l="1"/>
  <c r="B324" i="1"/>
  <c r="K174" i="1"/>
  <c r="L174" i="1"/>
  <c r="F175" i="1" s="1"/>
  <c r="N174" i="1"/>
  <c r="P173" i="1" s="1"/>
  <c r="A327" i="1"/>
  <c r="C326" i="1"/>
  <c r="E325" i="1" s="1"/>
  <c r="D325" i="1" l="1"/>
  <c r="B325" i="1"/>
  <c r="O173" i="1"/>
  <c r="M173" i="1"/>
  <c r="H175" i="1"/>
  <c r="J175" i="1" s="1"/>
  <c r="G175" i="1"/>
  <c r="I175" i="1" s="1"/>
  <c r="C327" i="1"/>
  <c r="E326" i="1" s="1"/>
  <c r="A328" i="1"/>
  <c r="D326" i="1" l="1"/>
  <c r="B326" i="1"/>
  <c r="K175" i="1"/>
  <c r="N175" i="1"/>
  <c r="P174" i="1" s="1"/>
  <c r="L175" i="1"/>
  <c r="F176" i="1" s="1"/>
  <c r="A329" i="1"/>
  <c r="C328" i="1"/>
  <c r="E327" i="1" s="1"/>
  <c r="D327" i="1" l="1"/>
  <c r="B327" i="1"/>
  <c r="O174" i="1"/>
  <c r="M174" i="1"/>
  <c r="G176" i="1"/>
  <c r="I176" i="1" s="1"/>
  <c r="H176" i="1"/>
  <c r="J176" i="1" s="1"/>
  <c r="C329" i="1"/>
  <c r="E328" i="1" s="1"/>
  <c r="A330" i="1"/>
  <c r="D328" i="1" l="1"/>
  <c r="B328" i="1"/>
  <c r="K176" i="1"/>
  <c r="L176" i="1"/>
  <c r="F177" i="1" s="1"/>
  <c r="N176" i="1"/>
  <c r="P175" i="1" s="1"/>
  <c r="A331" i="1"/>
  <c r="C330" i="1"/>
  <c r="E329" i="1" s="1"/>
  <c r="D329" i="1" l="1"/>
  <c r="B329" i="1"/>
  <c r="O175" i="1"/>
  <c r="M175" i="1"/>
  <c r="G177" i="1"/>
  <c r="I177" i="1" s="1"/>
  <c r="H177" i="1"/>
  <c r="J177" i="1" s="1"/>
  <c r="A332" i="1"/>
  <c r="C331" i="1"/>
  <c r="E330" i="1" s="1"/>
  <c r="D330" i="1" l="1"/>
  <c r="B330" i="1"/>
  <c r="K177" i="1"/>
  <c r="N177" i="1"/>
  <c r="P176" i="1" s="1"/>
  <c r="L177" i="1"/>
  <c r="F178" i="1" s="1"/>
  <c r="C332" i="1"/>
  <c r="E331" i="1" s="1"/>
  <c r="A333" i="1"/>
  <c r="D331" i="1" l="1"/>
  <c r="B331" i="1"/>
  <c r="O176" i="1"/>
  <c r="M176" i="1"/>
  <c r="G178" i="1"/>
  <c r="I178" i="1" s="1"/>
  <c r="H178" i="1"/>
  <c r="J178" i="1" s="1"/>
  <c r="C333" i="1"/>
  <c r="E332" i="1" s="1"/>
  <c r="A334" i="1"/>
  <c r="D332" i="1" l="1"/>
  <c r="B332" i="1"/>
  <c r="K178" i="1"/>
  <c r="N178" i="1"/>
  <c r="P177" i="1" s="1"/>
  <c r="L178" i="1"/>
  <c r="F179" i="1" s="1"/>
  <c r="A335" i="1"/>
  <c r="C334" i="1"/>
  <c r="E333" i="1" s="1"/>
  <c r="D333" i="1" l="1"/>
  <c r="B333" i="1"/>
  <c r="O177" i="1"/>
  <c r="M177" i="1"/>
  <c r="H179" i="1"/>
  <c r="J179" i="1" s="1"/>
  <c r="G179" i="1"/>
  <c r="I179" i="1" s="1"/>
  <c r="C335" i="1"/>
  <c r="E334" i="1" s="1"/>
  <c r="A336" i="1"/>
  <c r="D334" i="1" l="1"/>
  <c r="B334" i="1"/>
  <c r="K179" i="1"/>
  <c r="L179" i="1"/>
  <c r="F180" i="1" s="1"/>
  <c r="N179" i="1"/>
  <c r="P178" i="1" s="1"/>
  <c r="A337" i="1"/>
  <c r="C336" i="1"/>
  <c r="E335" i="1" s="1"/>
  <c r="D335" i="1" l="1"/>
  <c r="B335" i="1"/>
  <c r="O178" i="1"/>
  <c r="M178" i="1"/>
  <c r="H180" i="1"/>
  <c r="J180" i="1" s="1"/>
  <c r="G180" i="1"/>
  <c r="I180" i="1" s="1"/>
  <c r="A338" i="1"/>
  <c r="C337" i="1"/>
  <c r="E336" i="1" s="1"/>
  <c r="D336" i="1" l="1"/>
  <c r="B336" i="1"/>
  <c r="K180" i="1"/>
  <c r="N180" i="1"/>
  <c r="P179" i="1" s="1"/>
  <c r="L180" i="1"/>
  <c r="F181" i="1" s="1"/>
  <c r="A339" i="1"/>
  <c r="C338" i="1"/>
  <c r="E337" i="1" s="1"/>
  <c r="D337" i="1" l="1"/>
  <c r="B337" i="1"/>
  <c r="O179" i="1"/>
  <c r="M179" i="1"/>
  <c r="H181" i="1"/>
  <c r="J181" i="1" s="1"/>
  <c r="G181" i="1"/>
  <c r="I181" i="1" s="1"/>
  <c r="A340" i="1"/>
  <c r="C339" i="1"/>
  <c r="E338" i="1" s="1"/>
  <c r="D338" i="1" l="1"/>
  <c r="B338" i="1"/>
  <c r="K181" i="1"/>
  <c r="N181" i="1"/>
  <c r="P180" i="1" s="1"/>
  <c r="L181" i="1"/>
  <c r="F182" i="1" s="1"/>
  <c r="A341" i="1"/>
  <c r="C340" i="1"/>
  <c r="E339" i="1" s="1"/>
  <c r="D339" i="1" l="1"/>
  <c r="B339" i="1"/>
  <c r="O180" i="1"/>
  <c r="M180" i="1"/>
  <c r="H182" i="1"/>
  <c r="J182" i="1" s="1"/>
  <c r="G182" i="1"/>
  <c r="I182" i="1" s="1"/>
  <c r="A342" i="1"/>
  <c r="C341" i="1"/>
  <c r="E340" i="1" s="1"/>
  <c r="D340" i="1" l="1"/>
  <c r="B340" i="1"/>
  <c r="K182" i="1"/>
  <c r="L182" i="1"/>
  <c r="F183" i="1" s="1"/>
  <c r="N182" i="1"/>
  <c r="P181" i="1" s="1"/>
  <c r="C342" i="1"/>
  <c r="E341" i="1" s="1"/>
  <c r="A343" i="1"/>
  <c r="D341" i="1" l="1"/>
  <c r="B341" i="1"/>
  <c r="O181" i="1"/>
  <c r="M181" i="1"/>
  <c r="H183" i="1"/>
  <c r="J183" i="1" s="1"/>
  <c r="G183" i="1"/>
  <c r="I183" i="1" s="1"/>
  <c r="C343" i="1"/>
  <c r="E342" i="1" s="1"/>
  <c r="A344" i="1"/>
  <c r="D342" i="1" l="1"/>
  <c r="B342" i="1"/>
  <c r="K183" i="1"/>
  <c r="N183" i="1"/>
  <c r="P182" i="1" s="1"/>
  <c r="L183" i="1"/>
  <c r="F184" i="1" s="1"/>
  <c r="C344" i="1"/>
  <c r="E343" i="1" s="1"/>
  <c r="A345" i="1"/>
  <c r="D343" i="1" l="1"/>
  <c r="B343" i="1"/>
  <c r="O182" i="1"/>
  <c r="M182" i="1"/>
  <c r="G184" i="1"/>
  <c r="I184" i="1" s="1"/>
  <c r="H184" i="1"/>
  <c r="J184" i="1" s="1"/>
  <c r="C345" i="1"/>
  <c r="E344" i="1" s="1"/>
  <c r="A346" i="1"/>
  <c r="D344" i="1" l="1"/>
  <c r="B344" i="1"/>
  <c r="K184" i="1"/>
  <c r="N184" i="1"/>
  <c r="P183" i="1" s="1"/>
  <c r="L184" i="1"/>
  <c r="F185" i="1" s="1"/>
  <c r="C346" i="1"/>
  <c r="E345" i="1" s="1"/>
  <c r="A347" i="1"/>
  <c r="D345" i="1" l="1"/>
  <c r="B345" i="1"/>
  <c r="O183" i="1"/>
  <c r="M183" i="1"/>
  <c r="H185" i="1"/>
  <c r="J185" i="1" s="1"/>
  <c r="G185" i="1"/>
  <c r="I185" i="1" s="1"/>
  <c r="A348" i="1"/>
  <c r="C347" i="1"/>
  <c r="E346" i="1" s="1"/>
  <c r="D346" i="1" l="1"/>
  <c r="B346" i="1"/>
  <c r="K185" i="1"/>
  <c r="N185" i="1"/>
  <c r="P184" i="1" s="1"/>
  <c r="L185" i="1"/>
  <c r="F186" i="1" s="1"/>
  <c r="A349" i="1"/>
  <c r="C348" i="1"/>
  <c r="E347" i="1" s="1"/>
  <c r="D347" i="1" l="1"/>
  <c r="B347" i="1"/>
  <c r="O184" i="1"/>
  <c r="M184" i="1"/>
  <c r="G186" i="1"/>
  <c r="I186" i="1" s="1"/>
  <c r="H186" i="1"/>
  <c r="J186" i="1" s="1"/>
  <c r="C349" i="1"/>
  <c r="E348" i="1" s="1"/>
  <c r="A350" i="1"/>
  <c r="D348" i="1" l="1"/>
  <c r="B348" i="1"/>
  <c r="K186" i="1"/>
  <c r="N186" i="1"/>
  <c r="P185" i="1" s="1"/>
  <c r="L186" i="1"/>
  <c r="F187" i="1" s="1"/>
  <c r="C350" i="1"/>
  <c r="E349" i="1" s="1"/>
  <c r="A351" i="1"/>
  <c r="D349" i="1" l="1"/>
  <c r="B349" i="1"/>
  <c r="O185" i="1"/>
  <c r="M185" i="1"/>
  <c r="H187" i="1"/>
  <c r="J187" i="1" s="1"/>
  <c r="G187" i="1"/>
  <c r="I187" i="1" s="1"/>
  <c r="C351" i="1"/>
  <c r="E350" i="1" s="1"/>
  <c r="A352" i="1"/>
  <c r="D350" i="1" l="1"/>
  <c r="B350" i="1"/>
  <c r="K187" i="1"/>
  <c r="N187" i="1"/>
  <c r="P186" i="1" s="1"/>
  <c r="L187" i="1"/>
  <c r="F188" i="1" s="1"/>
  <c r="C352" i="1"/>
  <c r="E351" i="1" s="1"/>
  <c r="A353" i="1"/>
  <c r="D351" i="1" l="1"/>
  <c r="B351" i="1"/>
  <c r="O186" i="1"/>
  <c r="M186" i="1"/>
  <c r="H188" i="1"/>
  <c r="J188" i="1" s="1"/>
  <c r="G188" i="1"/>
  <c r="I188" i="1" s="1"/>
  <c r="A354" i="1"/>
  <c r="C353" i="1"/>
  <c r="E352" i="1" s="1"/>
  <c r="D352" i="1" l="1"/>
  <c r="B352" i="1"/>
  <c r="K188" i="1"/>
  <c r="N188" i="1"/>
  <c r="P187" i="1" s="1"/>
  <c r="L188" i="1"/>
  <c r="F189" i="1" s="1"/>
  <c r="A355" i="1"/>
  <c r="C354" i="1"/>
  <c r="E353" i="1" s="1"/>
  <c r="D353" i="1" l="1"/>
  <c r="B353" i="1"/>
  <c r="O187" i="1"/>
  <c r="M187" i="1"/>
  <c r="H189" i="1"/>
  <c r="J189" i="1" s="1"/>
  <c r="G189" i="1"/>
  <c r="I189" i="1" s="1"/>
  <c r="A356" i="1"/>
  <c r="C355" i="1"/>
  <c r="E354" i="1" s="1"/>
  <c r="D354" i="1" l="1"/>
  <c r="B354" i="1"/>
  <c r="K189" i="1"/>
  <c r="N189" i="1"/>
  <c r="P188" i="1" s="1"/>
  <c r="L189" i="1"/>
  <c r="F190" i="1" s="1"/>
  <c r="C356" i="1"/>
  <c r="E355" i="1" s="1"/>
  <c r="A357" i="1"/>
  <c r="D355" i="1" l="1"/>
  <c r="B355" i="1"/>
  <c r="O188" i="1"/>
  <c r="M188" i="1"/>
  <c r="G190" i="1"/>
  <c r="I190" i="1" s="1"/>
  <c r="H190" i="1"/>
  <c r="J190" i="1" s="1"/>
  <c r="A358" i="1"/>
  <c r="C357" i="1"/>
  <c r="E356" i="1" s="1"/>
  <c r="D356" i="1" l="1"/>
  <c r="B356" i="1"/>
  <c r="K190" i="1"/>
  <c r="L190" i="1"/>
  <c r="F191" i="1" s="1"/>
  <c r="N190" i="1"/>
  <c r="P189" i="1" s="1"/>
  <c r="A359" i="1"/>
  <c r="C358" i="1"/>
  <c r="E357" i="1" s="1"/>
  <c r="D357" i="1" l="1"/>
  <c r="B357" i="1"/>
  <c r="O189" i="1"/>
  <c r="M189" i="1"/>
  <c r="G191" i="1"/>
  <c r="I191" i="1" s="1"/>
  <c r="H191" i="1"/>
  <c r="J191" i="1" s="1"/>
  <c r="A360" i="1"/>
  <c r="C359" i="1"/>
  <c r="E358" i="1" s="1"/>
  <c r="D358" i="1" l="1"/>
  <c r="B358" i="1"/>
  <c r="K191" i="1"/>
  <c r="L191" i="1"/>
  <c r="F192" i="1" s="1"/>
  <c r="N191" i="1"/>
  <c r="P190" i="1" s="1"/>
  <c r="A361" i="1"/>
  <c r="C360" i="1"/>
  <c r="E359" i="1" s="1"/>
  <c r="D359" i="1" l="1"/>
  <c r="B359" i="1"/>
  <c r="O190" i="1"/>
  <c r="M190" i="1"/>
  <c r="G192" i="1"/>
  <c r="I192" i="1" s="1"/>
  <c r="H192" i="1"/>
  <c r="J192" i="1" s="1"/>
  <c r="A362" i="1"/>
  <c r="C361" i="1"/>
  <c r="E360" i="1" s="1"/>
  <c r="D360" i="1" l="1"/>
  <c r="B360" i="1"/>
  <c r="K192" i="1"/>
  <c r="N192" i="1"/>
  <c r="P191" i="1" s="1"/>
  <c r="L192" i="1"/>
  <c r="F193" i="1" s="1"/>
  <c r="A363" i="1"/>
  <c r="C362" i="1"/>
  <c r="E361" i="1" s="1"/>
  <c r="D361" i="1" l="1"/>
  <c r="B361" i="1"/>
  <c r="O191" i="1"/>
  <c r="M191" i="1"/>
  <c r="G193" i="1"/>
  <c r="I193" i="1" s="1"/>
  <c r="H193" i="1"/>
  <c r="J193" i="1" s="1"/>
  <c r="C363" i="1"/>
  <c r="E362" i="1" s="1"/>
  <c r="A364" i="1"/>
  <c r="D362" i="1" l="1"/>
  <c r="B362" i="1"/>
  <c r="K193" i="1"/>
  <c r="L193" i="1"/>
  <c r="F194" i="1" s="1"/>
  <c r="N193" i="1"/>
  <c r="P192" i="1" s="1"/>
  <c r="C364" i="1"/>
  <c r="E363" i="1" s="1"/>
  <c r="A365" i="1"/>
  <c r="D363" i="1" l="1"/>
  <c r="B363" i="1"/>
  <c r="O192" i="1"/>
  <c r="M192" i="1"/>
  <c r="H194" i="1"/>
  <c r="J194" i="1" s="1"/>
  <c r="G194" i="1"/>
  <c r="I194" i="1" s="1"/>
  <c r="C365" i="1"/>
  <c r="E364" i="1" s="1"/>
  <c r="A366" i="1"/>
  <c r="D364" i="1" l="1"/>
  <c r="B364" i="1"/>
  <c r="K194" i="1"/>
  <c r="N194" i="1"/>
  <c r="P193" i="1" s="1"/>
  <c r="L194" i="1"/>
  <c r="F195" i="1" s="1"/>
  <c r="A367" i="1"/>
  <c r="C366" i="1"/>
  <c r="E365" i="1" s="1"/>
  <c r="D365" i="1" l="1"/>
  <c r="B365" i="1"/>
  <c r="O193" i="1"/>
  <c r="M193" i="1"/>
  <c r="H195" i="1"/>
  <c r="J195" i="1" s="1"/>
  <c r="G195" i="1"/>
  <c r="I195" i="1" s="1"/>
  <c r="C367" i="1"/>
  <c r="E366" i="1" s="1"/>
  <c r="A368" i="1"/>
  <c r="D366" i="1" l="1"/>
  <c r="B366" i="1"/>
  <c r="K195" i="1"/>
  <c r="N195" i="1"/>
  <c r="P194" i="1" s="1"/>
  <c r="L195" i="1"/>
  <c r="F196" i="1" s="1"/>
  <c r="C368" i="1"/>
  <c r="E367" i="1" s="1"/>
  <c r="A369" i="1"/>
  <c r="D367" i="1" l="1"/>
  <c r="B367" i="1"/>
  <c r="O194" i="1"/>
  <c r="M194" i="1"/>
  <c r="G196" i="1"/>
  <c r="I196" i="1" s="1"/>
  <c r="H196" i="1"/>
  <c r="J196" i="1" s="1"/>
  <c r="A370" i="1"/>
  <c r="C369" i="1"/>
  <c r="E368" i="1" s="1"/>
  <c r="D368" i="1" l="1"/>
  <c r="B368" i="1"/>
  <c r="K196" i="1"/>
  <c r="N196" i="1"/>
  <c r="P195" i="1" s="1"/>
  <c r="L196" i="1"/>
  <c r="F197" i="1" s="1"/>
  <c r="C370" i="1"/>
  <c r="E369" i="1" s="1"/>
  <c r="A371" i="1"/>
  <c r="D369" i="1" l="1"/>
  <c r="B369" i="1"/>
  <c r="O195" i="1"/>
  <c r="M195" i="1"/>
  <c r="G197" i="1"/>
  <c r="I197" i="1" s="1"/>
  <c r="H197" i="1"/>
  <c r="J197" i="1" s="1"/>
  <c r="C371" i="1"/>
  <c r="E370" i="1" s="1"/>
  <c r="A372" i="1"/>
  <c r="D370" i="1" l="1"/>
  <c r="B370" i="1"/>
  <c r="K197" i="1"/>
  <c r="N197" i="1"/>
  <c r="P196" i="1" s="1"/>
  <c r="L197" i="1"/>
  <c r="F198" i="1" s="1"/>
  <c r="C372" i="1"/>
  <c r="E371" i="1" s="1"/>
  <c r="A373" i="1"/>
  <c r="D371" i="1" l="1"/>
  <c r="B371" i="1"/>
  <c r="O196" i="1"/>
  <c r="M196" i="1"/>
  <c r="G198" i="1"/>
  <c r="I198" i="1" s="1"/>
  <c r="H198" i="1"/>
  <c r="J198" i="1" s="1"/>
  <c r="C373" i="1"/>
  <c r="E372" i="1" s="1"/>
  <c r="A374" i="1"/>
  <c r="D372" i="1" l="1"/>
  <c r="B372" i="1"/>
  <c r="K198" i="1"/>
  <c r="N198" i="1"/>
  <c r="P197" i="1" s="1"/>
  <c r="L198" i="1"/>
  <c r="F199" i="1" s="1"/>
  <c r="A375" i="1"/>
  <c r="C374" i="1"/>
  <c r="E373" i="1" s="1"/>
  <c r="D373" i="1" l="1"/>
  <c r="B373" i="1"/>
  <c r="O197" i="1"/>
  <c r="M197" i="1"/>
  <c r="H199" i="1"/>
  <c r="J199" i="1" s="1"/>
  <c r="G199" i="1"/>
  <c r="I199" i="1" s="1"/>
  <c r="C375" i="1"/>
  <c r="E374" i="1" s="1"/>
  <c r="A376" i="1"/>
  <c r="D374" i="1" l="1"/>
  <c r="B374" i="1"/>
  <c r="K199" i="1"/>
  <c r="N199" i="1"/>
  <c r="P198" i="1" s="1"/>
  <c r="L199" i="1"/>
  <c r="F200" i="1" s="1"/>
  <c r="C376" i="1"/>
  <c r="E375" i="1" s="1"/>
  <c r="A377" i="1"/>
  <c r="D375" i="1" l="1"/>
  <c r="B375" i="1"/>
  <c r="O198" i="1"/>
  <c r="M198" i="1"/>
  <c r="G200" i="1"/>
  <c r="I200" i="1" s="1"/>
  <c r="H200" i="1"/>
  <c r="J200" i="1" s="1"/>
  <c r="A378" i="1"/>
  <c r="C377" i="1"/>
  <c r="E376" i="1" s="1"/>
  <c r="D376" i="1" l="1"/>
  <c r="B376" i="1"/>
  <c r="K200" i="1"/>
  <c r="N200" i="1"/>
  <c r="P199" i="1" s="1"/>
  <c r="L200" i="1"/>
  <c r="F201" i="1" s="1"/>
  <c r="A379" i="1"/>
  <c r="C378" i="1"/>
  <c r="E377" i="1" s="1"/>
  <c r="D377" i="1" l="1"/>
  <c r="B377" i="1"/>
  <c r="O199" i="1"/>
  <c r="M199" i="1"/>
  <c r="H201" i="1"/>
  <c r="J201" i="1" s="1"/>
  <c r="G201" i="1"/>
  <c r="I201" i="1" s="1"/>
  <c r="A380" i="1"/>
  <c r="C379" i="1"/>
  <c r="E378" i="1" s="1"/>
  <c r="D378" i="1" l="1"/>
  <c r="B378" i="1"/>
  <c r="K201" i="1"/>
  <c r="L201" i="1"/>
  <c r="F202" i="1" s="1"/>
  <c r="N201" i="1"/>
  <c r="P200" i="1" s="1"/>
  <c r="A381" i="1"/>
  <c r="C380" i="1"/>
  <c r="E379" i="1" s="1"/>
  <c r="D379" i="1" l="1"/>
  <c r="B379" i="1"/>
  <c r="O200" i="1"/>
  <c r="M200" i="1"/>
  <c r="H202" i="1"/>
  <c r="J202" i="1" s="1"/>
  <c r="G202" i="1"/>
  <c r="I202" i="1" s="1"/>
  <c r="C381" i="1"/>
  <c r="E380" i="1" s="1"/>
  <c r="A382" i="1"/>
  <c r="D380" i="1" l="1"/>
  <c r="B380" i="1"/>
  <c r="K202" i="1"/>
  <c r="L202" i="1"/>
  <c r="F203" i="1" s="1"/>
  <c r="N202" i="1"/>
  <c r="P201" i="1" s="1"/>
  <c r="A383" i="1"/>
  <c r="C382" i="1"/>
  <c r="E381" i="1" s="1"/>
  <c r="D381" i="1" l="1"/>
  <c r="B381" i="1"/>
  <c r="O201" i="1"/>
  <c r="M201" i="1"/>
  <c r="G203" i="1"/>
  <c r="I203" i="1" s="1"/>
  <c r="H203" i="1"/>
  <c r="J203" i="1" s="1"/>
  <c r="A384" i="1"/>
  <c r="C383" i="1"/>
  <c r="E382" i="1" s="1"/>
  <c r="D382" i="1" l="1"/>
  <c r="B382" i="1"/>
  <c r="K203" i="1"/>
  <c r="L203" i="1"/>
  <c r="F204" i="1" s="1"/>
  <c r="N203" i="1"/>
  <c r="P202" i="1" s="1"/>
  <c r="A385" i="1"/>
  <c r="C384" i="1"/>
  <c r="E383" i="1" s="1"/>
  <c r="D383" i="1" l="1"/>
  <c r="B383" i="1"/>
  <c r="O202" i="1"/>
  <c r="M202" i="1"/>
  <c r="G204" i="1"/>
  <c r="I204" i="1" s="1"/>
  <c r="H204" i="1"/>
  <c r="J204" i="1" s="1"/>
  <c r="C385" i="1"/>
  <c r="E384" i="1" s="1"/>
  <c r="A386" i="1"/>
  <c r="D384" i="1" l="1"/>
  <c r="B384" i="1"/>
  <c r="K204" i="1"/>
  <c r="N204" i="1"/>
  <c r="P203" i="1" s="1"/>
  <c r="L204" i="1"/>
  <c r="F205" i="1" s="1"/>
  <c r="A387" i="1"/>
  <c r="C386" i="1"/>
  <c r="E385" i="1" s="1"/>
  <c r="D385" i="1" l="1"/>
  <c r="B385" i="1"/>
  <c r="O203" i="1"/>
  <c r="M203" i="1"/>
  <c r="H205" i="1"/>
  <c r="J205" i="1" s="1"/>
  <c r="G205" i="1"/>
  <c r="I205" i="1" s="1"/>
  <c r="A388" i="1"/>
  <c r="C387" i="1"/>
  <c r="E386" i="1" s="1"/>
  <c r="D386" i="1" l="1"/>
  <c r="B386" i="1"/>
  <c r="K205" i="1"/>
  <c r="L205" i="1"/>
  <c r="F206" i="1" s="1"/>
  <c r="N205" i="1"/>
  <c r="P204" i="1" s="1"/>
  <c r="A389" i="1"/>
  <c r="C388" i="1"/>
  <c r="E387" i="1" s="1"/>
  <c r="D387" i="1" l="1"/>
  <c r="B387" i="1"/>
  <c r="O204" i="1"/>
  <c r="M204" i="1"/>
  <c r="G206" i="1"/>
  <c r="I206" i="1" s="1"/>
  <c r="H206" i="1"/>
  <c r="J206" i="1" s="1"/>
  <c r="C389" i="1"/>
  <c r="E388" i="1" s="1"/>
  <c r="A390" i="1"/>
  <c r="D388" i="1" l="1"/>
  <c r="B388" i="1"/>
  <c r="K206" i="1"/>
  <c r="N206" i="1"/>
  <c r="P205" i="1" s="1"/>
  <c r="L206" i="1"/>
  <c r="F207" i="1" s="1"/>
  <c r="C390" i="1"/>
  <c r="E389" i="1" s="1"/>
  <c r="A391" i="1"/>
  <c r="D389" i="1" l="1"/>
  <c r="B389" i="1"/>
  <c r="O205" i="1"/>
  <c r="M205" i="1"/>
  <c r="G207" i="1"/>
  <c r="I207" i="1" s="1"/>
  <c r="H207" i="1"/>
  <c r="J207" i="1" s="1"/>
  <c r="A392" i="1"/>
  <c r="C391" i="1"/>
  <c r="E390" i="1" s="1"/>
  <c r="D390" i="1" l="1"/>
  <c r="B390" i="1"/>
  <c r="K207" i="1"/>
  <c r="L207" i="1"/>
  <c r="F208" i="1" s="1"/>
  <c r="N207" i="1"/>
  <c r="P206" i="1" s="1"/>
  <c r="C392" i="1"/>
  <c r="E391" i="1" s="1"/>
  <c r="A393" i="1"/>
  <c r="D391" i="1" l="1"/>
  <c r="B391" i="1"/>
  <c r="O206" i="1"/>
  <c r="M206" i="1"/>
  <c r="H208" i="1"/>
  <c r="J208" i="1" s="1"/>
  <c r="G208" i="1"/>
  <c r="I208" i="1" s="1"/>
  <c r="C393" i="1"/>
  <c r="E392" i="1" s="1"/>
  <c r="A394" i="1"/>
  <c r="D392" i="1" l="1"/>
  <c r="B392" i="1"/>
  <c r="K208" i="1"/>
  <c r="N208" i="1"/>
  <c r="P207" i="1" s="1"/>
  <c r="L208" i="1"/>
  <c r="F209" i="1" s="1"/>
  <c r="A395" i="1"/>
  <c r="C394" i="1"/>
  <c r="E393" i="1" s="1"/>
  <c r="D393" i="1" l="1"/>
  <c r="B393" i="1"/>
  <c r="O207" i="1"/>
  <c r="M207" i="1"/>
  <c r="H209" i="1"/>
  <c r="J209" i="1" s="1"/>
  <c r="G209" i="1"/>
  <c r="I209" i="1" s="1"/>
  <c r="C395" i="1"/>
  <c r="E394" i="1" s="1"/>
  <c r="A396" i="1"/>
  <c r="D394" i="1" l="1"/>
  <c r="B394" i="1"/>
  <c r="K209" i="1"/>
  <c r="N209" i="1"/>
  <c r="P208" i="1" s="1"/>
  <c r="L209" i="1"/>
  <c r="F210" i="1" s="1"/>
  <c r="A397" i="1"/>
  <c r="C396" i="1"/>
  <c r="E395" i="1" s="1"/>
  <c r="D395" i="1" l="1"/>
  <c r="B395" i="1"/>
  <c r="O208" i="1"/>
  <c r="M208" i="1"/>
  <c r="G210" i="1"/>
  <c r="I210" i="1" s="1"/>
  <c r="H210" i="1"/>
  <c r="J210" i="1" s="1"/>
  <c r="A398" i="1"/>
  <c r="C397" i="1"/>
  <c r="E396" i="1" s="1"/>
  <c r="D396" i="1" l="1"/>
  <c r="B396" i="1"/>
  <c r="K210" i="1"/>
  <c r="N210" i="1"/>
  <c r="P209" i="1" s="1"/>
  <c r="L210" i="1"/>
  <c r="F211" i="1" s="1"/>
  <c r="A399" i="1"/>
  <c r="C398" i="1"/>
  <c r="E397" i="1" s="1"/>
  <c r="D397" i="1" l="1"/>
  <c r="B397" i="1"/>
  <c r="O209" i="1"/>
  <c r="M209" i="1"/>
  <c r="G211" i="1"/>
  <c r="I211" i="1" s="1"/>
  <c r="H211" i="1"/>
  <c r="J211" i="1" s="1"/>
  <c r="C399" i="1"/>
  <c r="E398" i="1" s="1"/>
  <c r="A400" i="1"/>
  <c r="D398" i="1" l="1"/>
  <c r="B398" i="1"/>
  <c r="K211" i="1"/>
  <c r="L211" i="1"/>
  <c r="F212" i="1" s="1"/>
  <c r="N211" i="1"/>
  <c r="P210" i="1" s="1"/>
  <c r="A401" i="1"/>
  <c r="C400" i="1"/>
  <c r="E399" i="1" s="1"/>
  <c r="D399" i="1" l="1"/>
  <c r="B399" i="1"/>
  <c r="O210" i="1"/>
  <c r="M210" i="1"/>
  <c r="H212" i="1"/>
  <c r="J212" i="1" s="1"/>
  <c r="G212" i="1"/>
  <c r="I212" i="1" s="1"/>
  <c r="A402" i="1"/>
  <c r="C401" i="1"/>
  <c r="E400" i="1" s="1"/>
  <c r="D400" i="1" l="1"/>
  <c r="B400" i="1"/>
  <c r="K212" i="1"/>
  <c r="N212" i="1"/>
  <c r="P211" i="1" s="1"/>
  <c r="L212" i="1"/>
  <c r="F213" i="1" s="1"/>
  <c r="A403" i="1"/>
  <c r="C402" i="1"/>
  <c r="E401" i="1" s="1"/>
  <c r="D401" i="1" l="1"/>
  <c r="B401" i="1"/>
  <c r="O211" i="1"/>
  <c r="M211" i="1"/>
  <c r="G213" i="1"/>
  <c r="I213" i="1" s="1"/>
  <c r="H213" i="1"/>
  <c r="J213" i="1" s="1"/>
  <c r="C403" i="1"/>
  <c r="E402" i="1" s="1"/>
  <c r="A404" i="1"/>
  <c r="D402" i="1" l="1"/>
  <c r="B402" i="1"/>
  <c r="K213" i="1"/>
  <c r="N213" i="1"/>
  <c r="P212" i="1" s="1"/>
  <c r="L213" i="1"/>
  <c r="F214" i="1" s="1"/>
  <c r="C404" i="1"/>
  <c r="E403" i="1" s="1"/>
  <c r="A405" i="1"/>
  <c r="D403" i="1" l="1"/>
  <c r="B403" i="1"/>
  <c r="O212" i="1"/>
  <c r="M212" i="1"/>
  <c r="G214" i="1"/>
  <c r="I214" i="1" s="1"/>
  <c r="H214" i="1"/>
  <c r="J214" i="1" s="1"/>
  <c r="C405" i="1"/>
  <c r="E404" i="1" s="1"/>
  <c r="A406" i="1"/>
  <c r="D404" i="1" l="1"/>
  <c r="B404" i="1"/>
  <c r="K214" i="1"/>
  <c r="N214" i="1"/>
  <c r="P213" i="1" s="1"/>
  <c r="L214" i="1"/>
  <c r="F215" i="1" s="1"/>
  <c r="C406" i="1"/>
  <c r="E405" i="1" s="1"/>
  <c r="A407" i="1"/>
  <c r="D405" i="1" l="1"/>
  <c r="B405" i="1"/>
  <c r="O213" i="1"/>
  <c r="M213" i="1"/>
  <c r="G215" i="1"/>
  <c r="I215" i="1" s="1"/>
  <c r="H215" i="1"/>
  <c r="J215" i="1" s="1"/>
  <c r="C407" i="1"/>
  <c r="E406" i="1" s="1"/>
  <c r="A408" i="1"/>
  <c r="D406" i="1" l="1"/>
  <c r="B406" i="1"/>
  <c r="K215" i="1"/>
  <c r="N215" i="1"/>
  <c r="P214" i="1" s="1"/>
  <c r="L215" i="1"/>
  <c r="F216" i="1" s="1"/>
  <c r="A409" i="1"/>
  <c r="C408" i="1"/>
  <c r="E407" i="1" s="1"/>
  <c r="D407" i="1" l="1"/>
  <c r="B407" i="1"/>
  <c r="O214" i="1"/>
  <c r="M214" i="1"/>
  <c r="H216" i="1"/>
  <c r="J216" i="1" s="1"/>
  <c r="G216" i="1"/>
  <c r="I216" i="1" s="1"/>
  <c r="A410" i="1"/>
  <c r="C409" i="1"/>
  <c r="E408" i="1" s="1"/>
  <c r="D408" i="1" l="1"/>
  <c r="B408" i="1"/>
  <c r="K216" i="1"/>
  <c r="L216" i="1"/>
  <c r="F217" i="1" s="1"/>
  <c r="N216" i="1"/>
  <c r="P215" i="1" s="1"/>
  <c r="C410" i="1"/>
  <c r="E409" i="1" s="1"/>
  <c r="A411" i="1"/>
  <c r="D409" i="1" l="1"/>
  <c r="B409" i="1"/>
  <c r="O215" i="1"/>
  <c r="M215" i="1"/>
  <c r="G217" i="1"/>
  <c r="I217" i="1" s="1"/>
  <c r="H217" i="1"/>
  <c r="J217" i="1" s="1"/>
  <c r="A412" i="1"/>
  <c r="C411" i="1"/>
  <c r="E410" i="1" s="1"/>
  <c r="D410" i="1" l="1"/>
  <c r="B410" i="1"/>
  <c r="K217" i="1"/>
  <c r="L217" i="1"/>
  <c r="F218" i="1" s="1"/>
  <c r="N217" i="1"/>
  <c r="P216" i="1" s="1"/>
  <c r="C412" i="1"/>
  <c r="E411" i="1" s="1"/>
  <c r="A413" i="1"/>
  <c r="D411" i="1" l="1"/>
  <c r="B411" i="1"/>
  <c r="O216" i="1"/>
  <c r="M216" i="1"/>
  <c r="H218" i="1"/>
  <c r="J218" i="1" s="1"/>
  <c r="G218" i="1"/>
  <c r="I218" i="1" s="1"/>
  <c r="A414" i="1"/>
  <c r="C413" i="1"/>
  <c r="E412" i="1" s="1"/>
  <c r="D412" i="1" l="1"/>
  <c r="B412" i="1"/>
  <c r="K218" i="1"/>
  <c r="N218" i="1"/>
  <c r="P217" i="1" s="1"/>
  <c r="L218" i="1"/>
  <c r="F219" i="1" s="1"/>
  <c r="C414" i="1"/>
  <c r="E413" i="1" s="1"/>
  <c r="A415" i="1"/>
  <c r="D413" i="1" l="1"/>
  <c r="B413" i="1"/>
  <c r="O217" i="1"/>
  <c r="M217" i="1"/>
  <c r="G219" i="1"/>
  <c r="I219" i="1" s="1"/>
  <c r="H219" i="1"/>
  <c r="J219" i="1" s="1"/>
  <c r="C415" i="1"/>
  <c r="E414" i="1" s="1"/>
  <c r="A416" i="1"/>
  <c r="D414" i="1" l="1"/>
  <c r="B414" i="1"/>
  <c r="K219" i="1"/>
  <c r="N219" i="1"/>
  <c r="P218" i="1" s="1"/>
  <c r="L219" i="1"/>
  <c r="F220" i="1" s="1"/>
  <c r="C416" i="1"/>
  <c r="E415" i="1" s="1"/>
  <c r="A417" i="1"/>
  <c r="D415" i="1" l="1"/>
  <c r="B415" i="1"/>
  <c r="O218" i="1"/>
  <c r="M218" i="1"/>
  <c r="H220" i="1"/>
  <c r="J220" i="1" s="1"/>
  <c r="G220" i="1"/>
  <c r="I220" i="1" s="1"/>
  <c r="A418" i="1"/>
  <c r="C417" i="1"/>
  <c r="E416" i="1" s="1"/>
  <c r="D416" i="1" l="1"/>
  <c r="B416" i="1"/>
  <c r="K220" i="1"/>
  <c r="N220" i="1"/>
  <c r="P219" i="1" s="1"/>
  <c r="L220" i="1"/>
  <c r="F221" i="1" s="1"/>
  <c r="C418" i="1"/>
  <c r="E417" i="1" s="1"/>
  <c r="A419" i="1"/>
  <c r="D417" i="1" l="1"/>
  <c r="B417" i="1"/>
  <c r="O219" i="1"/>
  <c r="M219" i="1"/>
  <c r="H221" i="1"/>
  <c r="J221" i="1" s="1"/>
  <c r="G221" i="1"/>
  <c r="I221" i="1" s="1"/>
  <c r="A420" i="1"/>
  <c r="C419" i="1"/>
  <c r="E418" i="1" s="1"/>
  <c r="D418" i="1" l="1"/>
  <c r="B418" i="1"/>
  <c r="K221" i="1"/>
  <c r="N221" i="1"/>
  <c r="P220" i="1" s="1"/>
  <c r="L221" i="1"/>
  <c r="F222" i="1" s="1"/>
  <c r="C420" i="1"/>
  <c r="E419" i="1" s="1"/>
  <c r="A421" i="1"/>
  <c r="D419" i="1" l="1"/>
  <c r="B419" i="1"/>
  <c r="O220" i="1"/>
  <c r="M220" i="1"/>
  <c r="H222" i="1"/>
  <c r="J222" i="1" s="1"/>
  <c r="G222" i="1"/>
  <c r="I222" i="1" s="1"/>
  <c r="C421" i="1"/>
  <c r="E420" i="1" s="1"/>
  <c r="A422" i="1"/>
  <c r="D420" i="1" l="1"/>
  <c r="B420" i="1"/>
  <c r="K222" i="1"/>
  <c r="N222" i="1"/>
  <c r="P221" i="1" s="1"/>
  <c r="L222" i="1"/>
  <c r="F223" i="1" s="1"/>
  <c r="C422" i="1"/>
  <c r="E421" i="1" s="1"/>
  <c r="A423" i="1"/>
  <c r="D421" i="1" l="1"/>
  <c r="B421" i="1"/>
  <c r="O221" i="1"/>
  <c r="M221" i="1"/>
  <c r="H223" i="1"/>
  <c r="J223" i="1" s="1"/>
  <c r="G223" i="1"/>
  <c r="I223" i="1" s="1"/>
  <c r="A424" i="1"/>
  <c r="C423" i="1"/>
  <c r="E422" i="1" s="1"/>
  <c r="D422" i="1" l="1"/>
  <c r="B422" i="1"/>
  <c r="K223" i="1"/>
  <c r="N223" i="1"/>
  <c r="P222" i="1" s="1"/>
  <c r="L223" i="1"/>
  <c r="F224" i="1" s="1"/>
  <c r="A425" i="1"/>
  <c r="C424" i="1"/>
  <c r="E423" i="1" s="1"/>
  <c r="D423" i="1" l="1"/>
  <c r="B423" i="1"/>
  <c r="O222" i="1"/>
  <c r="M222" i="1"/>
  <c r="H224" i="1"/>
  <c r="J224" i="1" s="1"/>
  <c r="G224" i="1"/>
  <c r="I224" i="1" s="1"/>
  <c r="C425" i="1"/>
  <c r="E424" i="1" s="1"/>
  <c r="A426" i="1"/>
  <c r="D424" i="1" l="1"/>
  <c r="B424" i="1"/>
  <c r="K224" i="1"/>
  <c r="N224" i="1"/>
  <c r="P223" i="1" s="1"/>
  <c r="L224" i="1"/>
  <c r="F225" i="1" s="1"/>
  <c r="A427" i="1"/>
  <c r="C426" i="1"/>
  <c r="E425" i="1" s="1"/>
  <c r="D425" i="1" l="1"/>
  <c r="B425" i="1"/>
  <c r="O223" i="1"/>
  <c r="M223" i="1"/>
  <c r="H225" i="1"/>
  <c r="J225" i="1" s="1"/>
  <c r="G225" i="1"/>
  <c r="I225" i="1" s="1"/>
  <c r="C427" i="1"/>
  <c r="E426" i="1" s="1"/>
  <c r="A428" i="1"/>
  <c r="D426" i="1" l="1"/>
  <c r="B426" i="1"/>
  <c r="K225" i="1"/>
  <c r="L225" i="1"/>
  <c r="F226" i="1" s="1"/>
  <c r="N225" i="1"/>
  <c r="P224" i="1" s="1"/>
  <c r="A429" i="1"/>
  <c r="C428" i="1"/>
  <c r="E427" i="1" s="1"/>
  <c r="D427" i="1" l="1"/>
  <c r="B427" i="1"/>
  <c r="O224" i="1"/>
  <c r="M224" i="1"/>
  <c r="G226" i="1"/>
  <c r="I226" i="1" s="1"/>
  <c r="H226" i="1"/>
  <c r="J226" i="1" s="1"/>
  <c r="A430" i="1"/>
  <c r="C429" i="1"/>
  <c r="E428" i="1" s="1"/>
  <c r="D428" i="1" l="1"/>
  <c r="B428" i="1"/>
  <c r="K226" i="1"/>
  <c r="L226" i="1"/>
  <c r="F227" i="1" s="1"/>
  <c r="N226" i="1"/>
  <c r="P225" i="1" s="1"/>
  <c r="A431" i="1"/>
  <c r="C430" i="1"/>
  <c r="E429" i="1" s="1"/>
  <c r="D429" i="1" l="1"/>
  <c r="B429" i="1"/>
  <c r="O225" i="1"/>
  <c r="M225" i="1"/>
  <c r="G227" i="1"/>
  <c r="I227" i="1" s="1"/>
  <c r="H227" i="1"/>
  <c r="J227" i="1" s="1"/>
  <c r="C431" i="1"/>
  <c r="E430" i="1" s="1"/>
  <c r="A432" i="1"/>
  <c r="D430" i="1" l="1"/>
  <c r="B430" i="1"/>
  <c r="K227" i="1"/>
  <c r="N227" i="1"/>
  <c r="P226" i="1" s="1"/>
  <c r="L227" i="1"/>
  <c r="F228" i="1" s="1"/>
  <c r="C432" i="1"/>
  <c r="E431" i="1" s="1"/>
  <c r="A433" i="1"/>
  <c r="D431" i="1" l="1"/>
  <c r="B431" i="1"/>
  <c r="O226" i="1"/>
  <c r="M226" i="1"/>
  <c r="H228" i="1"/>
  <c r="J228" i="1" s="1"/>
  <c r="G228" i="1"/>
  <c r="I228" i="1" s="1"/>
  <c r="A434" i="1"/>
  <c r="C433" i="1"/>
  <c r="E432" i="1" s="1"/>
  <c r="D432" i="1" l="1"/>
  <c r="B432" i="1"/>
  <c r="K228" i="1"/>
  <c r="L228" i="1"/>
  <c r="F229" i="1" s="1"/>
  <c r="N228" i="1"/>
  <c r="P227" i="1" s="1"/>
  <c r="A435" i="1"/>
  <c r="C434" i="1"/>
  <c r="E433" i="1" s="1"/>
  <c r="D433" i="1" l="1"/>
  <c r="B433" i="1"/>
  <c r="O227" i="1"/>
  <c r="M227" i="1"/>
  <c r="H229" i="1"/>
  <c r="J229" i="1" s="1"/>
  <c r="G229" i="1"/>
  <c r="I229" i="1" s="1"/>
  <c r="A436" i="1"/>
  <c r="C435" i="1"/>
  <c r="E434" i="1" s="1"/>
  <c r="D434" i="1" l="1"/>
  <c r="B434" i="1"/>
  <c r="K229" i="1"/>
  <c r="N229" i="1"/>
  <c r="P228" i="1" s="1"/>
  <c r="L229" i="1"/>
  <c r="F230" i="1" s="1"/>
  <c r="A437" i="1"/>
  <c r="C436" i="1"/>
  <c r="E435" i="1" s="1"/>
  <c r="D435" i="1" l="1"/>
  <c r="B435" i="1"/>
  <c r="O228" i="1"/>
  <c r="M228" i="1"/>
  <c r="G230" i="1"/>
  <c r="I230" i="1" s="1"/>
  <c r="H230" i="1"/>
  <c r="J230" i="1" s="1"/>
  <c r="C437" i="1"/>
  <c r="E436" i="1" s="1"/>
  <c r="A438" i="1"/>
  <c r="D436" i="1" l="1"/>
  <c r="B436" i="1"/>
  <c r="K230" i="1"/>
  <c r="L230" i="1"/>
  <c r="F231" i="1" s="1"/>
  <c r="N230" i="1"/>
  <c r="P229" i="1" s="1"/>
  <c r="A439" i="1"/>
  <c r="C438" i="1"/>
  <c r="E437" i="1" s="1"/>
  <c r="D437" i="1" l="1"/>
  <c r="B437" i="1"/>
  <c r="O229" i="1"/>
  <c r="M229" i="1"/>
  <c r="H231" i="1"/>
  <c r="J231" i="1" s="1"/>
  <c r="G231" i="1"/>
  <c r="I231" i="1" s="1"/>
  <c r="C439" i="1"/>
  <c r="E438" i="1" s="1"/>
  <c r="A440" i="1"/>
  <c r="D438" i="1" l="1"/>
  <c r="B438" i="1"/>
  <c r="K231" i="1"/>
  <c r="N231" i="1"/>
  <c r="P230" i="1" s="1"/>
  <c r="L231" i="1"/>
  <c r="F232" i="1" s="1"/>
  <c r="A441" i="1"/>
  <c r="C440" i="1"/>
  <c r="E439" i="1" s="1"/>
  <c r="D439" i="1" l="1"/>
  <c r="B439" i="1"/>
  <c r="O230" i="1"/>
  <c r="M230" i="1"/>
  <c r="H232" i="1"/>
  <c r="J232" i="1" s="1"/>
  <c r="G232" i="1"/>
  <c r="I232" i="1" s="1"/>
  <c r="A442" i="1"/>
  <c r="C441" i="1"/>
  <c r="E440" i="1" s="1"/>
  <c r="D440" i="1" l="1"/>
  <c r="B440" i="1"/>
  <c r="K232" i="1"/>
  <c r="N232" i="1"/>
  <c r="P231" i="1" s="1"/>
  <c r="L232" i="1"/>
  <c r="F233" i="1" s="1"/>
  <c r="A443" i="1"/>
  <c r="C442" i="1"/>
  <c r="E441" i="1" s="1"/>
  <c r="D441" i="1" l="1"/>
  <c r="B441" i="1"/>
  <c r="O231" i="1"/>
  <c r="M231" i="1"/>
  <c r="G233" i="1"/>
  <c r="I233" i="1" s="1"/>
  <c r="H233" i="1"/>
  <c r="J233" i="1" s="1"/>
  <c r="C443" i="1"/>
  <c r="E442" i="1" s="1"/>
  <c r="A444" i="1"/>
  <c r="D442" i="1" l="1"/>
  <c r="B442" i="1"/>
  <c r="K233" i="1"/>
  <c r="L233" i="1"/>
  <c r="F234" i="1" s="1"/>
  <c r="N233" i="1"/>
  <c r="P232" i="1" s="1"/>
  <c r="C444" i="1"/>
  <c r="E443" i="1" s="1"/>
  <c r="A445" i="1"/>
  <c r="D443" i="1" l="1"/>
  <c r="B443" i="1"/>
  <c r="O232" i="1"/>
  <c r="M232" i="1"/>
  <c r="H234" i="1"/>
  <c r="J234" i="1" s="1"/>
  <c r="G234" i="1"/>
  <c r="I234" i="1" s="1"/>
  <c r="A446" i="1"/>
  <c r="C445" i="1"/>
  <c r="E444" i="1" s="1"/>
  <c r="D444" i="1" l="1"/>
  <c r="B444" i="1"/>
  <c r="K234" i="1"/>
  <c r="N234" i="1"/>
  <c r="P233" i="1" s="1"/>
  <c r="L234" i="1"/>
  <c r="F235" i="1" s="1"/>
  <c r="A447" i="1"/>
  <c r="C446" i="1"/>
  <c r="E445" i="1" s="1"/>
  <c r="D445" i="1" l="1"/>
  <c r="B445" i="1"/>
  <c r="O233" i="1"/>
  <c r="M233" i="1"/>
  <c r="G235" i="1"/>
  <c r="I235" i="1" s="1"/>
  <c r="H235" i="1"/>
  <c r="J235" i="1" s="1"/>
  <c r="A448" i="1"/>
  <c r="C447" i="1"/>
  <c r="E446" i="1" s="1"/>
  <c r="D446" i="1" l="1"/>
  <c r="B446" i="1"/>
  <c r="K235" i="1"/>
  <c r="N235" i="1"/>
  <c r="P234" i="1" s="1"/>
  <c r="L235" i="1"/>
  <c r="F236" i="1" s="1"/>
  <c r="C448" i="1"/>
  <c r="E447" i="1" s="1"/>
  <c r="A449" i="1"/>
  <c r="D447" i="1" l="1"/>
  <c r="B447" i="1"/>
  <c r="O234" i="1"/>
  <c r="M234" i="1"/>
  <c r="H236" i="1"/>
  <c r="J236" i="1" s="1"/>
  <c r="G236" i="1"/>
  <c r="I236" i="1" s="1"/>
  <c r="A450" i="1"/>
  <c r="C449" i="1"/>
  <c r="E448" i="1" s="1"/>
  <c r="D448" i="1" l="1"/>
  <c r="B448" i="1"/>
  <c r="K236" i="1"/>
  <c r="L236" i="1"/>
  <c r="F237" i="1" s="1"/>
  <c r="N236" i="1"/>
  <c r="P235" i="1" s="1"/>
  <c r="A451" i="1"/>
  <c r="C450" i="1"/>
  <c r="E449" i="1" s="1"/>
  <c r="D449" i="1" l="1"/>
  <c r="B449" i="1"/>
  <c r="O235" i="1"/>
  <c r="M235" i="1"/>
  <c r="G237" i="1"/>
  <c r="I237" i="1" s="1"/>
  <c r="H237" i="1"/>
  <c r="J237" i="1" s="1"/>
  <c r="C451" i="1"/>
  <c r="E450" i="1" s="1"/>
  <c r="A452" i="1"/>
  <c r="D450" i="1" l="1"/>
  <c r="B450" i="1"/>
  <c r="K237" i="1"/>
  <c r="L237" i="1"/>
  <c r="F238" i="1" s="1"/>
  <c r="N237" i="1"/>
  <c r="P236" i="1" s="1"/>
  <c r="C452" i="1"/>
  <c r="E451" i="1" s="1"/>
  <c r="A453" i="1"/>
  <c r="D451" i="1" l="1"/>
  <c r="B451" i="1"/>
  <c r="O236" i="1"/>
  <c r="M236" i="1"/>
  <c r="G238" i="1"/>
  <c r="I238" i="1" s="1"/>
  <c r="H238" i="1"/>
  <c r="J238" i="1" s="1"/>
  <c r="A454" i="1"/>
  <c r="C453" i="1"/>
  <c r="E452" i="1" s="1"/>
  <c r="D452" i="1" l="1"/>
  <c r="B452" i="1"/>
  <c r="K238" i="1"/>
  <c r="N238" i="1"/>
  <c r="P237" i="1" s="1"/>
  <c r="L238" i="1"/>
  <c r="F239" i="1" s="1"/>
  <c r="A455" i="1"/>
  <c r="C454" i="1"/>
  <c r="E453" i="1" s="1"/>
  <c r="D453" i="1" l="1"/>
  <c r="B453" i="1"/>
  <c r="O237" i="1"/>
  <c r="M237" i="1"/>
  <c r="H239" i="1"/>
  <c r="J239" i="1" s="1"/>
  <c r="G239" i="1"/>
  <c r="I239" i="1" s="1"/>
  <c r="A456" i="1"/>
  <c r="C455" i="1"/>
  <c r="E454" i="1" s="1"/>
  <c r="D454" i="1" l="1"/>
  <c r="B454" i="1"/>
  <c r="K239" i="1"/>
  <c r="L239" i="1"/>
  <c r="F240" i="1" s="1"/>
  <c r="N239" i="1"/>
  <c r="P238" i="1" s="1"/>
  <c r="A457" i="1"/>
  <c r="C456" i="1"/>
  <c r="E455" i="1" s="1"/>
  <c r="D455" i="1" l="1"/>
  <c r="B455" i="1"/>
  <c r="O238" i="1"/>
  <c r="M238" i="1"/>
  <c r="G240" i="1"/>
  <c r="I240" i="1" s="1"/>
  <c r="H240" i="1"/>
  <c r="J240" i="1" s="1"/>
  <c r="A458" i="1"/>
  <c r="C457" i="1"/>
  <c r="E456" i="1" s="1"/>
  <c r="D456" i="1" l="1"/>
  <c r="B456" i="1"/>
  <c r="K240" i="1"/>
  <c r="N240" i="1"/>
  <c r="P239" i="1" s="1"/>
  <c r="L240" i="1"/>
  <c r="F241" i="1" s="1"/>
  <c r="C458" i="1"/>
  <c r="E457" i="1" s="1"/>
  <c r="A459" i="1"/>
  <c r="D457" i="1" l="1"/>
  <c r="B457" i="1"/>
  <c r="O239" i="1"/>
  <c r="M239" i="1"/>
  <c r="G241" i="1"/>
  <c r="I241" i="1" s="1"/>
  <c r="H241" i="1"/>
  <c r="J241" i="1" s="1"/>
  <c r="A460" i="1"/>
  <c r="C459" i="1"/>
  <c r="E458" i="1" s="1"/>
  <c r="D458" i="1" l="1"/>
  <c r="B458" i="1"/>
  <c r="K241" i="1"/>
  <c r="L241" i="1"/>
  <c r="F242" i="1" s="1"/>
  <c r="N241" i="1"/>
  <c r="P240" i="1" s="1"/>
  <c r="A461" i="1"/>
  <c r="C460" i="1"/>
  <c r="E459" i="1" s="1"/>
  <c r="D459" i="1" l="1"/>
  <c r="B459" i="1"/>
  <c r="O240" i="1"/>
  <c r="M240" i="1"/>
  <c r="H242" i="1"/>
  <c r="J242" i="1" s="1"/>
  <c r="G242" i="1"/>
  <c r="I242" i="1" s="1"/>
  <c r="A462" i="1"/>
  <c r="C461" i="1"/>
  <c r="E460" i="1" s="1"/>
  <c r="D460" i="1" l="1"/>
  <c r="B460" i="1"/>
  <c r="K242" i="1"/>
  <c r="N242" i="1"/>
  <c r="P241" i="1" s="1"/>
  <c r="L242" i="1"/>
  <c r="F243" i="1" s="1"/>
  <c r="A463" i="1"/>
  <c r="C462" i="1"/>
  <c r="E461" i="1" s="1"/>
  <c r="D461" i="1" l="1"/>
  <c r="B461" i="1"/>
  <c r="O241" i="1"/>
  <c r="M241" i="1"/>
  <c r="G243" i="1"/>
  <c r="I243" i="1" s="1"/>
  <c r="H243" i="1"/>
  <c r="J243" i="1" s="1"/>
  <c r="C463" i="1"/>
  <c r="E462" i="1" s="1"/>
  <c r="A464" i="1"/>
  <c r="D462" i="1" l="1"/>
  <c r="B462" i="1"/>
  <c r="K243" i="1"/>
  <c r="N243" i="1"/>
  <c r="P242" i="1" s="1"/>
  <c r="L243" i="1"/>
  <c r="F244" i="1" s="1"/>
  <c r="C464" i="1"/>
  <c r="E463" i="1" s="1"/>
  <c r="A465" i="1"/>
  <c r="D463" i="1" l="1"/>
  <c r="B463" i="1"/>
  <c r="O242" i="1"/>
  <c r="M242" i="1"/>
  <c r="H244" i="1"/>
  <c r="J244" i="1" s="1"/>
  <c r="G244" i="1"/>
  <c r="I244" i="1" s="1"/>
  <c r="A466" i="1"/>
  <c r="C465" i="1"/>
  <c r="E464" i="1" s="1"/>
  <c r="D464" i="1" l="1"/>
  <c r="B464" i="1"/>
  <c r="K244" i="1"/>
  <c r="L244" i="1"/>
  <c r="F245" i="1" s="1"/>
  <c r="N244" i="1"/>
  <c r="P243" i="1" s="1"/>
  <c r="A467" i="1"/>
  <c r="C466" i="1"/>
  <c r="E465" i="1" s="1"/>
  <c r="D465" i="1" l="1"/>
  <c r="B465" i="1"/>
  <c r="O243" i="1"/>
  <c r="M243" i="1"/>
  <c r="H245" i="1"/>
  <c r="J245" i="1" s="1"/>
  <c r="G245" i="1"/>
  <c r="I245" i="1" s="1"/>
  <c r="A468" i="1"/>
  <c r="C467" i="1"/>
  <c r="E466" i="1" s="1"/>
  <c r="D466" i="1" l="1"/>
  <c r="B466" i="1"/>
  <c r="K245" i="1"/>
  <c r="N245" i="1"/>
  <c r="P244" i="1" s="1"/>
  <c r="L245" i="1"/>
  <c r="F246" i="1" s="1"/>
  <c r="A469" i="1"/>
  <c r="C468" i="1"/>
  <c r="E467" i="1" s="1"/>
  <c r="D467" i="1" l="1"/>
  <c r="B467" i="1"/>
  <c r="O244" i="1"/>
  <c r="M244" i="1"/>
  <c r="G246" i="1"/>
  <c r="I246" i="1" s="1"/>
  <c r="H246" i="1"/>
  <c r="J246" i="1" s="1"/>
  <c r="C469" i="1"/>
  <c r="E468" i="1" s="1"/>
  <c r="A470" i="1"/>
  <c r="D468" i="1" l="1"/>
  <c r="B468" i="1"/>
  <c r="K246" i="1"/>
  <c r="N246" i="1"/>
  <c r="P245" i="1" s="1"/>
  <c r="L246" i="1"/>
  <c r="F247" i="1" s="1"/>
  <c r="C470" i="1"/>
  <c r="E469" i="1" s="1"/>
  <c r="A471" i="1"/>
  <c r="D469" i="1" l="1"/>
  <c r="B469" i="1"/>
  <c r="O245" i="1"/>
  <c r="M245" i="1"/>
  <c r="H247" i="1"/>
  <c r="J247" i="1" s="1"/>
  <c r="G247" i="1"/>
  <c r="I247" i="1" s="1"/>
  <c r="C471" i="1"/>
  <c r="E470" i="1" s="1"/>
  <c r="A472" i="1"/>
  <c r="D470" i="1" l="1"/>
  <c r="B470" i="1"/>
  <c r="K247" i="1"/>
  <c r="N247" i="1"/>
  <c r="P246" i="1" s="1"/>
  <c r="L247" i="1"/>
  <c r="F248" i="1" s="1"/>
  <c r="C472" i="1"/>
  <c r="E471" i="1" s="1"/>
  <c r="A473" i="1"/>
  <c r="D471" i="1" l="1"/>
  <c r="B471" i="1"/>
  <c r="O246" i="1"/>
  <c r="M246" i="1"/>
  <c r="G248" i="1"/>
  <c r="I248" i="1" s="1"/>
  <c r="H248" i="1"/>
  <c r="J248" i="1" s="1"/>
  <c r="C473" i="1"/>
  <c r="E472" i="1" s="1"/>
  <c r="A474" i="1"/>
  <c r="D472" i="1" l="1"/>
  <c r="B472" i="1"/>
  <c r="K248" i="1"/>
  <c r="L248" i="1"/>
  <c r="F249" i="1" s="1"/>
  <c r="N248" i="1"/>
  <c r="P247" i="1" s="1"/>
  <c r="A475" i="1"/>
  <c r="C474" i="1"/>
  <c r="E473" i="1" s="1"/>
  <c r="D473" i="1" l="1"/>
  <c r="B473" i="1"/>
  <c r="O247" i="1"/>
  <c r="M247" i="1"/>
  <c r="H249" i="1"/>
  <c r="J249" i="1" s="1"/>
  <c r="G249" i="1"/>
  <c r="I249" i="1" s="1"/>
  <c r="A476" i="1"/>
  <c r="C475" i="1"/>
  <c r="E474" i="1" s="1"/>
  <c r="D474" i="1" l="1"/>
  <c r="B474" i="1"/>
  <c r="K249" i="1"/>
  <c r="N249" i="1"/>
  <c r="P248" i="1" s="1"/>
  <c r="L249" i="1"/>
  <c r="F250" i="1" s="1"/>
  <c r="C476" i="1"/>
  <c r="E475" i="1" s="1"/>
  <c r="A477" i="1"/>
  <c r="D475" i="1" l="1"/>
  <c r="B475" i="1"/>
  <c r="O248" i="1"/>
  <c r="M248" i="1"/>
  <c r="G250" i="1"/>
  <c r="I250" i="1" s="1"/>
  <c r="H250" i="1"/>
  <c r="J250" i="1" s="1"/>
  <c r="C477" i="1"/>
  <c r="E476" i="1" s="1"/>
  <c r="A478" i="1"/>
  <c r="D476" i="1" l="1"/>
  <c r="B476" i="1"/>
  <c r="K250" i="1"/>
  <c r="L250" i="1"/>
  <c r="F251" i="1" s="1"/>
  <c r="N250" i="1"/>
  <c r="P249" i="1" s="1"/>
  <c r="C478" i="1"/>
  <c r="E477" i="1" s="1"/>
  <c r="A479" i="1"/>
  <c r="D477" i="1" l="1"/>
  <c r="B477" i="1"/>
  <c r="O249" i="1"/>
  <c r="M249" i="1"/>
  <c r="H251" i="1"/>
  <c r="J251" i="1" s="1"/>
  <c r="G251" i="1"/>
  <c r="I251" i="1" s="1"/>
  <c r="C479" i="1"/>
  <c r="E478" i="1" s="1"/>
  <c r="A480" i="1"/>
  <c r="D478" i="1" l="1"/>
  <c r="B478" i="1"/>
  <c r="K251" i="1"/>
  <c r="N251" i="1"/>
  <c r="P250" i="1" s="1"/>
  <c r="L251" i="1"/>
  <c r="F252" i="1" s="1"/>
  <c r="C480" i="1"/>
  <c r="E479" i="1" s="1"/>
  <c r="A481" i="1"/>
  <c r="D479" i="1" l="1"/>
  <c r="B479" i="1"/>
  <c r="O250" i="1"/>
  <c r="M250" i="1"/>
  <c r="G252" i="1"/>
  <c r="I252" i="1" s="1"/>
  <c r="H252" i="1"/>
  <c r="J252" i="1" s="1"/>
  <c r="C481" i="1"/>
  <c r="E480" i="1" s="1"/>
  <c r="A482" i="1"/>
  <c r="D480" i="1" l="1"/>
  <c r="B480" i="1"/>
  <c r="K252" i="1"/>
  <c r="L252" i="1"/>
  <c r="F253" i="1" s="1"/>
  <c r="N252" i="1"/>
  <c r="P251" i="1" s="1"/>
  <c r="C482" i="1"/>
  <c r="E481" i="1" s="1"/>
  <c r="A483" i="1"/>
  <c r="D481" i="1" l="1"/>
  <c r="B481" i="1"/>
  <c r="O251" i="1"/>
  <c r="M251" i="1"/>
  <c r="H253" i="1"/>
  <c r="J253" i="1" s="1"/>
  <c r="G253" i="1"/>
  <c r="I253" i="1" s="1"/>
  <c r="A484" i="1"/>
  <c r="C483" i="1"/>
  <c r="E482" i="1" s="1"/>
  <c r="D482" i="1" l="1"/>
  <c r="B482" i="1"/>
  <c r="K253" i="1"/>
  <c r="L253" i="1"/>
  <c r="F254" i="1" s="1"/>
  <c r="N253" i="1"/>
  <c r="P252" i="1" s="1"/>
  <c r="C484" i="1"/>
  <c r="E483" i="1" s="1"/>
  <c r="A485" i="1"/>
  <c r="D483" i="1" l="1"/>
  <c r="B483" i="1"/>
  <c r="O252" i="1"/>
  <c r="M252" i="1"/>
  <c r="H254" i="1"/>
  <c r="J254" i="1" s="1"/>
  <c r="G254" i="1"/>
  <c r="I254" i="1" s="1"/>
  <c r="C485" i="1"/>
  <c r="E484" i="1" s="1"/>
  <c r="A486" i="1"/>
  <c r="D484" i="1" l="1"/>
  <c r="B484" i="1"/>
  <c r="K254" i="1"/>
  <c r="L254" i="1"/>
  <c r="F255" i="1" s="1"/>
  <c r="N254" i="1"/>
  <c r="P253" i="1" s="1"/>
  <c r="C486" i="1"/>
  <c r="E485" i="1" s="1"/>
  <c r="A487" i="1"/>
  <c r="D485" i="1" l="1"/>
  <c r="B485" i="1"/>
  <c r="O253" i="1"/>
  <c r="M253" i="1"/>
  <c r="G255" i="1"/>
  <c r="I255" i="1" s="1"/>
  <c r="H255" i="1"/>
  <c r="J255" i="1" s="1"/>
  <c r="A488" i="1"/>
  <c r="C487" i="1"/>
  <c r="E486" i="1" s="1"/>
  <c r="D486" i="1" l="1"/>
  <c r="B486" i="1"/>
  <c r="K255" i="1"/>
  <c r="N255" i="1"/>
  <c r="P254" i="1" s="1"/>
  <c r="L255" i="1"/>
  <c r="F256" i="1" s="1"/>
  <c r="A489" i="1"/>
  <c r="C488" i="1"/>
  <c r="E487" i="1" s="1"/>
  <c r="D487" i="1" l="1"/>
  <c r="B487" i="1"/>
  <c r="O254" i="1"/>
  <c r="M254" i="1"/>
  <c r="G256" i="1"/>
  <c r="I256" i="1" s="1"/>
  <c r="H256" i="1"/>
  <c r="J256" i="1" s="1"/>
  <c r="C489" i="1"/>
  <c r="E488" i="1" s="1"/>
  <c r="A490" i="1"/>
  <c r="D488" i="1" l="1"/>
  <c r="B488" i="1"/>
  <c r="K256" i="1"/>
  <c r="L256" i="1"/>
  <c r="F257" i="1" s="1"/>
  <c r="N256" i="1"/>
  <c r="P255" i="1" s="1"/>
  <c r="C490" i="1"/>
  <c r="E489" i="1" s="1"/>
  <c r="A491" i="1"/>
  <c r="D489" i="1" l="1"/>
  <c r="B489" i="1"/>
  <c r="O255" i="1"/>
  <c r="M255" i="1"/>
  <c r="H257" i="1"/>
  <c r="J257" i="1" s="1"/>
  <c r="G257" i="1"/>
  <c r="I257" i="1" s="1"/>
  <c r="A492" i="1"/>
  <c r="C491" i="1"/>
  <c r="E490" i="1" s="1"/>
  <c r="D490" i="1" l="1"/>
  <c r="B490" i="1"/>
  <c r="K257" i="1"/>
  <c r="N257" i="1"/>
  <c r="P256" i="1" s="1"/>
  <c r="L257" i="1"/>
  <c r="F258" i="1" s="1"/>
  <c r="C492" i="1"/>
  <c r="E491" i="1" s="1"/>
  <c r="A493" i="1"/>
  <c r="D491" i="1" l="1"/>
  <c r="B491" i="1"/>
  <c r="O256" i="1"/>
  <c r="M256" i="1"/>
  <c r="H258" i="1"/>
  <c r="J258" i="1" s="1"/>
  <c r="G258" i="1"/>
  <c r="I258" i="1" s="1"/>
  <c r="C493" i="1"/>
  <c r="E492" i="1" s="1"/>
  <c r="A494" i="1"/>
  <c r="D492" i="1" l="1"/>
  <c r="B492" i="1"/>
  <c r="K258" i="1"/>
  <c r="N258" i="1"/>
  <c r="P257" i="1" s="1"/>
  <c r="L258" i="1"/>
  <c r="F259" i="1" s="1"/>
  <c r="C494" i="1"/>
  <c r="E493" i="1" s="1"/>
  <c r="A495" i="1"/>
  <c r="D493" i="1" l="1"/>
  <c r="B493" i="1"/>
  <c r="O257" i="1"/>
  <c r="M257" i="1"/>
  <c r="H259" i="1"/>
  <c r="J259" i="1" s="1"/>
  <c r="G259" i="1"/>
  <c r="I259" i="1" s="1"/>
  <c r="A496" i="1"/>
  <c r="C495" i="1"/>
  <c r="E494" i="1" s="1"/>
  <c r="D494" i="1" l="1"/>
  <c r="B494" i="1"/>
  <c r="K259" i="1"/>
  <c r="N259" i="1"/>
  <c r="P258" i="1" s="1"/>
  <c r="L259" i="1"/>
  <c r="F260" i="1" s="1"/>
  <c r="C496" i="1"/>
  <c r="E495" i="1" s="1"/>
  <c r="A497" i="1"/>
  <c r="D495" i="1" l="1"/>
  <c r="B495" i="1"/>
  <c r="O258" i="1"/>
  <c r="M258" i="1"/>
  <c r="H260" i="1"/>
  <c r="J260" i="1" s="1"/>
  <c r="G260" i="1"/>
  <c r="I260" i="1" s="1"/>
  <c r="A498" i="1"/>
  <c r="C497" i="1"/>
  <c r="E496" i="1" s="1"/>
  <c r="D496" i="1" l="1"/>
  <c r="B496" i="1"/>
  <c r="K260" i="1"/>
  <c r="L260" i="1"/>
  <c r="F261" i="1" s="1"/>
  <c r="N260" i="1"/>
  <c r="P259" i="1" s="1"/>
  <c r="C498" i="1"/>
  <c r="E497" i="1" s="1"/>
  <c r="A499" i="1"/>
  <c r="D497" i="1" l="1"/>
  <c r="B497" i="1"/>
  <c r="O259" i="1"/>
  <c r="M259" i="1"/>
  <c r="G261" i="1"/>
  <c r="I261" i="1" s="1"/>
  <c r="H261" i="1"/>
  <c r="J261" i="1" s="1"/>
  <c r="C499" i="1"/>
  <c r="E498" i="1" s="1"/>
  <c r="A500" i="1"/>
  <c r="D498" i="1" l="1"/>
  <c r="B498" i="1"/>
  <c r="K261" i="1"/>
  <c r="L261" i="1"/>
  <c r="F262" i="1" s="1"/>
  <c r="N261" i="1"/>
  <c r="P260" i="1" s="1"/>
  <c r="C500" i="1"/>
  <c r="E499" i="1" s="1"/>
  <c r="A501" i="1"/>
  <c r="D499" i="1" l="1"/>
  <c r="B499" i="1"/>
  <c r="O260" i="1"/>
  <c r="M260" i="1"/>
  <c r="G262" i="1"/>
  <c r="I262" i="1" s="1"/>
  <c r="H262" i="1"/>
  <c r="J262" i="1" s="1"/>
  <c r="A502" i="1"/>
  <c r="C501" i="1"/>
  <c r="E500" i="1" s="1"/>
  <c r="D500" i="1" l="1"/>
  <c r="B500" i="1"/>
  <c r="K262" i="1"/>
  <c r="L262" i="1"/>
  <c r="F263" i="1" s="1"/>
  <c r="N262" i="1"/>
  <c r="P261" i="1" s="1"/>
  <c r="A503" i="1"/>
  <c r="C502" i="1"/>
  <c r="E501" i="1" s="1"/>
  <c r="D501" i="1" l="1"/>
  <c r="B501" i="1"/>
  <c r="O261" i="1"/>
  <c r="M261" i="1"/>
  <c r="G263" i="1"/>
  <c r="I263" i="1" s="1"/>
  <c r="H263" i="1"/>
  <c r="J263" i="1" s="1"/>
  <c r="C503" i="1"/>
  <c r="E502" i="1" s="1"/>
  <c r="A504" i="1"/>
  <c r="D502" i="1" l="1"/>
  <c r="B502" i="1"/>
  <c r="K263" i="1"/>
  <c r="L263" i="1"/>
  <c r="F264" i="1" s="1"/>
  <c r="N263" i="1"/>
  <c r="P262" i="1" s="1"/>
  <c r="C504" i="1"/>
  <c r="E503" i="1" s="1"/>
  <c r="A505" i="1"/>
  <c r="D503" i="1" l="1"/>
  <c r="B503" i="1"/>
  <c r="O262" i="1"/>
  <c r="M262" i="1"/>
  <c r="G264" i="1"/>
  <c r="I264" i="1" s="1"/>
  <c r="H264" i="1"/>
  <c r="J264" i="1" s="1"/>
  <c r="C505" i="1"/>
  <c r="E504" i="1" s="1"/>
  <c r="A506" i="1"/>
  <c r="D504" i="1" l="1"/>
  <c r="B504" i="1"/>
  <c r="K264" i="1"/>
  <c r="N264" i="1"/>
  <c r="P263" i="1" s="1"/>
  <c r="L264" i="1"/>
  <c r="F265" i="1" s="1"/>
  <c r="C506" i="1"/>
  <c r="E505" i="1" s="1"/>
  <c r="A507" i="1"/>
  <c r="D505" i="1" l="1"/>
  <c r="B505" i="1"/>
  <c r="O263" i="1"/>
  <c r="M263" i="1"/>
  <c r="G265" i="1"/>
  <c r="I265" i="1" s="1"/>
  <c r="H265" i="1"/>
  <c r="J265" i="1" s="1"/>
  <c r="C507" i="1"/>
  <c r="E506" i="1" s="1"/>
  <c r="A508" i="1"/>
  <c r="D506" i="1" l="1"/>
  <c r="B506" i="1"/>
  <c r="K265" i="1"/>
  <c r="N265" i="1"/>
  <c r="P264" i="1" s="1"/>
  <c r="L265" i="1"/>
  <c r="F266" i="1" s="1"/>
  <c r="C508" i="1"/>
  <c r="E507" i="1" s="1"/>
  <c r="A509" i="1"/>
  <c r="D507" i="1" l="1"/>
  <c r="B507" i="1"/>
  <c r="O264" i="1"/>
  <c r="M264" i="1"/>
  <c r="H266" i="1"/>
  <c r="J266" i="1" s="1"/>
  <c r="G266" i="1"/>
  <c r="I266" i="1" s="1"/>
  <c r="A510" i="1"/>
  <c r="C509" i="1"/>
  <c r="E508" i="1" s="1"/>
  <c r="D508" i="1" l="1"/>
  <c r="B508" i="1"/>
  <c r="K266" i="1"/>
  <c r="N266" i="1"/>
  <c r="P265" i="1" s="1"/>
  <c r="L266" i="1"/>
  <c r="F267" i="1" s="1"/>
  <c r="A511" i="1"/>
  <c r="C510" i="1"/>
  <c r="E509" i="1" s="1"/>
  <c r="D509" i="1" l="1"/>
  <c r="B509" i="1"/>
  <c r="O265" i="1"/>
  <c r="M265" i="1"/>
  <c r="H267" i="1"/>
  <c r="J267" i="1" s="1"/>
  <c r="G267" i="1"/>
  <c r="I267" i="1" s="1"/>
  <c r="A512" i="1"/>
  <c r="C511" i="1"/>
  <c r="E510" i="1" s="1"/>
  <c r="D510" i="1" l="1"/>
  <c r="B510" i="1"/>
  <c r="K267" i="1"/>
  <c r="L267" i="1"/>
  <c r="F268" i="1" s="1"/>
  <c r="N267" i="1"/>
  <c r="P266" i="1" s="1"/>
  <c r="C512" i="1"/>
  <c r="E511" i="1" s="1"/>
  <c r="A513" i="1"/>
  <c r="D511" i="1" l="1"/>
  <c r="B511" i="1"/>
  <c r="O266" i="1"/>
  <c r="M266" i="1"/>
  <c r="G268" i="1"/>
  <c r="I268" i="1" s="1"/>
  <c r="H268" i="1"/>
  <c r="J268" i="1" s="1"/>
  <c r="C513" i="1"/>
  <c r="E512" i="1" s="1"/>
  <c r="A514" i="1"/>
  <c r="D512" i="1" l="1"/>
  <c r="B512" i="1"/>
  <c r="K268" i="1"/>
  <c r="N268" i="1"/>
  <c r="P267" i="1" s="1"/>
  <c r="L268" i="1"/>
  <c r="F269" i="1" s="1"/>
  <c r="C514" i="1"/>
  <c r="E513" i="1" s="1"/>
  <c r="A515" i="1"/>
  <c r="D513" i="1" l="1"/>
  <c r="B513" i="1"/>
  <c r="O267" i="1"/>
  <c r="M267" i="1"/>
  <c r="H269" i="1"/>
  <c r="J269" i="1" s="1"/>
  <c r="G269" i="1"/>
  <c r="I269" i="1" s="1"/>
  <c r="A516" i="1"/>
  <c r="C515" i="1"/>
  <c r="E514" i="1" s="1"/>
  <c r="D514" i="1" l="1"/>
  <c r="B514" i="1"/>
  <c r="K269" i="1"/>
  <c r="L269" i="1"/>
  <c r="F270" i="1" s="1"/>
  <c r="N269" i="1"/>
  <c r="P268" i="1" s="1"/>
  <c r="C516" i="1"/>
  <c r="E515" i="1" s="1"/>
  <c r="A517" i="1"/>
  <c r="D515" i="1" l="1"/>
  <c r="B515" i="1"/>
  <c r="O268" i="1"/>
  <c r="M268" i="1"/>
  <c r="G270" i="1"/>
  <c r="I270" i="1" s="1"/>
  <c r="H270" i="1"/>
  <c r="J270" i="1" s="1"/>
  <c r="C517" i="1"/>
  <c r="E516" i="1" s="1"/>
  <c r="A518" i="1"/>
  <c r="D516" i="1" l="1"/>
  <c r="B516" i="1"/>
  <c r="K270" i="1"/>
  <c r="N270" i="1"/>
  <c r="P269" i="1" s="1"/>
  <c r="L270" i="1"/>
  <c r="F271" i="1" s="1"/>
  <c r="C518" i="1"/>
  <c r="E517" i="1" s="1"/>
  <c r="A519" i="1"/>
  <c r="D517" i="1" l="1"/>
  <c r="B517" i="1"/>
  <c r="O269" i="1"/>
  <c r="M269" i="1"/>
  <c r="G271" i="1"/>
  <c r="I271" i="1" s="1"/>
  <c r="H271" i="1"/>
  <c r="J271" i="1" s="1"/>
  <c r="C519" i="1"/>
  <c r="E518" i="1" s="1"/>
  <c r="A520" i="1"/>
  <c r="D518" i="1" l="1"/>
  <c r="B518" i="1"/>
  <c r="K271" i="1"/>
  <c r="N271" i="1"/>
  <c r="P270" i="1" s="1"/>
  <c r="L271" i="1"/>
  <c r="F272" i="1" s="1"/>
  <c r="C520" i="1"/>
  <c r="E519" i="1" s="1"/>
  <c r="A521" i="1"/>
  <c r="D519" i="1" l="1"/>
  <c r="B519" i="1"/>
  <c r="O270" i="1"/>
  <c r="M270" i="1"/>
  <c r="G272" i="1"/>
  <c r="I272" i="1" s="1"/>
  <c r="H272" i="1"/>
  <c r="J272" i="1" s="1"/>
  <c r="C521" i="1"/>
  <c r="E520" i="1" s="1"/>
  <c r="A522" i="1"/>
  <c r="D520" i="1" l="1"/>
  <c r="B520" i="1"/>
  <c r="K272" i="1"/>
  <c r="N272" i="1"/>
  <c r="P271" i="1" s="1"/>
  <c r="L272" i="1"/>
  <c r="F273" i="1" s="1"/>
  <c r="A523" i="1"/>
  <c r="C522" i="1"/>
  <c r="E521" i="1" s="1"/>
  <c r="D521" i="1" l="1"/>
  <c r="B521" i="1"/>
  <c r="O271" i="1"/>
  <c r="M271" i="1"/>
  <c r="G273" i="1"/>
  <c r="I273" i="1" s="1"/>
  <c r="H273" i="1"/>
  <c r="J273" i="1" s="1"/>
  <c r="A524" i="1"/>
  <c r="C523" i="1"/>
  <c r="E522" i="1" s="1"/>
  <c r="D522" i="1" l="1"/>
  <c r="B522" i="1"/>
  <c r="K273" i="1"/>
  <c r="L273" i="1"/>
  <c r="F274" i="1" s="1"/>
  <c r="N273" i="1"/>
  <c r="P272" i="1" s="1"/>
  <c r="A525" i="1"/>
  <c r="C524" i="1"/>
  <c r="E523" i="1" s="1"/>
  <c r="D523" i="1" l="1"/>
  <c r="B523" i="1"/>
  <c r="O272" i="1"/>
  <c r="M272" i="1"/>
  <c r="G274" i="1"/>
  <c r="I274" i="1" s="1"/>
  <c r="H274" i="1"/>
  <c r="J274" i="1" s="1"/>
  <c r="C525" i="1"/>
  <c r="E524" i="1" s="1"/>
  <c r="A526" i="1"/>
  <c r="D524" i="1" l="1"/>
  <c r="B524" i="1"/>
  <c r="K274" i="1"/>
  <c r="N274" i="1"/>
  <c r="P273" i="1" s="1"/>
  <c r="L274" i="1"/>
  <c r="F275" i="1" s="1"/>
  <c r="C526" i="1"/>
  <c r="E525" i="1" s="1"/>
  <c r="A527" i="1"/>
  <c r="D525" i="1" l="1"/>
  <c r="B525" i="1"/>
  <c r="O273" i="1"/>
  <c r="M273" i="1"/>
  <c r="H275" i="1"/>
  <c r="J275" i="1" s="1"/>
  <c r="G275" i="1"/>
  <c r="I275" i="1" s="1"/>
  <c r="C527" i="1"/>
  <c r="E526" i="1" s="1"/>
  <c r="A528" i="1"/>
  <c r="D526" i="1" l="1"/>
  <c r="B526" i="1"/>
  <c r="K275" i="1"/>
  <c r="N275" i="1"/>
  <c r="P274" i="1" s="1"/>
  <c r="L275" i="1"/>
  <c r="F276" i="1" s="1"/>
  <c r="C528" i="1"/>
  <c r="E527" i="1" s="1"/>
  <c r="A529" i="1"/>
  <c r="D527" i="1" l="1"/>
  <c r="B527" i="1"/>
  <c r="O274" i="1"/>
  <c r="M274" i="1"/>
  <c r="H276" i="1"/>
  <c r="J276" i="1" s="1"/>
  <c r="G276" i="1"/>
  <c r="I276" i="1" s="1"/>
  <c r="C529" i="1"/>
  <c r="E528" i="1" s="1"/>
  <c r="A530" i="1"/>
  <c r="D528" i="1" l="1"/>
  <c r="B528" i="1"/>
  <c r="K276" i="1"/>
  <c r="N276" i="1"/>
  <c r="P275" i="1" s="1"/>
  <c r="L276" i="1"/>
  <c r="F277" i="1" s="1"/>
  <c r="C530" i="1"/>
  <c r="E529" i="1" s="1"/>
  <c r="A531" i="1"/>
  <c r="D529" i="1" l="1"/>
  <c r="B529" i="1"/>
  <c r="O275" i="1"/>
  <c r="M275" i="1"/>
  <c r="G277" i="1"/>
  <c r="I277" i="1" s="1"/>
  <c r="H277" i="1"/>
  <c r="J277" i="1" s="1"/>
  <c r="C531" i="1"/>
  <c r="E530" i="1" s="1"/>
  <c r="A532" i="1"/>
  <c r="D530" i="1" l="1"/>
  <c r="B530" i="1"/>
  <c r="K277" i="1"/>
  <c r="L277" i="1"/>
  <c r="F278" i="1" s="1"/>
  <c r="N277" i="1"/>
  <c r="P276" i="1" s="1"/>
  <c r="C532" i="1"/>
  <c r="E531" i="1" s="1"/>
  <c r="A533" i="1"/>
  <c r="D531" i="1" l="1"/>
  <c r="B531" i="1"/>
  <c r="O276" i="1"/>
  <c r="M276" i="1"/>
  <c r="G278" i="1"/>
  <c r="I278" i="1" s="1"/>
  <c r="H278" i="1"/>
  <c r="J278" i="1" s="1"/>
  <c r="C533" i="1"/>
  <c r="E532" i="1" s="1"/>
  <c r="A534" i="1"/>
  <c r="D532" i="1" l="1"/>
  <c r="B532" i="1"/>
  <c r="K278" i="1"/>
  <c r="L278" i="1"/>
  <c r="F279" i="1" s="1"/>
  <c r="N278" i="1"/>
  <c r="P277" i="1" s="1"/>
  <c r="C534" i="1"/>
  <c r="E533" i="1" s="1"/>
  <c r="A535" i="1"/>
  <c r="D533" i="1" l="1"/>
  <c r="B533" i="1"/>
  <c r="O277" i="1"/>
  <c r="M277" i="1"/>
  <c r="H279" i="1"/>
  <c r="J279" i="1" s="1"/>
  <c r="G279" i="1"/>
  <c r="I279" i="1" s="1"/>
  <c r="A536" i="1"/>
  <c r="C535" i="1"/>
  <c r="E534" i="1" s="1"/>
  <c r="D534" i="1" l="1"/>
  <c r="B534" i="1"/>
  <c r="K279" i="1"/>
  <c r="N279" i="1"/>
  <c r="P278" i="1" s="1"/>
  <c r="L279" i="1"/>
  <c r="F280" i="1" s="1"/>
  <c r="A537" i="1"/>
  <c r="C536" i="1"/>
  <c r="E535" i="1" s="1"/>
  <c r="D535" i="1" l="1"/>
  <c r="B535" i="1"/>
  <c r="O278" i="1"/>
  <c r="M278" i="1"/>
  <c r="H280" i="1"/>
  <c r="J280" i="1" s="1"/>
  <c r="G280" i="1"/>
  <c r="I280" i="1" s="1"/>
  <c r="C537" i="1"/>
  <c r="E536" i="1" s="1"/>
  <c r="A538" i="1"/>
  <c r="D536" i="1" l="1"/>
  <c r="B536" i="1"/>
  <c r="K280" i="1"/>
  <c r="N280" i="1"/>
  <c r="P279" i="1" s="1"/>
  <c r="L280" i="1"/>
  <c r="F281" i="1" s="1"/>
  <c r="C538" i="1"/>
  <c r="E537" i="1" s="1"/>
  <c r="A539" i="1"/>
  <c r="D537" i="1" l="1"/>
  <c r="B537" i="1"/>
  <c r="O279" i="1"/>
  <c r="M279" i="1"/>
  <c r="H281" i="1"/>
  <c r="J281" i="1" s="1"/>
  <c r="G281" i="1"/>
  <c r="I281" i="1" s="1"/>
  <c r="C539" i="1"/>
  <c r="E538" i="1" s="1"/>
  <c r="A540" i="1"/>
  <c r="D538" i="1" l="1"/>
  <c r="B538" i="1"/>
  <c r="K281" i="1"/>
  <c r="N281" i="1"/>
  <c r="P280" i="1" s="1"/>
  <c r="L281" i="1"/>
  <c r="F282" i="1" s="1"/>
  <c r="C540" i="1"/>
  <c r="E539" i="1" s="1"/>
  <c r="A541" i="1"/>
  <c r="D539" i="1" l="1"/>
  <c r="B539" i="1"/>
  <c r="O280" i="1"/>
  <c r="M280" i="1"/>
  <c r="H282" i="1"/>
  <c r="J282" i="1" s="1"/>
  <c r="G282" i="1"/>
  <c r="I282" i="1" s="1"/>
  <c r="C541" i="1"/>
  <c r="E540" i="1" s="1"/>
  <c r="A542" i="1"/>
  <c r="D540" i="1" l="1"/>
  <c r="B540" i="1"/>
  <c r="K282" i="1"/>
  <c r="N282" i="1"/>
  <c r="P281" i="1" s="1"/>
  <c r="L282" i="1"/>
  <c r="F283" i="1" s="1"/>
  <c r="C542" i="1"/>
  <c r="E541" i="1" s="1"/>
  <c r="A543" i="1"/>
  <c r="D541" i="1" l="1"/>
  <c r="B541" i="1"/>
  <c r="O281" i="1"/>
  <c r="M281" i="1"/>
  <c r="H283" i="1"/>
  <c r="J283" i="1" s="1"/>
  <c r="G283" i="1"/>
  <c r="I283" i="1" s="1"/>
  <c r="A544" i="1"/>
  <c r="C543" i="1"/>
  <c r="E542" i="1" s="1"/>
  <c r="D542" i="1" l="1"/>
  <c r="B542" i="1"/>
  <c r="K283" i="1"/>
  <c r="N283" i="1"/>
  <c r="P282" i="1" s="1"/>
  <c r="L283" i="1"/>
  <c r="F284" i="1" s="1"/>
  <c r="A545" i="1"/>
  <c r="C544" i="1"/>
  <c r="E543" i="1" s="1"/>
  <c r="D543" i="1" l="1"/>
  <c r="B543" i="1"/>
  <c r="O282" i="1"/>
  <c r="M282" i="1"/>
  <c r="G284" i="1"/>
  <c r="I284" i="1" s="1"/>
  <c r="H284" i="1"/>
  <c r="J284" i="1" s="1"/>
  <c r="C545" i="1"/>
  <c r="E544" i="1" s="1"/>
  <c r="A546" i="1"/>
  <c r="D544" i="1" l="1"/>
  <c r="B544" i="1"/>
  <c r="K284" i="1"/>
  <c r="N284" i="1"/>
  <c r="P283" i="1" s="1"/>
  <c r="L284" i="1"/>
  <c r="F285" i="1" s="1"/>
  <c r="C546" i="1"/>
  <c r="E545" i="1" s="1"/>
  <c r="A547" i="1"/>
  <c r="D545" i="1" l="1"/>
  <c r="B545" i="1"/>
  <c r="O283" i="1"/>
  <c r="M283" i="1"/>
  <c r="G285" i="1"/>
  <c r="I285" i="1" s="1"/>
  <c r="H285" i="1"/>
  <c r="J285" i="1" s="1"/>
  <c r="C547" i="1"/>
  <c r="E546" i="1" s="1"/>
  <c r="A548" i="1"/>
  <c r="D546" i="1" l="1"/>
  <c r="B546" i="1"/>
  <c r="K285" i="1"/>
  <c r="N285" i="1"/>
  <c r="P284" i="1" s="1"/>
  <c r="L285" i="1"/>
  <c r="F286" i="1" s="1"/>
  <c r="A549" i="1"/>
  <c r="C548" i="1"/>
  <c r="E547" i="1" s="1"/>
  <c r="D547" i="1" l="1"/>
  <c r="B547" i="1"/>
  <c r="O284" i="1"/>
  <c r="M284" i="1"/>
  <c r="G286" i="1"/>
  <c r="I286" i="1" s="1"/>
  <c r="H286" i="1"/>
  <c r="J286" i="1" s="1"/>
  <c r="C549" i="1"/>
  <c r="E548" i="1" s="1"/>
  <c r="A550" i="1"/>
  <c r="D548" i="1" l="1"/>
  <c r="B548" i="1"/>
  <c r="K286" i="1"/>
  <c r="N286" i="1"/>
  <c r="P285" i="1" s="1"/>
  <c r="L286" i="1"/>
  <c r="F287" i="1" s="1"/>
  <c r="C550" i="1"/>
  <c r="E549" i="1" s="1"/>
  <c r="A551" i="1"/>
  <c r="D549" i="1" l="1"/>
  <c r="B549" i="1"/>
  <c r="O285" i="1"/>
  <c r="M285" i="1"/>
  <c r="H287" i="1"/>
  <c r="J287" i="1" s="1"/>
  <c r="G287" i="1"/>
  <c r="I287" i="1" s="1"/>
  <c r="A552" i="1"/>
  <c r="C551" i="1"/>
  <c r="E550" i="1" s="1"/>
  <c r="D550" i="1" l="1"/>
  <c r="B550" i="1"/>
  <c r="K287" i="1"/>
  <c r="N287" i="1"/>
  <c r="P286" i="1" s="1"/>
  <c r="L287" i="1"/>
  <c r="F288" i="1" s="1"/>
  <c r="A553" i="1"/>
  <c r="C552" i="1"/>
  <c r="E551" i="1" s="1"/>
  <c r="D551" i="1" l="1"/>
  <c r="B551" i="1"/>
  <c r="O286" i="1"/>
  <c r="M286" i="1"/>
  <c r="G288" i="1"/>
  <c r="I288" i="1" s="1"/>
  <c r="H288" i="1"/>
  <c r="J288" i="1" s="1"/>
  <c r="A554" i="1"/>
  <c r="C553" i="1"/>
  <c r="E552" i="1" s="1"/>
  <c r="D552" i="1" l="1"/>
  <c r="B552" i="1"/>
  <c r="K288" i="1"/>
  <c r="N288" i="1"/>
  <c r="P287" i="1" s="1"/>
  <c r="L288" i="1"/>
  <c r="F289" i="1" s="1"/>
  <c r="A555" i="1"/>
  <c r="C554" i="1"/>
  <c r="E553" i="1" s="1"/>
  <c r="D553" i="1" l="1"/>
  <c r="B553" i="1"/>
  <c r="O287" i="1"/>
  <c r="M287" i="1"/>
  <c r="G289" i="1"/>
  <c r="I289" i="1" s="1"/>
  <c r="H289" i="1"/>
  <c r="J289" i="1" s="1"/>
  <c r="A556" i="1"/>
  <c r="C555" i="1"/>
  <c r="E554" i="1" s="1"/>
  <c r="D554" i="1" l="1"/>
  <c r="B554" i="1"/>
  <c r="K289" i="1"/>
  <c r="L289" i="1"/>
  <c r="F290" i="1" s="1"/>
  <c r="N289" i="1"/>
  <c r="P288" i="1" s="1"/>
  <c r="A557" i="1"/>
  <c r="C556" i="1"/>
  <c r="E555" i="1" s="1"/>
  <c r="D555" i="1" l="1"/>
  <c r="B555" i="1"/>
  <c r="O288" i="1"/>
  <c r="M288" i="1"/>
  <c r="G290" i="1"/>
  <c r="I290" i="1" s="1"/>
  <c r="H290" i="1"/>
  <c r="J290" i="1" s="1"/>
  <c r="A558" i="1"/>
  <c r="C557" i="1"/>
  <c r="E556" i="1" s="1"/>
  <c r="D556" i="1" l="1"/>
  <c r="B556" i="1"/>
  <c r="K290" i="1"/>
  <c r="L290" i="1"/>
  <c r="F291" i="1" s="1"/>
  <c r="N290" i="1"/>
  <c r="P289" i="1" s="1"/>
  <c r="C558" i="1"/>
  <c r="E557" i="1" s="1"/>
  <c r="A559" i="1"/>
  <c r="D557" i="1" l="1"/>
  <c r="B557" i="1"/>
  <c r="O289" i="1"/>
  <c r="M289" i="1"/>
  <c r="G291" i="1"/>
  <c r="I291" i="1" s="1"/>
  <c r="H291" i="1"/>
  <c r="J291" i="1" s="1"/>
  <c r="A560" i="1"/>
  <c r="C559" i="1"/>
  <c r="E558" i="1" s="1"/>
  <c r="D558" i="1" l="1"/>
  <c r="B558" i="1"/>
  <c r="K291" i="1"/>
  <c r="L291" i="1"/>
  <c r="F292" i="1" s="1"/>
  <c r="N291" i="1"/>
  <c r="P290" i="1" s="1"/>
  <c r="C560" i="1"/>
  <c r="E559" i="1" s="1"/>
  <c r="A561" i="1"/>
  <c r="D559" i="1" l="1"/>
  <c r="B559" i="1"/>
  <c r="O290" i="1"/>
  <c r="M290" i="1"/>
  <c r="G292" i="1"/>
  <c r="I292" i="1" s="1"/>
  <c r="H292" i="1"/>
  <c r="J292" i="1" s="1"/>
  <c r="A562" i="1"/>
  <c r="C561" i="1"/>
  <c r="E560" i="1" s="1"/>
  <c r="D560" i="1" l="1"/>
  <c r="B560" i="1"/>
  <c r="K292" i="1"/>
  <c r="L292" i="1"/>
  <c r="F293" i="1" s="1"/>
  <c r="N292" i="1"/>
  <c r="P291" i="1" s="1"/>
  <c r="C562" i="1"/>
  <c r="E561" i="1" s="1"/>
  <c r="A563" i="1"/>
  <c r="D561" i="1" l="1"/>
  <c r="B561" i="1"/>
  <c r="O291" i="1"/>
  <c r="M291" i="1"/>
  <c r="G293" i="1"/>
  <c r="I293" i="1" s="1"/>
  <c r="H293" i="1"/>
  <c r="J293" i="1" s="1"/>
  <c r="C563" i="1"/>
  <c r="E562" i="1" s="1"/>
  <c r="A564" i="1"/>
  <c r="D562" i="1" l="1"/>
  <c r="B562" i="1"/>
  <c r="K293" i="1"/>
  <c r="L293" i="1"/>
  <c r="F294" i="1" s="1"/>
  <c r="N293" i="1"/>
  <c r="P292" i="1" s="1"/>
  <c r="C564" i="1"/>
  <c r="E563" i="1" s="1"/>
  <c r="A565" i="1"/>
  <c r="D563" i="1" l="1"/>
  <c r="B563" i="1"/>
  <c r="O292" i="1"/>
  <c r="M292" i="1"/>
  <c r="G294" i="1"/>
  <c r="I294" i="1" s="1"/>
  <c r="H294" i="1"/>
  <c r="J294" i="1" s="1"/>
  <c r="A566" i="1"/>
  <c r="C565" i="1"/>
  <c r="E564" i="1" s="1"/>
  <c r="D564" i="1" l="1"/>
  <c r="B564" i="1"/>
  <c r="K294" i="1"/>
  <c r="L294" i="1"/>
  <c r="F295" i="1" s="1"/>
  <c r="N294" i="1"/>
  <c r="P293" i="1" s="1"/>
  <c r="C566" i="1"/>
  <c r="E565" i="1" s="1"/>
  <c r="A567" i="1"/>
  <c r="D565" i="1" l="1"/>
  <c r="B565" i="1"/>
  <c r="O293" i="1"/>
  <c r="M293" i="1"/>
  <c r="H295" i="1"/>
  <c r="J295" i="1" s="1"/>
  <c r="G295" i="1"/>
  <c r="I295" i="1" s="1"/>
  <c r="A568" i="1"/>
  <c r="C567" i="1"/>
  <c r="E566" i="1" s="1"/>
  <c r="D566" i="1" l="1"/>
  <c r="B566" i="1"/>
  <c r="K295" i="1"/>
  <c r="N295" i="1"/>
  <c r="P294" i="1" s="1"/>
  <c r="L295" i="1"/>
  <c r="F296" i="1" s="1"/>
  <c r="A569" i="1"/>
  <c r="C568" i="1"/>
  <c r="E567" i="1" s="1"/>
  <c r="D567" i="1" l="1"/>
  <c r="B567" i="1"/>
  <c r="O294" i="1"/>
  <c r="M294" i="1"/>
  <c r="G296" i="1"/>
  <c r="I296" i="1" s="1"/>
  <c r="H296" i="1"/>
  <c r="J296" i="1" s="1"/>
  <c r="C569" i="1"/>
  <c r="E568" i="1" s="1"/>
  <c r="A570" i="1"/>
  <c r="D568" i="1" l="1"/>
  <c r="B568" i="1"/>
  <c r="K296" i="1"/>
  <c r="L296" i="1"/>
  <c r="F297" i="1" s="1"/>
  <c r="N296" i="1"/>
  <c r="P295" i="1" s="1"/>
  <c r="C570" i="1"/>
  <c r="E569" i="1" s="1"/>
  <c r="A571" i="1"/>
  <c r="D569" i="1" l="1"/>
  <c r="B569" i="1"/>
  <c r="O295" i="1"/>
  <c r="M295" i="1"/>
  <c r="H297" i="1"/>
  <c r="J297" i="1" s="1"/>
  <c r="G297" i="1"/>
  <c r="I297" i="1" s="1"/>
  <c r="C571" i="1"/>
  <c r="E570" i="1" s="1"/>
  <c r="A572" i="1"/>
  <c r="D570" i="1" l="1"/>
  <c r="B570" i="1"/>
  <c r="K297" i="1"/>
  <c r="N297" i="1"/>
  <c r="P296" i="1" s="1"/>
  <c r="L297" i="1"/>
  <c r="F298" i="1" s="1"/>
  <c r="C572" i="1"/>
  <c r="E571" i="1" s="1"/>
  <c r="A573" i="1"/>
  <c r="D571" i="1" l="1"/>
  <c r="B571" i="1"/>
  <c r="O296" i="1"/>
  <c r="M296" i="1"/>
  <c r="H298" i="1"/>
  <c r="J298" i="1" s="1"/>
  <c r="G298" i="1"/>
  <c r="I298" i="1" s="1"/>
  <c r="A574" i="1"/>
  <c r="C573" i="1"/>
  <c r="E572" i="1" s="1"/>
  <c r="D572" i="1" l="1"/>
  <c r="B572" i="1"/>
  <c r="K298" i="1"/>
  <c r="N298" i="1"/>
  <c r="P297" i="1" s="1"/>
  <c r="L298" i="1"/>
  <c r="F299" i="1" s="1"/>
  <c r="A575" i="1"/>
  <c r="C574" i="1"/>
  <c r="E573" i="1" s="1"/>
  <c r="D573" i="1" l="1"/>
  <c r="B573" i="1"/>
  <c r="O297" i="1"/>
  <c r="M297" i="1"/>
  <c r="H299" i="1"/>
  <c r="J299" i="1" s="1"/>
  <c r="G299" i="1"/>
  <c r="I299" i="1" s="1"/>
  <c r="C575" i="1"/>
  <c r="E574" i="1" s="1"/>
  <c r="A576" i="1"/>
  <c r="D574" i="1" l="1"/>
  <c r="B574" i="1"/>
  <c r="K299" i="1"/>
  <c r="L299" i="1"/>
  <c r="F300" i="1" s="1"/>
  <c r="N299" i="1"/>
  <c r="P298" i="1" s="1"/>
  <c r="C576" i="1"/>
  <c r="E575" i="1" s="1"/>
  <c r="A577" i="1"/>
  <c r="D575" i="1" l="1"/>
  <c r="B575" i="1"/>
  <c r="O298" i="1"/>
  <c r="M298" i="1"/>
  <c r="H300" i="1"/>
  <c r="J300" i="1" s="1"/>
  <c r="G300" i="1"/>
  <c r="I300" i="1" s="1"/>
  <c r="C577" i="1"/>
  <c r="E576" i="1" s="1"/>
  <c r="A578" i="1"/>
  <c r="D576" i="1" l="1"/>
  <c r="B576" i="1"/>
  <c r="K300" i="1"/>
  <c r="N300" i="1"/>
  <c r="P299" i="1" s="1"/>
  <c r="L300" i="1"/>
  <c r="F301" i="1" s="1"/>
  <c r="C578" i="1"/>
  <c r="E577" i="1" s="1"/>
  <c r="A579" i="1"/>
  <c r="D577" i="1" l="1"/>
  <c r="B577" i="1"/>
  <c r="O299" i="1"/>
  <c r="M299" i="1"/>
  <c r="H301" i="1"/>
  <c r="J301" i="1" s="1"/>
  <c r="G301" i="1"/>
  <c r="I301" i="1" s="1"/>
  <c r="A580" i="1"/>
  <c r="C579" i="1"/>
  <c r="E578" i="1" s="1"/>
  <c r="D578" i="1" l="1"/>
  <c r="B578" i="1"/>
  <c r="K301" i="1"/>
  <c r="L301" i="1"/>
  <c r="F302" i="1" s="1"/>
  <c r="N301" i="1"/>
  <c r="P300" i="1" s="1"/>
  <c r="C580" i="1"/>
  <c r="E579" i="1" s="1"/>
  <c r="A581" i="1"/>
  <c r="D579" i="1" l="1"/>
  <c r="B579" i="1"/>
  <c r="O300" i="1"/>
  <c r="M300" i="1"/>
  <c r="G302" i="1"/>
  <c r="I302" i="1" s="1"/>
  <c r="H302" i="1"/>
  <c r="J302" i="1" s="1"/>
  <c r="C581" i="1"/>
  <c r="E580" i="1" s="1"/>
  <c r="A582" i="1"/>
  <c r="D580" i="1" l="1"/>
  <c r="B580" i="1"/>
  <c r="K302" i="1"/>
  <c r="N302" i="1"/>
  <c r="P301" i="1" s="1"/>
  <c r="L302" i="1"/>
  <c r="F303" i="1" s="1"/>
  <c r="C582" i="1"/>
  <c r="E581" i="1" s="1"/>
  <c r="A583" i="1"/>
  <c r="D581" i="1" l="1"/>
  <c r="B581" i="1"/>
  <c r="O301" i="1"/>
  <c r="M301" i="1"/>
  <c r="H303" i="1"/>
  <c r="J303" i="1" s="1"/>
  <c r="G303" i="1"/>
  <c r="I303" i="1" s="1"/>
  <c r="C583" i="1"/>
  <c r="E582" i="1" s="1"/>
  <c r="A584" i="1"/>
  <c r="D582" i="1" l="1"/>
  <c r="B582" i="1"/>
  <c r="K303" i="1"/>
  <c r="L303" i="1"/>
  <c r="F304" i="1" s="1"/>
  <c r="N303" i="1"/>
  <c r="P302" i="1" s="1"/>
  <c r="A585" i="1"/>
  <c r="C584" i="1"/>
  <c r="E583" i="1" s="1"/>
  <c r="D583" i="1" l="1"/>
  <c r="B583" i="1"/>
  <c r="O302" i="1"/>
  <c r="M302" i="1"/>
  <c r="H304" i="1"/>
  <c r="J304" i="1" s="1"/>
  <c r="G304" i="1"/>
  <c r="I304" i="1" s="1"/>
  <c r="A586" i="1"/>
  <c r="C585" i="1"/>
  <c r="E584" i="1" s="1"/>
  <c r="D584" i="1" l="1"/>
  <c r="B584" i="1"/>
  <c r="K304" i="1"/>
  <c r="N304" i="1"/>
  <c r="P303" i="1" s="1"/>
  <c r="L304" i="1"/>
  <c r="F305" i="1" s="1"/>
  <c r="C586" i="1"/>
  <c r="E585" i="1" s="1"/>
  <c r="A587" i="1"/>
  <c r="D585" i="1" l="1"/>
  <c r="B585" i="1"/>
  <c r="O303" i="1"/>
  <c r="M303" i="1"/>
  <c r="H305" i="1"/>
  <c r="J305" i="1" s="1"/>
  <c r="G305" i="1"/>
  <c r="I305" i="1" s="1"/>
  <c r="C587" i="1"/>
  <c r="E586" i="1" s="1"/>
  <c r="A588" i="1"/>
  <c r="D586" i="1" l="1"/>
  <c r="B586" i="1"/>
  <c r="K305" i="1"/>
  <c r="L305" i="1"/>
  <c r="F306" i="1" s="1"/>
  <c r="N305" i="1"/>
  <c r="P304" i="1" s="1"/>
  <c r="C588" i="1"/>
  <c r="E587" i="1" s="1"/>
  <c r="A589" i="1"/>
  <c r="D587" i="1" l="1"/>
  <c r="B587" i="1"/>
  <c r="O304" i="1"/>
  <c r="M304" i="1"/>
  <c r="H306" i="1"/>
  <c r="J306" i="1" s="1"/>
  <c r="G306" i="1"/>
  <c r="I306" i="1" s="1"/>
  <c r="C589" i="1"/>
  <c r="E588" i="1" s="1"/>
  <c r="A590" i="1"/>
  <c r="D588" i="1" l="1"/>
  <c r="B588" i="1"/>
  <c r="K306" i="1"/>
  <c r="N306" i="1"/>
  <c r="P305" i="1" s="1"/>
  <c r="L306" i="1"/>
  <c r="F307" i="1" s="1"/>
  <c r="C590" i="1"/>
  <c r="E589" i="1" s="1"/>
  <c r="A591" i="1"/>
  <c r="D589" i="1" l="1"/>
  <c r="B589" i="1"/>
  <c r="O305" i="1"/>
  <c r="M305" i="1"/>
  <c r="H307" i="1"/>
  <c r="J307" i="1" s="1"/>
  <c r="G307" i="1"/>
  <c r="I307" i="1" s="1"/>
  <c r="A592" i="1"/>
  <c r="C591" i="1"/>
  <c r="E590" i="1" s="1"/>
  <c r="D590" i="1" l="1"/>
  <c r="B590" i="1"/>
  <c r="K307" i="1"/>
  <c r="N307" i="1"/>
  <c r="P306" i="1" s="1"/>
  <c r="L307" i="1"/>
  <c r="F308" i="1" s="1"/>
  <c r="A593" i="1"/>
  <c r="C592" i="1"/>
  <c r="E591" i="1" s="1"/>
  <c r="D591" i="1" l="1"/>
  <c r="B591" i="1"/>
  <c r="O306" i="1"/>
  <c r="M306" i="1"/>
  <c r="H308" i="1"/>
  <c r="J308" i="1" s="1"/>
  <c r="G308" i="1"/>
  <c r="I308" i="1" s="1"/>
  <c r="C593" i="1"/>
  <c r="E592" i="1" s="1"/>
  <c r="A594" i="1"/>
  <c r="D592" i="1" l="1"/>
  <c r="B592" i="1"/>
  <c r="K308" i="1"/>
  <c r="N308" i="1"/>
  <c r="P307" i="1" s="1"/>
  <c r="L308" i="1"/>
  <c r="F309" i="1" s="1"/>
  <c r="C594" i="1"/>
  <c r="E593" i="1" s="1"/>
  <c r="A595" i="1"/>
  <c r="D593" i="1" l="1"/>
  <c r="B593" i="1"/>
  <c r="O307" i="1"/>
  <c r="M307" i="1"/>
  <c r="H309" i="1"/>
  <c r="J309" i="1" s="1"/>
  <c r="G309" i="1"/>
  <c r="I309" i="1" s="1"/>
  <c r="A596" i="1"/>
  <c r="C595" i="1"/>
  <c r="E594" i="1" s="1"/>
  <c r="D594" i="1" l="1"/>
  <c r="B594" i="1"/>
  <c r="K309" i="1"/>
  <c r="L309" i="1"/>
  <c r="F310" i="1" s="1"/>
  <c r="N309" i="1"/>
  <c r="P308" i="1" s="1"/>
  <c r="C596" i="1"/>
  <c r="E595" i="1" s="1"/>
  <c r="A597" i="1"/>
  <c r="D595" i="1" l="1"/>
  <c r="B595" i="1"/>
  <c r="O308" i="1"/>
  <c r="M308" i="1"/>
  <c r="H310" i="1"/>
  <c r="J310" i="1" s="1"/>
  <c r="G310" i="1"/>
  <c r="I310" i="1" s="1"/>
  <c r="C597" i="1"/>
  <c r="E596" i="1" s="1"/>
  <c r="A598" i="1"/>
  <c r="D596" i="1" l="1"/>
  <c r="B596" i="1"/>
  <c r="K310" i="1"/>
  <c r="L310" i="1"/>
  <c r="F311" i="1" s="1"/>
  <c r="N310" i="1"/>
  <c r="P309" i="1" s="1"/>
  <c r="C598" i="1"/>
  <c r="E597" i="1" s="1"/>
  <c r="A599" i="1"/>
  <c r="D597" i="1" l="1"/>
  <c r="B597" i="1"/>
  <c r="O309" i="1"/>
  <c r="M309" i="1"/>
  <c r="G311" i="1"/>
  <c r="I311" i="1" s="1"/>
  <c r="H311" i="1"/>
  <c r="J311" i="1" s="1"/>
  <c r="C599" i="1"/>
  <c r="E598" i="1" s="1"/>
  <c r="A600" i="1"/>
  <c r="D598" i="1" l="1"/>
  <c r="B598" i="1"/>
  <c r="K311" i="1"/>
  <c r="L311" i="1"/>
  <c r="F312" i="1" s="1"/>
  <c r="N311" i="1"/>
  <c r="P310" i="1" s="1"/>
  <c r="C600" i="1"/>
  <c r="E599" i="1" s="1"/>
  <c r="A601" i="1"/>
  <c r="D599" i="1" l="1"/>
  <c r="B599" i="1"/>
  <c r="O310" i="1"/>
  <c r="M310" i="1"/>
  <c r="G312" i="1"/>
  <c r="I312" i="1" s="1"/>
  <c r="H312" i="1"/>
  <c r="J312" i="1" s="1"/>
  <c r="A602" i="1"/>
  <c r="C601" i="1"/>
  <c r="E600" i="1" s="1"/>
  <c r="D600" i="1" l="1"/>
  <c r="B600" i="1"/>
  <c r="K312" i="1"/>
  <c r="N312" i="1"/>
  <c r="P311" i="1" s="1"/>
  <c r="L312" i="1"/>
  <c r="F313" i="1" s="1"/>
  <c r="A603" i="1"/>
  <c r="C602" i="1"/>
  <c r="E601" i="1" s="1"/>
  <c r="D601" i="1" l="1"/>
  <c r="B601" i="1"/>
  <c r="O311" i="1"/>
  <c r="M311" i="1"/>
  <c r="G313" i="1"/>
  <c r="I313" i="1" s="1"/>
  <c r="H313" i="1"/>
  <c r="J313" i="1" s="1"/>
  <c r="C603" i="1"/>
  <c r="E602" i="1" s="1"/>
  <c r="A604" i="1"/>
  <c r="D602" i="1" l="1"/>
  <c r="B602" i="1"/>
  <c r="K313" i="1"/>
  <c r="L313" i="1"/>
  <c r="F314" i="1" s="1"/>
  <c r="N313" i="1"/>
  <c r="P312" i="1" s="1"/>
  <c r="C604" i="1"/>
  <c r="E603" i="1" s="1"/>
  <c r="A605" i="1"/>
  <c r="D603" i="1" l="1"/>
  <c r="B603" i="1"/>
  <c r="O312" i="1"/>
  <c r="M312" i="1"/>
  <c r="H314" i="1"/>
  <c r="J314" i="1" s="1"/>
  <c r="G314" i="1"/>
  <c r="I314" i="1" s="1"/>
  <c r="C605" i="1"/>
  <c r="E604" i="1" s="1"/>
  <c r="D604" i="1" s="1"/>
  <c r="A606" i="1"/>
  <c r="B604" i="1" l="1"/>
  <c r="K314" i="1"/>
  <c r="L314" i="1"/>
  <c r="F315" i="1" s="1"/>
  <c r="N314" i="1"/>
  <c r="P313" i="1" s="1"/>
  <c r="C606" i="1"/>
  <c r="E605" i="1" s="1"/>
  <c r="D605" i="1" s="1"/>
  <c r="A607" i="1"/>
  <c r="B605" i="1" l="1"/>
  <c r="O313" i="1"/>
  <c r="M313" i="1"/>
  <c r="G315" i="1"/>
  <c r="I315" i="1" s="1"/>
  <c r="H315" i="1"/>
  <c r="J315" i="1" s="1"/>
  <c r="A608" i="1"/>
  <c r="C607" i="1"/>
  <c r="E606" i="1" s="1"/>
  <c r="D606" i="1" s="1"/>
  <c r="B606" i="1" l="1"/>
  <c r="K315" i="1"/>
  <c r="N315" i="1"/>
  <c r="P314" i="1" s="1"/>
  <c r="L315" i="1"/>
  <c r="F316" i="1" s="1"/>
  <c r="A609" i="1"/>
  <c r="C608" i="1"/>
  <c r="E607" i="1" s="1"/>
  <c r="D607" i="1" s="1"/>
  <c r="B607" i="1" l="1"/>
  <c r="O314" i="1"/>
  <c r="M314" i="1"/>
  <c r="G316" i="1"/>
  <c r="I316" i="1" s="1"/>
  <c r="H316" i="1"/>
  <c r="J316" i="1" s="1"/>
  <c r="C609" i="1"/>
  <c r="E608" i="1" s="1"/>
  <c r="D608" i="1" s="1"/>
  <c r="A610" i="1"/>
  <c r="B608" i="1" l="1"/>
  <c r="K316" i="1"/>
  <c r="N316" i="1"/>
  <c r="P315" i="1" s="1"/>
  <c r="L316" i="1"/>
  <c r="F317" i="1" s="1"/>
  <c r="C610" i="1"/>
  <c r="E609" i="1" s="1"/>
  <c r="D609" i="1" s="1"/>
  <c r="A611" i="1"/>
  <c r="B609" i="1" l="1"/>
  <c r="O315" i="1"/>
  <c r="M315" i="1"/>
  <c r="G317" i="1"/>
  <c r="I317" i="1" s="1"/>
  <c r="H317" i="1"/>
  <c r="J317" i="1" s="1"/>
  <c r="C611" i="1"/>
  <c r="E610" i="1" s="1"/>
  <c r="D610" i="1" s="1"/>
  <c r="A612" i="1"/>
  <c r="B610" i="1" l="1"/>
  <c r="K317" i="1"/>
  <c r="N317" i="1"/>
  <c r="P316" i="1" s="1"/>
  <c r="L317" i="1"/>
  <c r="F318" i="1" s="1"/>
  <c r="A613" i="1"/>
  <c r="C612" i="1"/>
  <c r="E611" i="1" s="1"/>
  <c r="D611" i="1" s="1"/>
  <c r="B611" i="1" l="1"/>
  <c r="O316" i="1"/>
  <c r="M316" i="1"/>
  <c r="H318" i="1"/>
  <c r="J318" i="1" s="1"/>
  <c r="G318" i="1"/>
  <c r="I318" i="1" s="1"/>
  <c r="A614" i="1"/>
  <c r="C613" i="1"/>
  <c r="E612" i="1" s="1"/>
  <c r="D612" i="1" s="1"/>
  <c r="B612" i="1" l="1"/>
  <c r="K318" i="1"/>
  <c r="L318" i="1"/>
  <c r="F319" i="1" s="1"/>
  <c r="N318" i="1"/>
  <c r="P317" i="1" s="1"/>
  <c r="C614" i="1"/>
  <c r="E613" i="1" s="1"/>
  <c r="D613" i="1" s="1"/>
  <c r="A615" i="1"/>
  <c r="B613" i="1" l="1"/>
  <c r="O317" i="1"/>
  <c r="M317" i="1"/>
  <c r="G319" i="1"/>
  <c r="I319" i="1" s="1"/>
  <c r="H319" i="1"/>
  <c r="J319" i="1" s="1"/>
  <c r="A616" i="1"/>
  <c r="C615" i="1"/>
  <c r="E614" i="1" s="1"/>
  <c r="D614" i="1" s="1"/>
  <c r="B614" i="1" l="1"/>
  <c r="K319" i="1"/>
  <c r="N319" i="1"/>
  <c r="P318" i="1" s="1"/>
  <c r="L319" i="1"/>
  <c r="F320" i="1" s="1"/>
  <c r="C616" i="1"/>
  <c r="E615" i="1" s="1"/>
  <c r="D615" i="1" s="1"/>
  <c r="A617" i="1"/>
  <c r="B615" i="1" l="1"/>
  <c r="O318" i="1"/>
  <c r="M318" i="1"/>
  <c r="H320" i="1"/>
  <c r="J320" i="1" s="1"/>
  <c r="G320" i="1"/>
  <c r="I320" i="1" s="1"/>
  <c r="C617" i="1"/>
  <c r="E616" i="1" s="1"/>
  <c r="D616" i="1" s="1"/>
  <c r="A618" i="1"/>
  <c r="B616" i="1" l="1"/>
  <c r="K320" i="1"/>
  <c r="N320" i="1"/>
  <c r="P319" i="1" s="1"/>
  <c r="L320" i="1"/>
  <c r="F321" i="1" s="1"/>
  <c r="C618" i="1"/>
  <c r="E617" i="1" s="1"/>
  <c r="D617" i="1" s="1"/>
  <c r="A619" i="1"/>
  <c r="B617" i="1" l="1"/>
  <c r="O319" i="1"/>
  <c r="M319" i="1"/>
  <c r="G321" i="1"/>
  <c r="I321" i="1" s="1"/>
  <c r="H321" i="1"/>
  <c r="J321" i="1" s="1"/>
  <c r="A620" i="1"/>
  <c r="C619" i="1"/>
  <c r="E618" i="1" s="1"/>
  <c r="D618" i="1" s="1"/>
  <c r="B618" i="1" l="1"/>
  <c r="K321" i="1"/>
  <c r="N321" i="1"/>
  <c r="P320" i="1" s="1"/>
  <c r="L321" i="1"/>
  <c r="F322" i="1" s="1"/>
  <c r="C620" i="1"/>
  <c r="E619" i="1" s="1"/>
  <c r="D619" i="1" s="1"/>
  <c r="A621" i="1"/>
  <c r="B619" i="1" l="1"/>
  <c r="O320" i="1"/>
  <c r="M320" i="1"/>
  <c r="H322" i="1"/>
  <c r="J322" i="1" s="1"/>
  <c r="G322" i="1"/>
  <c r="I322" i="1" s="1"/>
  <c r="A622" i="1"/>
  <c r="C621" i="1"/>
  <c r="E620" i="1" s="1"/>
  <c r="D620" i="1" s="1"/>
  <c r="B620" i="1" l="1"/>
  <c r="K322" i="1"/>
  <c r="L322" i="1"/>
  <c r="F323" i="1" s="1"/>
  <c r="N322" i="1"/>
  <c r="P321" i="1" s="1"/>
  <c r="C622" i="1"/>
  <c r="E621" i="1" s="1"/>
  <c r="D621" i="1" s="1"/>
  <c r="A623" i="1"/>
  <c r="B621" i="1" l="1"/>
  <c r="O321" i="1"/>
  <c r="M321" i="1"/>
  <c r="H323" i="1"/>
  <c r="J323" i="1" s="1"/>
  <c r="G323" i="1"/>
  <c r="I323" i="1" s="1"/>
  <c r="C623" i="1"/>
  <c r="E622" i="1" s="1"/>
  <c r="D622" i="1" s="1"/>
  <c r="A624" i="1"/>
  <c r="B622" i="1" l="1"/>
  <c r="K323" i="1"/>
  <c r="L323" i="1"/>
  <c r="F324" i="1" s="1"/>
  <c r="N323" i="1"/>
  <c r="P322" i="1" s="1"/>
  <c r="C624" i="1"/>
  <c r="E623" i="1" s="1"/>
  <c r="D623" i="1" s="1"/>
  <c r="A625" i="1"/>
  <c r="B623" i="1" l="1"/>
  <c r="O322" i="1"/>
  <c r="M322" i="1"/>
  <c r="G324" i="1"/>
  <c r="I324" i="1" s="1"/>
  <c r="H324" i="1"/>
  <c r="J324" i="1" s="1"/>
  <c r="C625" i="1"/>
  <c r="E624" i="1" s="1"/>
  <c r="D624" i="1" s="1"/>
  <c r="A626" i="1"/>
  <c r="B624" i="1" l="1"/>
  <c r="K324" i="1"/>
  <c r="L324" i="1"/>
  <c r="F325" i="1" s="1"/>
  <c r="N324" i="1"/>
  <c r="P323" i="1" s="1"/>
  <c r="C626" i="1"/>
  <c r="E625" i="1" s="1"/>
  <c r="D625" i="1" s="1"/>
  <c r="A627" i="1"/>
  <c r="B625" i="1" l="1"/>
  <c r="O323" i="1"/>
  <c r="M323" i="1"/>
  <c r="H325" i="1"/>
  <c r="J325" i="1" s="1"/>
  <c r="G325" i="1"/>
  <c r="I325" i="1" s="1"/>
  <c r="A628" i="1"/>
  <c r="C627" i="1"/>
  <c r="E626" i="1" s="1"/>
  <c r="D626" i="1" s="1"/>
  <c r="B626" i="1" l="1"/>
  <c r="K325" i="1"/>
  <c r="L325" i="1"/>
  <c r="F326" i="1" s="1"/>
  <c r="N325" i="1"/>
  <c r="P324" i="1" s="1"/>
  <c r="A629" i="1"/>
  <c r="C628" i="1"/>
  <c r="E627" i="1" s="1"/>
  <c r="D627" i="1" s="1"/>
  <c r="B627" i="1" l="1"/>
  <c r="O324" i="1"/>
  <c r="M324" i="1"/>
  <c r="G326" i="1"/>
  <c r="I326" i="1" s="1"/>
  <c r="H326" i="1"/>
  <c r="J326" i="1" s="1"/>
  <c r="C629" i="1"/>
  <c r="E628" i="1" s="1"/>
  <c r="D628" i="1" s="1"/>
  <c r="A630" i="1"/>
  <c r="B628" i="1" l="1"/>
  <c r="K326" i="1"/>
  <c r="N326" i="1"/>
  <c r="P325" i="1" s="1"/>
  <c r="L326" i="1"/>
  <c r="F327" i="1" s="1"/>
  <c r="C630" i="1"/>
  <c r="E629" i="1" s="1"/>
  <c r="D629" i="1" s="1"/>
  <c r="A631" i="1"/>
  <c r="B629" i="1" l="1"/>
  <c r="O325" i="1"/>
  <c r="M325" i="1"/>
  <c r="H327" i="1"/>
  <c r="J327" i="1" s="1"/>
  <c r="G327" i="1"/>
  <c r="I327" i="1" s="1"/>
  <c r="C631" i="1"/>
  <c r="E630" i="1" s="1"/>
  <c r="D630" i="1" s="1"/>
  <c r="A632" i="1"/>
  <c r="B630" i="1" l="1"/>
  <c r="K327" i="1"/>
  <c r="N327" i="1"/>
  <c r="P326" i="1" s="1"/>
  <c r="L327" i="1"/>
  <c r="F328" i="1" s="1"/>
  <c r="C632" i="1"/>
  <c r="E631" i="1" s="1"/>
  <c r="D631" i="1" s="1"/>
  <c r="A633" i="1"/>
  <c r="B631" i="1" l="1"/>
  <c r="O326" i="1"/>
  <c r="M326" i="1"/>
  <c r="G328" i="1"/>
  <c r="I328" i="1" s="1"/>
  <c r="H328" i="1"/>
  <c r="J328" i="1" s="1"/>
  <c r="A634" i="1"/>
  <c r="C633" i="1"/>
  <c r="E632" i="1" s="1"/>
  <c r="D632" i="1" s="1"/>
  <c r="B632" i="1" l="1"/>
  <c r="K328" i="1"/>
  <c r="N328" i="1"/>
  <c r="P327" i="1" s="1"/>
  <c r="L328" i="1"/>
  <c r="F329" i="1" s="1"/>
  <c r="C634" i="1"/>
  <c r="E633" i="1" s="1"/>
  <c r="D633" i="1" s="1"/>
  <c r="A635" i="1"/>
  <c r="B633" i="1" l="1"/>
  <c r="O327" i="1"/>
  <c r="M327" i="1"/>
  <c r="G329" i="1"/>
  <c r="I329" i="1" s="1"/>
  <c r="H329" i="1"/>
  <c r="J329" i="1" s="1"/>
  <c r="A636" i="1"/>
  <c r="C635" i="1"/>
  <c r="E634" i="1" s="1"/>
  <c r="D634" i="1" s="1"/>
  <c r="B634" i="1" l="1"/>
  <c r="K329" i="1"/>
  <c r="L329" i="1"/>
  <c r="F330" i="1" s="1"/>
  <c r="N329" i="1"/>
  <c r="P328" i="1" s="1"/>
  <c r="C636" i="1"/>
  <c r="E635" i="1" s="1"/>
  <c r="D635" i="1" s="1"/>
  <c r="A637" i="1"/>
  <c r="B635" i="1" l="1"/>
  <c r="O328" i="1"/>
  <c r="M328" i="1"/>
  <c r="H330" i="1"/>
  <c r="J330" i="1" s="1"/>
  <c r="G330" i="1"/>
  <c r="I330" i="1" s="1"/>
  <c r="C637" i="1"/>
  <c r="E636" i="1" s="1"/>
  <c r="D636" i="1" s="1"/>
  <c r="A638" i="1"/>
  <c r="B636" i="1" l="1"/>
  <c r="K330" i="1"/>
  <c r="L330" i="1"/>
  <c r="F331" i="1" s="1"/>
  <c r="N330" i="1"/>
  <c r="P329" i="1" s="1"/>
  <c r="A639" i="1"/>
  <c r="C638" i="1"/>
  <c r="E637" i="1" s="1"/>
  <c r="D637" i="1" s="1"/>
  <c r="B637" i="1" l="1"/>
  <c r="O329" i="1"/>
  <c r="M329" i="1"/>
  <c r="G331" i="1"/>
  <c r="I331" i="1" s="1"/>
  <c r="H331" i="1"/>
  <c r="J331" i="1" s="1"/>
  <c r="A640" i="1"/>
  <c r="C639" i="1"/>
  <c r="E638" i="1" s="1"/>
  <c r="D638" i="1" s="1"/>
  <c r="B638" i="1" l="1"/>
  <c r="K331" i="1"/>
  <c r="N331" i="1"/>
  <c r="P330" i="1" s="1"/>
  <c r="L331" i="1"/>
  <c r="F332" i="1" s="1"/>
  <c r="C640" i="1"/>
  <c r="E639" i="1" s="1"/>
  <c r="D639" i="1" s="1"/>
  <c r="A641" i="1"/>
  <c r="B639" i="1" l="1"/>
  <c r="O330" i="1"/>
  <c r="M330" i="1"/>
  <c r="G332" i="1"/>
  <c r="I332" i="1" s="1"/>
  <c r="H332" i="1"/>
  <c r="J332" i="1" s="1"/>
  <c r="C641" i="1"/>
  <c r="E640" i="1" s="1"/>
  <c r="D640" i="1" s="1"/>
  <c r="A642" i="1"/>
  <c r="B640" i="1" l="1"/>
  <c r="K332" i="1"/>
  <c r="N332" i="1"/>
  <c r="P331" i="1" s="1"/>
  <c r="L332" i="1"/>
  <c r="F333" i="1" s="1"/>
  <c r="C642" i="1"/>
  <c r="E641" i="1" s="1"/>
  <c r="D641" i="1" s="1"/>
  <c r="A643" i="1"/>
  <c r="B641" i="1" l="1"/>
  <c r="O331" i="1"/>
  <c r="M331" i="1"/>
  <c r="G333" i="1"/>
  <c r="I333" i="1" s="1"/>
  <c r="H333" i="1"/>
  <c r="J333" i="1" s="1"/>
  <c r="C643" i="1"/>
  <c r="E642" i="1" s="1"/>
  <c r="D642" i="1" s="1"/>
  <c r="A644" i="1"/>
  <c r="B642" i="1" l="1"/>
  <c r="K333" i="1"/>
  <c r="L333" i="1"/>
  <c r="F334" i="1" s="1"/>
  <c r="N333" i="1"/>
  <c r="P332" i="1" s="1"/>
  <c r="C644" i="1"/>
  <c r="E643" i="1" s="1"/>
  <c r="D643" i="1" s="1"/>
  <c r="A645" i="1"/>
  <c r="B643" i="1" l="1"/>
  <c r="O332" i="1"/>
  <c r="M332" i="1"/>
  <c r="G334" i="1"/>
  <c r="I334" i="1" s="1"/>
  <c r="H334" i="1"/>
  <c r="J334" i="1" s="1"/>
  <c r="A646" i="1"/>
  <c r="C645" i="1"/>
  <c r="E644" i="1" s="1"/>
  <c r="D644" i="1" s="1"/>
  <c r="B644" i="1" l="1"/>
  <c r="K334" i="1"/>
  <c r="N334" i="1"/>
  <c r="P333" i="1" s="1"/>
  <c r="L334" i="1"/>
  <c r="F335" i="1" s="1"/>
  <c r="A647" i="1"/>
  <c r="C646" i="1"/>
  <c r="E645" i="1" s="1"/>
  <c r="D645" i="1" s="1"/>
  <c r="B645" i="1" l="1"/>
  <c r="O333" i="1"/>
  <c r="M333" i="1"/>
  <c r="G335" i="1"/>
  <c r="I335" i="1" s="1"/>
  <c r="H335" i="1"/>
  <c r="J335" i="1" s="1"/>
  <c r="A648" i="1"/>
  <c r="C647" i="1"/>
  <c r="E646" i="1" s="1"/>
  <c r="D646" i="1" s="1"/>
  <c r="B646" i="1" l="1"/>
  <c r="K335" i="1"/>
  <c r="N335" i="1"/>
  <c r="P334" i="1" s="1"/>
  <c r="L335" i="1"/>
  <c r="F336" i="1" s="1"/>
  <c r="C648" i="1"/>
  <c r="E647" i="1" s="1"/>
  <c r="D647" i="1" s="1"/>
  <c r="A649" i="1"/>
  <c r="B647" i="1" l="1"/>
  <c r="O334" i="1"/>
  <c r="M334" i="1"/>
  <c r="H336" i="1"/>
  <c r="J336" i="1" s="1"/>
  <c r="G336" i="1"/>
  <c r="I336" i="1" s="1"/>
  <c r="C649" i="1"/>
  <c r="E648" i="1" s="1"/>
  <c r="D648" i="1" s="1"/>
  <c r="A650" i="1"/>
  <c r="B648" i="1" l="1"/>
  <c r="K336" i="1"/>
  <c r="N336" i="1"/>
  <c r="P335" i="1" s="1"/>
  <c r="L336" i="1"/>
  <c r="F337" i="1" s="1"/>
  <c r="C650" i="1"/>
  <c r="E649" i="1" s="1"/>
  <c r="D649" i="1" s="1"/>
  <c r="A651" i="1"/>
  <c r="B649" i="1" l="1"/>
  <c r="O335" i="1"/>
  <c r="M335" i="1"/>
  <c r="G337" i="1"/>
  <c r="I337" i="1" s="1"/>
  <c r="H337" i="1"/>
  <c r="J337" i="1" s="1"/>
  <c r="A652" i="1"/>
  <c r="C651" i="1"/>
  <c r="E650" i="1" s="1"/>
  <c r="D650" i="1" s="1"/>
  <c r="B650" i="1" l="1"/>
  <c r="K337" i="1"/>
  <c r="L337" i="1"/>
  <c r="F338" i="1" s="1"/>
  <c r="N337" i="1"/>
  <c r="P336" i="1" s="1"/>
  <c r="C652" i="1"/>
  <c r="E651" i="1" s="1"/>
  <c r="D651" i="1" s="1"/>
  <c r="A653" i="1"/>
  <c r="B651" i="1" l="1"/>
  <c r="O336" i="1"/>
  <c r="M336" i="1"/>
  <c r="H338" i="1"/>
  <c r="J338" i="1" s="1"/>
  <c r="G338" i="1"/>
  <c r="I338" i="1" s="1"/>
  <c r="C653" i="1"/>
  <c r="E652" i="1" s="1"/>
  <c r="D652" i="1" s="1"/>
  <c r="A654" i="1"/>
  <c r="B652" i="1" l="1"/>
  <c r="K338" i="1"/>
  <c r="N338" i="1"/>
  <c r="P337" i="1" s="1"/>
  <c r="L338" i="1"/>
  <c r="F339" i="1" s="1"/>
  <c r="C654" i="1"/>
  <c r="E653" i="1" s="1"/>
  <c r="D653" i="1" s="1"/>
  <c r="A655" i="1"/>
  <c r="B653" i="1" l="1"/>
  <c r="O337" i="1"/>
  <c r="M337" i="1"/>
  <c r="H339" i="1"/>
  <c r="J339" i="1" s="1"/>
  <c r="G339" i="1"/>
  <c r="I339" i="1" s="1"/>
  <c r="C655" i="1"/>
  <c r="E654" i="1" s="1"/>
  <c r="D654" i="1" s="1"/>
  <c r="A656" i="1"/>
  <c r="B654" i="1" l="1"/>
  <c r="K339" i="1"/>
  <c r="L339" i="1"/>
  <c r="F340" i="1" s="1"/>
  <c r="N339" i="1"/>
  <c r="P338" i="1" s="1"/>
  <c r="C656" i="1"/>
  <c r="E655" i="1" s="1"/>
  <c r="D655" i="1" s="1"/>
  <c r="A657" i="1"/>
  <c r="B655" i="1" l="1"/>
  <c r="O338" i="1"/>
  <c r="M338" i="1"/>
  <c r="H340" i="1"/>
  <c r="J340" i="1" s="1"/>
  <c r="G340" i="1"/>
  <c r="I340" i="1" s="1"/>
  <c r="C657" i="1"/>
  <c r="E656" i="1" s="1"/>
  <c r="D656" i="1" s="1"/>
  <c r="A658" i="1"/>
  <c r="B656" i="1" l="1"/>
  <c r="K340" i="1"/>
  <c r="N340" i="1"/>
  <c r="P339" i="1" s="1"/>
  <c r="L340" i="1"/>
  <c r="F341" i="1" s="1"/>
  <c r="C658" i="1"/>
  <c r="E657" i="1" s="1"/>
  <c r="D657" i="1" s="1"/>
  <c r="A659" i="1"/>
  <c r="B657" i="1" l="1"/>
  <c r="O339" i="1"/>
  <c r="M339" i="1"/>
  <c r="H341" i="1"/>
  <c r="J341" i="1" s="1"/>
  <c r="G341" i="1"/>
  <c r="I341" i="1" s="1"/>
  <c r="A660" i="1"/>
  <c r="C659" i="1"/>
  <c r="E658" i="1" s="1"/>
  <c r="D658" i="1" s="1"/>
  <c r="B658" i="1" l="1"/>
  <c r="K341" i="1"/>
  <c r="N341" i="1"/>
  <c r="P340" i="1" s="1"/>
  <c r="L341" i="1"/>
  <c r="F342" i="1" s="1"/>
  <c r="A661" i="1"/>
  <c r="C660" i="1"/>
  <c r="E659" i="1" s="1"/>
  <c r="D659" i="1" s="1"/>
  <c r="B659" i="1" l="1"/>
  <c r="O340" i="1"/>
  <c r="M340" i="1"/>
  <c r="H342" i="1"/>
  <c r="J342" i="1" s="1"/>
  <c r="G342" i="1"/>
  <c r="I342" i="1" s="1"/>
  <c r="A662" i="1"/>
  <c r="C661" i="1"/>
  <c r="E660" i="1" s="1"/>
  <c r="D660" i="1" s="1"/>
  <c r="B660" i="1" l="1"/>
  <c r="K342" i="1"/>
  <c r="N342" i="1"/>
  <c r="P341" i="1" s="1"/>
  <c r="L342" i="1"/>
  <c r="F343" i="1" s="1"/>
  <c r="C662" i="1"/>
  <c r="E661" i="1" s="1"/>
  <c r="D661" i="1" s="1"/>
  <c r="A663" i="1"/>
  <c r="B661" i="1" l="1"/>
  <c r="O341" i="1"/>
  <c r="M341" i="1"/>
  <c r="H343" i="1"/>
  <c r="J343" i="1" s="1"/>
  <c r="G343" i="1"/>
  <c r="I343" i="1" s="1"/>
  <c r="C663" i="1"/>
  <c r="E662" i="1" s="1"/>
  <c r="D662" i="1" s="1"/>
  <c r="A664" i="1"/>
  <c r="B662" i="1" l="1"/>
  <c r="K343" i="1"/>
  <c r="L343" i="1"/>
  <c r="F344" i="1" s="1"/>
  <c r="N343" i="1"/>
  <c r="P342" i="1" s="1"/>
  <c r="A665" i="1"/>
  <c r="C664" i="1"/>
  <c r="E663" i="1" s="1"/>
  <c r="D663" i="1" s="1"/>
  <c r="B663" i="1" l="1"/>
  <c r="O342" i="1"/>
  <c r="M342" i="1"/>
  <c r="G344" i="1"/>
  <c r="I344" i="1" s="1"/>
  <c r="H344" i="1"/>
  <c r="J344" i="1" s="1"/>
  <c r="A666" i="1"/>
  <c r="C665" i="1"/>
  <c r="E664" i="1" s="1"/>
  <c r="D664" i="1" s="1"/>
  <c r="B664" i="1" l="1"/>
  <c r="K344" i="1"/>
  <c r="N344" i="1"/>
  <c r="P343" i="1" s="1"/>
  <c r="L344" i="1"/>
  <c r="F345" i="1" s="1"/>
  <c r="A667" i="1"/>
  <c r="C666" i="1"/>
  <c r="E665" i="1" s="1"/>
  <c r="D665" i="1" s="1"/>
  <c r="B665" i="1" l="1"/>
  <c r="O343" i="1"/>
  <c r="M343" i="1"/>
  <c r="H345" i="1"/>
  <c r="J345" i="1" s="1"/>
  <c r="N345" i="1" s="1"/>
  <c r="P344" i="1" s="1"/>
  <c r="G345" i="1"/>
  <c r="I345" i="1" s="1"/>
  <c r="A668" i="1"/>
  <c r="C667" i="1"/>
  <c r="E666" i="1" s="1"/>
  <c r="D666" i="1" s="1"/>
  <c r="B666" i="1" l="1"/>
  <c r="O344" i="1"/>
  <c r="M344" i="1"/>
  <c r="K345" i="1"/>
  <c r="L345" i="1"/>
  <c r="F346" i="1" s="1"/>
  <c r="C668" i="1"/>
  <c r="E667" i="1" s="1"/>
  <c r="D667" i="1" s="1"/>
  <c r="A669" i="1"/>
  <c r="B667" i="1" l="1"/>
  <c r="G346" i="1"/>
  <c r="I346" i="1" s="1"/>
  <c r="H346" i="1"/>
  <c r="J346" i="1" s="1"/>
  <c r="A670" i="1"/>
  <c r="C669" i="1"/>
  <c r="E668" i="1" s="1"/>
  <c r="D668" i="1" s="1"/>
  <c r="B668" i="1" l="1"/>
  <c r="K346" i="1"/>
  <c r="N346" i="1"/>
  <c r="P345" i="1" s="1"/>
  <c r="L346" i="1"/>
  <c r="F347" i="1" s="1"/>
  <c r="A671" i="1"/>
  <c r="C670" i="1"/>
  <c r="E669" i="1" s="1"/>
  <c r="D669" i="1" s="1"/>
  <c r="B669" i="1" l="1"/>
  <c r="O345" i="1"/>
  <c r="M345" i="1"/>
  <c r="G347" i="1"/>
  <c r="I347" i="1" s="1"/>
  <c r="H347" i="1"/>
  <c r="J347" i="1" s="1"/>
  <c r="C671" i="1"/>
  <c r="E670" i="1" s="1"/>
  <c r="D670" i="1" s="1"/>
  <c r="A672" i="1"/>
  <c r="B670" i="1" l="1"/>
  <c r="K347" i="1"/>
  <c r="N347" i="1"/>
  <c r="P346" i="1" s="1"/>
  <c r="L347" i="1"/>
  <c r="F348" i="1" s="1"/>
  <c r="C672" i="1"/>
  <c r="E671" i="1" s="1"/>
  <c r="D671" i="1" s="1"/>
  <c r="A673" i="1"/>
  <c r="B671" i="1" l="1"/>
  <c r="O346" i="1"/>
  <c r="M346" i="1"/>
  <c r="H348" i="1"/>
  <c r="J348" i="1" s="1"/>
  <c r="G348" i="1"/>
  <c r="I348" i="1" s="1"/>
  <c r="C673" i="1"/>
  <c r="E672" i="1" s="1"/>
  <c r="D672" i="1" s="1"/>
  <c r="A674" i="1"/>
  <c r="B672" i="1" l="1"/>
  <c r="K348" i="1"/>
  <c r="N348" i="1"/>
  <c r="P347" i="1" s="1"/>
  <c r="L348" i="1"/>
  <c r="F349" i="1" s="1"/>
  <c r="A675" i="1"/>
  <c r="C674" i="1"/>
  <c r="E673" i="1" s="1"/>
  <c r="D673" i="1" s="1"/>
  <c r="B673" i="1" l="1"/>
  <c r="O347" i="1"/>
  <c r="M347" i="1"/>
  <c r="G349" i="1"/>
  <c r="I349" i="1" s="1"/>
  <c r="H349" i="1"/>
  <c r="J349" i="1" s="1"/>
  <c r="C675" i="1"/>
  <c r="E674" i="1" s="1"/>
  <c r="D674" i="1" s="1"/>
  <c r="A676" i="1"/>
  <c r="B674" i="1" l="1"/>
  <c r="K349" i="1"/>
  <c r="N349" i="1"/>
  <c r="P348" i="1" s="1"/>
  <c r="L349" i="1"/>
  <c r="F350" i="1" s="1"/>
  <c r="A677" i="1"/>
  <c r="C676" i="1"/>
  <c r="E675" i="1" s="1"/>
  <c r="D675" i="1" s="1"/>
  <c r="B675" i="1" l="1"/>
  <c r="O348" i="1"/>
  <c r="M348" i="1"/>
  <c r="H350" i="1"/>
  <c r="J350" i="1" s="1"/>
  <c r="N350" i="1" s="1"/>
  <c r="P349" i="1" s="1"/>
  <c r="G350" i="1"/>
  <c r="I350" i="1" s="1"/>
  <c r="C677" i="1"/>
  <c r="E676" i="1" s="1"/>
  <c r="D676" i="1" s="1"/>
  <c r="A678" i="1"/>
  <c r="B676" i="1" l="1"/>
  <c r="O349" i="1"/>
  <c r="M349" i="1"/>
  <c r="K350" i="1"/>
  <c r="L350" i="1"/>
  <c r="F351" i="1" s="1"/>
  <c r="C678" i="1"/>
  <c r="E677" i="1" s="1"/>
  <c r="D677" i="1" s="1"/>
  <c r="A679" i="1"/>
  <c r="B677" i="1" l="1"/>
  <c r="H351" i="1"/>
  <c r="J351" i="1" s="1"/>
  <c r="N351" i="1" s="1"/>
  <c r="P350" i="1" s="1"/>
  <c r="G351" i="1"/>
  <c r="I351" i="1" s="1"/>
  <c r="C679" i="1"/>
  <c r="E678" i="1" s="1"/>
  <c r="D678" i="1" s="1"/>
  <c r="A680" i="1"/>
  <c r="B678" i="1" l="1"/>
  <c r="K351" i="1"/>
  <c r="O350" i="1"/>
  <c r="M350" i="1"/>
  <c r="L351" i="1"/>
  <c r="F352" i="1" s="1"/>
  <c r="A681" i="1"/>
  <c r="C680" i="1"/>
  <c r="E679" i="1" s="1"/>
  <c r="D679" i="1" s="1"/>
  <c r="B679" i="1" l="1"/>
  <c r="G352" i="1"/>
  <c r="I352" i="1" s="1"/>
  <c r="H352" i="1"/>
  <c r="J352" i="1" s="1"/>
  <c r="A682" i="1"/>
  <c r="C681" i="1"/>
  <c r="E680" i="1" s="1"/>
  <c r="D680" i="1" s="1"/>
  <c r="B680" i="1" l="1"/>
  <c r="K352" i="1"/>
  <c r="L352" i="1"/>
  <c r="F353" i="1" s="1"/>
  <c r="N352" i="1"/>
  <c r="P351" i="1" s="1"/>
  <c r="C682" i="1"/>
  <c r="E681" i="1" s="1"/>
  <c r="D681" i="1" s="1"/>
  <c r="A683" i="1"/>
  <c r="B681" i="1" l="1"/>
  <c r="H353" i="1"/>
  <c r="J353" i="1" s="1"/>
  <c r="N353" i="1" s="1"/>
  <c r="P352" i="1" s="1"/>
  <c r="O351" i="1"/>
  <c r="M351" i="1"/>
  <c r="G353" i="1"/>
  <c r="I353" i="1" s="1"/>
  <c r="A684" i="1"/>
  <c r="C683" i="1"/>
  <c r="E682" i="1" s="1"/>
  <c r="D682" i="1" s="1"/>
  <c r="B682" i="1" l="1"/>
  <c r="O352" i="1"/>
  <c r="K353" i="1"/>
  <c r="M352" i="1"/>
  <c r="L353" i="1"/>
  <c r="F354" i="1" s="1"/>
  <c r="A685" i="1"/>
  <c r="C684" i="1"/>
  <c r="E683" i="1" s="1"/>
  <c r="D683" i="1" s="1"/>
  <c r="H354" i="1" l="1"/>
  <c r="J354" i="1" s="1"/>
  <c r="N354" i="1" s="1"/>
  <c r="P353" i="1" s="1"/>
  <c r="M353" i="1" s="1"/>
  <c r="B683" i="1"/>
  <c r="G354" i="1"/>
  <c r="I354" i="1" s="1"/>
  <c r="A686" i="1"/>
  <c r="C685" i="1"/>
  <c r="E684" i="1" s="1"/>
  <c r="D684" i="1" s="1"/>
  <c r="K354" i="1" l="1"/>
  <c r="O353" i="1"/>
  <c r="B684" i="1"/>
  <c r="L354" i="1"/>
  <c r="F355" i="1" s="1"/>
  <c r="A687" i="1"/>
  <c r="C686" i="1"/>
  <c r="E685" i="1" s="1"/>
  <c r="D685" i="1" s="1"/>
  <c r="B685" i="1" l="1"/>
  <c r="G355" i="1"/>
  <c r="I355" i="1" s="1"/>
  <c r="H355" i="1"/>
  <c r="J355" i="1" s="1"/>
  <c r="C687" i="1"/>
  <c r="E686" i="1" s="1"/>
  <c r="D686" i="1" s="1"/>
  <c r="A688" i="1"/>
  <c r="B686" i="1" l="1"/>
  <c r="N355" i="1"/>
  <c r="P354" i="1" s="1"/>
  <c r="K355" i="1"/>
  <c r="L355" i="1"/>
  <c r="F356" i="1" s="1"/>
  <c r="A689" i="1"/>
  <c r="C688" i="1"/>
  <c r="E687" i="1" s="1"/>
  <c r="D687" i="1" s="1"/>
  <c r="B687" i="1" l="1"/>
  <c r="O354" i="1"/>
  <c r="M354" i="1"/>
  <c r="G356" i="1"/>
  <c r="I356" i="1" s="1"/>
  <c r="H356" i="1"/>
  <c r="J356" i="1" s="1"/>
  <c r="A690" i="1"/>
  <c r="C689" i="1"/>
  <c r="E688" i="1" s="1"/>
  <c r="D688" i="1" s="1"/>
  <c r="B688" i="1" l="1"/>
  <c r="L356" i="1"/>
  <c r="F357" i="1" s="1"/>
  <c r="K356" i="1"/>
  <c r="N356" i="1"/>
  <c r="P355" i="1" s="1"/>
  <c r="C690" i="1"/>
  <c r="E689" i="1" s="1"/>
  <c r="D689" i="1" s="1"/>
  <c r="A691" i="1"/>
  <c r="B689" i="1" l="1"/>
  <c r="O355" i="1"/>
  <c r="M355" i="1"/>
  <c r="H357" i="1"/>
  <c r="J357" i="1" s="1"/>
  <c r="G357" i="1"/>
  <c r="I357" i="1" s="1"/>
  <c r="A692" i="1"/>
  <c r="C691" i="1"/>
  <c r="E690" i="1" s="1"/>
  <c r="D690" i="1" s="1"/>
  <c r="B690" i="1" l="1"/>
  <c r="N357" i="1"/>
  <c r="P356" i="1" s="1"/>
  <c r="K357" i="1"/>
  <c r="L357" i="1"/>
  <c r="F358" i="1" s="1"/>
  <c r="C692" i="1"/>
  <c r="E691" i="1" s="1"/>
  <c r="D691" i="1" s="1"/>
  <c r="A693" i="1"/>
  <c r="B691" i="1" l="1"/>
  <c r="O356" i="1"/>
  <c r="M356" i="1"/>
  <c r="H358" i="1"/>
  <c r="J358" i="1" s="1"/>
  <c r="G358" i="1"/>
  <c r="I358" i="1" s="1"/>
  <c r="A694" i="1"/>
  <c r="C693" i="1"/>
  <c r="E692" i="1" s="1"/>
  <c r="D692" i="1" s="1"/>
  <c r="B692" i="1" l="1"/>
  <c r="N358" i="1"/>
  <c r="P357" i="1" s="1"/>
  <c r="K358" i="1"/>
  <c r="L358" i="1"/>
  <c r="F359" i="1" s="1"/>
  <c r="C694" i="1"/>
  <c r="E693" i="1" s="1"/>
  <c r="D693" i="1" s="1"/>
  <c r="A695" i="1"/>
  <c r="B693" i="1" l="1"/>
  <c r="O357" i="1"/>
  <c r="M357" i="1"/>
  <c r="H359" i="1"/>
  <c r="J359" i="1" s="1"/>
  <c r="G359" i="1"/>
  <c r="I359" i="1" s="1"/>
  <c r="A696" i="1"/>
  <c r="C695" i="1"/>
  <c r="E694" i="1" s="1"/>
  <c r="D694" i="1" s="1"/>
  <c r="B694" i="1" l="1"/>
  <c r="K359" i="1"/>
  <c r="L359" i="1"/>
  <c r="F360" i="1" s="1"/>
  <c r="N359" i="1"/>
  <c r="P358" i="1" s="1"/>
  <c r="A697" i="1"/>
  <c r="C696" i="1"/>
  <c r="E695" i="1" s="1"/>
  <c r="D695" i="1" s="1"/>
  <c r="B695" i="1" l="1"/>
  <c r="O358" i="1"/>
  <c r="M358" i="1"/>
  <c r="H360" i="1"/>
  <c r="J360" i="1" s="1"/>
  <c r="G360" i="1"/>
  <c r="I360" i="1" s="1"/>
  <c r="C697" i="1"/>
  <c r="E696" i="1" s="1"/>
  <c r="D696" i="1" s="1"/>
  <c r="A698" i="1"/>
  <c r="B696" i="1" l="1"/>
  <c r="K360" i="1"/>
  <c r="N360" i="1"/>
  <c r="P359" i="1" s="1"/>
  <c r="L360" i="1"/>
  <c r="F361" i="1" s="1"/>
  <c r="A699" i="1"/>
  <c r="C698" i="1"/>
  <c r="E697" i="1" s="1"/>
  <c r="D697" i="1" s="1"/>
  <c r="B697" i="1" l="1"/>
  <c r="O359" i="1"/>
  <c r="M359" i="1"/>
  <c r="H361" i="1"/>
  <c r="J361" i="1" s="1"/>
  <c r="G361" i="1"/>
  <c r="I361" i="1" s="1"/>
  <c r="A700" i="1"/>
  <c r="C699" i="1"/>
  <c r="E698" i="1" s="1"/>
  <c r="D698" i="1" s="1"/>
  <c r="B698" i="1" l="1"/>
  <c r="K361" i="1"/>
  <c r="N361" i="1"/>
  <c r="P360" i="1" s="1"/>
  <c r="L361" i="1"/>
  <c r="F362" i="1" s="1"/>
  <c r="A701" i="1"/>
  <c r="C700" i="1"/>
  <c r="E699" i="1" s="1"/>
  <c r="D699" i="1" s="1"/>
  <c r="B699" i="1" l="1"/>
  <c r="O360" i="1"/>
  <c r="M360" i="1"/>
  <c r="G362" i="1"/>
  <c r="I362" i="1" s="1"/>
  <c r="H362" i="1"/>
  <c r="J362" i="1" s="1"/>
  <c r="C701" i="1"/>
  <c r="E700" i="1" s="1"/>
  <c r="D700" i="1" s="1"/>
  <c r="A702" i="1"/>
  <c r="B700" i="1" l="1"/>
  <c r="L362" i="1"/>
  <c r="F363" i="1" s="1"/>
  <c r="N362" i="1"/>
  <c r="P361" i="1" s="1"/>
  <c r="K362" i="1"/>
  <c r="A703" i="1"/>
  <c r="C702" i="1"/>
  <c r="E701" i="1" s="1"/>
  <c r="D701" i="1" s="1"/>
  <c r="B701" i="1" l="1"/>
  <c r="O361" i="1"/>
  <c r="M361" i="1"/>
  <c r="H363" i="1"/>
  <c r="J363" i="1" s="1"/>
  <c r="N363" i="1" s="1"/>
  <c r="P362" i="1" s="1"/>
  <c r="G363" i="1"/>
  <c r="I363" i="1" s="1"/>
  <c r="A704" i="1"/>
  <c r="C703" i="1"/>
  <c r="E702" i="1" s="1"/>
  <c r="D702" i="1" s="1"/>
  <c r="B702" i="1" l="1"/>
  <c r="O362" i="1"/>
  <c r="M362" i="1"/>
  <c r="K363" i="1"/>
  <c r="L363" i="1"/>
  <c r="F364" i="1" s="1"/>
  <c r="C704" i="1"/>
  <c r="E703" i="1" s="1"/>
  <c r="D703" i="1" s="1"/>
  <c r="A705" i="1"/>
  <c r="B703" i="1" l="1"/>
  <c r="G364" i="1"/>
  <c r="I364" i="1" s="1"/>
  <c r="H364" i="1"/>
  <c r="J364" i="1" s="1"/>
  <c r="A706" i="1"/>
  <c r="C705" i="1"/>
  <c r="E704" i="1" s="1"/>
  <c r="D704" i="1" s="1"/>
  <c r="B704" i="1" l="1"/>
  <c r="L364" i="1"/>
  <c r="F365" i="1" s="1"/>
  <c r="K364" i="1"/>
  <c r="N364" i="1"/>
  <c r="P363" i="1" s="1"/>
  <c r="C706" i="1"/>
  <c r="E705" i="1" s="1"/>
  <c r="D705" i="1" s="1"/>
  <c r="A707" i="1"/>
  <c r="B705" i="1" l="1"/>
  <c r="O363" i="1"/>
  <c r="M363" i="1"/>
  <c r="G365" i="1"/>
  <c r="I365" i="1" s="1"/>
  <c r="H365" i="1"/>
  <c r="J365" i="1" s="1"/>
  <c r="C707" i="1"/>
  <c r="E706" i="1" s="1"/>
  <c r="D706" i="1" s="1"/>
  <c r="A708" i="1"/>
  <c r="B706" i="1" l="1"/>
  <c r="L365" i="1"/>
  <c r="F366" i="1" s="1"/>
  <c r="N365" i="1"/>
  <c r="P364" i="1" s="1"/>
  <c r="K365" i="1"/>
  <c r="A709" i="1"/>
  <c r="C708" i="1"/>
  <c r="E707" i="1" s="1"/>
  <c r="D707" i="1" s="1"/>
  <c r="B707" i="1" l="1"/>
  <c r="O364" i="1"/>
  <c r="M364" i="1"/>
  <c r="H366" i="1"/>
  <c r="J366" i="1" s="1"/>
  <c r="N366" i="1" s="1"/>
  <c r="P365" i="1" s="1"/>
  <c r="G366" i="1"/>
  <c r="I366" i="1" s="1"/>
  <c r="A710" i="1"/>
  <c r="C709" i="1"/>
  <c r="E708" i="1" s="1"/>
  <c r="D708" i="1" s="1"/>
  <c r="B708" i="1" l="1"/>
  <c r="O365" i="1"/>
  <c r="M365" i="1"/>
  <c r="K366" i="1"/>
  <c r="L366" i="1"/>
  <c r="F367" i="1" s="1"/>
  <c r="A711" i="1"/>
  <c r="C710" i="1"/>
  <c r="E709" i="1" s="1"/>
  <c r="D709" i="1" s="1"/>
  <c r="B709" i="1" l="1"/>
  <c r="H367" i="1"/>
  <c r="J367" i="1" s="1"/>
  <c r="G367" i="1"/>
  <c r="I367" i="1" s="1"/>
  <c r="C711" i="1"/>
  <c r="E710" i="1" s="1"/>
  <c r="D710" i="1" s="1"/>
  <c r="A712" i="1"/>
  <c r="B710" i="1" l="1"/>
  <c r="L367" i="1"/>
  <c r="F368" i="1" s="1"/>
  <c r="N367" i="1"/>
  <c r="P366" i="1" s="1"/>
  <c r="K367" i="1"/>
  <c r="A713" i="1"/>
  <c r="C712" i="1"/>
  <c r="E711" i="1" s="1"/>
  <c r="D711" i="1" s="1"/>
  <c r="B711" i="1" l="1"/>
  <c r="O366" i="1"/>
  <c r="M366" i="1"/>
  <c r="H368" i="1"/>
  <c r="J368" i="1" s="1"/>
  <c r="N368" i="1" s="1"/>
  <c r="P367" i="1" s="1"/>
  <c r="G368" i="1"/>
  <c r="I368" i="1" s="1"/>
  <c r="A714" i="1"/>
  <c r="C713" i="1"/>
  <c r="E712" i="1" s="1"/>
  <c r="D712" i="1" s="1"/>
  <c r="B712" i="1" l="1"/>
  <c r="O367" i="1"/>
  <c r="M367" i="1"/>
  <c r="K368" i="1"/>
  <c r="L368" i="1"/>
  <c r="F369" i="1" s="1"/>
  <c r="A715" i="1"/>
  <c r="C714" i="1"/>
  <c r="E713" i="1" s="1"/>
  <c r="D713" i="1" s="1"/>
  <c r="B713" i="1" l="1"/>
  <c r="G369" i="1"/>
  <c r="I369" i="1" s="1"/>
  <c r="H369" i="1"/>
  <c r="J369" i="1" s="1"/>
  <c r="A716" i="1"/>
  <c r="C715" i="1"/>
  <c r="E714" i="1" s="1"/>
  <c r="D714" i="1" s="1"/>
  <c r="B714" i="1" l="1"/>
  <c r="L369" i="1"/>
  <c r="F370" i="1" s="1"/>
  <c r="N369" i="1"/>
  <c r="P368" i="1" s="1"/>
  <c r="K369" i="1"/>
  <c r="C716" i="1"/>
  <c r="E715" i="1" s="1"/>
  <c r="D715" i="1" s="1"/>
  <c r="A717" i="1"/>
  <c r="B715" i="1" l="1"/>
  <c r="O368" i="1"/>
  <c r="M368" i="1"/>
  <c r="H370" i="1"/>
  <c r="J370" i="1" s="1"/>
  <c r="N370" i="1" s="1"/>
  <c r="P369" i="1" s="1"/>
  <c r="G370" i="1"/>
  <c r="I370" i="1" s="1"/>
  <c r="A718" i="1"/>
  <c r="C717" i="1"/>
  <c r="E716" i="1" s="1"/>
  <c r="D716" i="1" s="1"/>
  <c r="B716" i="1" l="1"/>
  <c r="O369" i="1"/>
  <c r="M369" i="1"/>
  <c r="K370" i="1"/>
  <c r="L370" i="1"/>
  <c r="F371" i="1" s="1"/>
  <c r="A719" i="1"/>
  <c r="C718" i="1"/>
  <c r="E717" i="1" s="1"/>
  <c r="D717" i="1" s="1"/>
  <c r="B717" i="1" l="1"/>
  <c r="H371" i="1"/>
  <c r="J371" i="1" s="1"/>
  <c r="G371" i="1"/>
  <c r="I371" i="1" s="1"/>
  <c r="C719" i="1"/>
  <c r="E718" i="1" s="1"/>
  <c r="D718" i="1" s="1"/>
  <c r="A720" i="1"/>
  <c r="B718" i="1" l="1"/>
  <c r="N371" i="1"/>
  <c r="P370" i="1" s="1"/>
  <c r="K371" i="1"/>
  <c r="L371" i="1"/>
  <c r="F372" i="1" s="1"/>
  <c r="A721" i="1"/>
  <c r="C720" i="1"/>
  <c r="E719" i="1" s="1"/>
  <c r="D719" i="1" s="1"/>
  <c r="B719" i="1" l="1"/>
  <c r="O370" i="1"/>
  <c r="M370" i="1"/>
  <c r="H372" i="1"/>
  <c r="J372" i="1" s="1"/>
  <c r="G372" i="1"/>
  <c r="I372" i="1" s="1"/>
  <c r="C721" i="1"/>
  <c r="E720" i="1" s="1"/>
  <c r="D720" i="1" s="1"/>
  <c r="A722" i="1"/>
  <c r="B720" i="1" l="1"/>
  <c r="K372" i="1"/>
  <c r="N372" i="1"/>
  <c r="P371" i="1" s="1"/>
  <c r="L372" i="1"/>
  <c r="F373" i="1" s="1"/>
  <c r="C722" i="1"/>
  <c r="E721" i="1" s="1"/>
  <c r="D721" i="1" s="1"/>
  <c r="A723" i="1"/>
  <c r="B721" i="1" l="1"/>
  <c r="O371" i="1"/>
  <c r="M371" i="1"/>
  <c r="G373" i="1"/>
  <c r="I373" i="1" s="1"/>
  <c r="H373" i="1"/>
  <c r="J373" i="1" s="1"/>
  <c r="A724" i="1"/>
  <c r="C723" i="1"/>
  <c r="E722" i="1" s="1"/>
  <c r="D722" i="1" s="1"/>
  <c r="B722" i="1" l="1"/>
  <c r="L373" i="1"/>
  <c r="F374" i="1" s="1"/>
  <c r="N373" i="1"/>
  <c r="P372" i="1" s="1"/>
  <c r="K373" i="1"/>
  <c r="C724" i="1"/>
  <c r="E723" i="1" s="1"/>
  <c r="D723" i="1" s="1"/>
  <c r="A725" i="1"/>
  <c r="B723" i="1" l="1"/>
  <c r="O372" i="1"/>
  <c r="M372" i="1"/>
  <c r="H374" i="1"/>
  <c r="J374" i="1" s="1"/>
  <c r="G374" i="1"/>
  <c r="I374" i="1" s="1"/>
  <c r="C725" i="1"/>
  <c r="E724" i="1" s="1"/>
  <c r="D724" i="1" s="1"/>
  <c r="A726" i="1"/>
  <c r="B724" i="1" l="1"/>
  <c r="N374" i="1"/>
  <c r="P373" i="1" s="1"/>
  <c r="K374" i="1"/>
  <c r="L374" i="1"/>
  <c r="F375" i="1" s="1"/>
  <c r="A727" i="1"/>
  <c r="C726" i="1"/>
  <c r="E725" i="1" s="1"/>
  <c r="D725" i="1" s="1"/>
  <c r="B725" i="1" l="1"/>
  <c r="O373" i="1"/>
  <c r="M373" i="1"/>
  <c r="G375" i="1"/>
  <c r="I375" i="1" s="1"/>
  <c r="H375" i="1"/>
  <c r="J375" i="1" s="1"/>
  <c r="N375" i="1" s="1"/>
  <c r="P374" i="1" s="1"/>
  <c r="C727" i="1"/>
  <c r="E726" i="1" s="1"/>
  <c r="D726" i="1" s="1"/>
  <c r="A728" i="1"/>
  <c r="B726" i="1" l="1"/>
  <c r="O374" i="1"/>
  <c r="M374" i="1"/>
  <c r="L375" i="1"/>
  <c r="F376" i="1" s="1"/>
  <c r="K375" i="1"/>
  <c r="C728" i="1"/>
  <c r="E727" i="1" s="1"/>
  <c r="D727" i="1" s="1"/>
  <c r="A729" i="1"/>
  <c r="B727" i="1" l="1"/>
  <c r="H376" i="1"/>
  <c r="J376" i="1" s="1"/>
  <c r="G376" i="1"/>
  <c r="I376" i="1" s="1"/>
  <c r="A730" i="1"/>
  <c r="C729" i="1"/>
  <c r="E728" i="1" s="1"/>
  <c r="D728" i="1" s="1"/>
  <c r="B728" i="1" l="1"/>
  <c r="K376" i="1"/>
  <c r="N376" i="1"/>
  <c r="P375" i="1" s="1"/>
  <c r="L376" i="1"/>
  <c r="F377" i="1" s="1"/>
  <c r="A731" i="1"/>
  <c r="C730" i="1"/>
  <c r="E729" i="1" s="1"/>
  <c r="D729" i="1" s="1"/>
  <c r="B729" i="1" l="1"/>
  <c r="O375" i="1"/>
  <c r="M375" i="1"/>
  <c r="G377" i="1"/>
  <c r="I377" i="1" s="1"/>
  <c r="H377" i="1"/>
  <c r="J377" i="1" s="1"/>
  <c r="C731" i="1"/>
  <c r="E730" i="1" s="1"/>
  <c r="D730" i="1" s="1"/>
  <c r="A732" i="1"/>
  <c r="B730" i="1" l="1"/>
  <c r="L377" i="1"/>
  <c r="F378" i="1" s="1"/>
  <c r="K377" i="1"/>
  <c r="N377" i="1"/>
  <c r="P376" i="1" s="1"/>
  <c r="A733" i="1"/>
  <c r="C732" i="1"/>
  <c r="E731" i="1" s="1"/>
  <c r="D731" i="1" s="1"/>
  <c r="B731" i="1" l="1"/>
  <c r="O376" i="1"/>
  <c r="M376" i="1"/>
  <c r="G378" i="1"/>
  <c r="I378" i="1" s="1"/>
  <c r="H378" i="1"/>
  <c r="J378" i="1" s="1"/>
  <c r="A734" i="1"/>
  <c r="C733" i="1"/>
  <c r="E732" i="1" s="1"/>
  <c r="D732" i="1" s="1"/>
  <c r="B732" i="1" l="1"/>
  <c r="N378" i="1"/>
  <c r="P377" i="1" s="1"/>
  <c r="K378" i="1"/>
  <c r="L378" i="1"/>
  <c r="F379" i="1" s="1"/>
  <c r="A735" i="1"/>
  <c r="C734" i="1"/>
  <c r="E733" i="1" s="1"/>
  <c r="D733" i="1" s="1"/>
  <c r="B733" i="1" l="1"/>
  <c r="O377" i="1"/>
  <c r="M377" i="1"/>
  <c r="G379" i="1"/>
  <c r="I379" i="1" s="1"/>
  <c r="H379" i="1"/>
  <c r="J379" i="1" s="1"/>
  <c r="C735" i="1"/>
  <c r="E734" i="1" s="1"/>
  <c r="D734" i="1" s="1"/>
  <c r="A736" i="1"/>
  <c r="B734" i="1" l="1"/>
  <c r="K379" i="1"/>
  <c r="N379" i="1"/>
  <c r="P378" i="1" s="1"/>
  <c r="L379" i="1"/>
  <c r="F380" i="1" s="1"/>
  <c r="A737" i="1"/>
  <c r="C736" i="1"/>
  <c r="E735" i="1" s="1"/>
  <c r="D735" i="1" s="1"/>
  <c r="B735" i="1" l="1"/>
  <c r="O378" i="1"/>
  <c r="M378" i="1"/>
  <c r="G380" i="1"/>
  <c r="I380" i="1" s="1"/>
  <c r="H380" i="1"/>
  <c r="J380" i="1" s="1"/>
  <c r="A738" i="1"/>
  <c r="C737" i="1"/>
  <c r="E736" i="1" s="1"/>
  <c r="D736" i="1" s="1"/>
  <c r="B736" i="1" l="1"/>
  <c r="K380" i="1"/>
  <c r="N380" i="1"/>
  <c r="P379" i="1" s="1"/>
  <c r="L380" i="1"/>
  <c r="F381" i="1" s="1"/>
  <c r="C738" i="1"/>
  <c r="E737" i="1" s="1"/>
  <c r="D737" i="1" s="1"/>
  <c r="A739" i="1"/>
  <c r="B737" i="1" l="1"/>
  <c r="O379" i="1"/>
  <c r="M379" i="1"/>
  <c r="G381" i="1"/>
  <c r="I381" i="1" s="1"/>
  <c r="H381" i="1"/>
  <c r="J381" i="1" s="1"/>
  <c r="C739" i="1"/>
  <c r="E738" i="1" s="1"/>
  <c r="D738" i="1" s="1"/>
  <c r="A740" i="1"/>
  <c r="B738" i="1" l="1"/>
  <c r="K381" i="1"/>
  <c r="N381" i="1"/>
  <c r="P380" i="1" s="1"/>
  <c r="L381" i="1"/>
  <c r="F382" i="1" s="1"/>
  <c r="C740" i="1"/>
  <c r="E739" i="1" s="1"/>
  <c r="D739" i="1" s="1"/>
  <c r="A741" i="1"/>
  <c r="B739" i="1" l="1"/>
  <c r="O380" i="1"/>
  <c r="M380" i="1"/>
  <c r="G382" i="1"/>
  <c r="I382" i="1" s="1"/>
  <c r="H382" i="1"/>
  <c r="J382" i="1" s="1"/>
  <c r="C741" i="1"/>
  <c r="E740" i="1" s="1"/>
  <c r="D740" i="1" s="1"/>
  <c r="A742" i="1"/>
  <c r="B740" i="1" l="1"/>
  <c r="K382" i="1"/>
  <c r="N382" i="1"/>
  <c r="P381" i="1" s="1"/>
  <c r="L382" i="1"/>
  <c r="F383" i="1" s="1"/>
  <c r="A743" i="1"/>
  <c r="C742" i="1"/>
  <c r="E741" i="1" s="1"/>
  <c r="D741" i="1" s="1"/>
  <c r="B741" i="1" l="1"/>
  <c r="O381" i="1"/>
  <c r="M381" i="1"/>
  <c r="H383" i="1"/>
  <c r="J383" i="1" s="1"/>
  <c r="G383" i="1"/>
  <c r="I383" i="1" s="1"/>
  <c r="C743" i="1"/>
  <c r="E742" i="1" s="1"/>
  <c r="D742" i="1" s="1"/>
  <c r="A744" i="1"/>
  <c r="B742" i="1" l="1"/>
  <c r="L383" i="1"/>
  <c r="F384" i="1" s="1"/>
  <c r="K383" i="1"/>
  <c r="N383" i="1"/>
  <c r="P382" i="1" s="1"/>
  <c r="A745" i="1"/>
  <c r="C744" i="1"/>
  <c r="E743" i="1" s="1"/>
  <c r="D743" i="1" s="1"/>
  <c r="B743" i="1" l="1"/>
  <c r="O382" i="1"/>
  <c r="M382" i="1"/>
  <c r="H384" i="1"/>
  <c r="J384" i="1" s="1"/>
  <c r="G384" i="1"/>
  <c r="I384" i="1" s="1"/>
  <c r="A746" i="1"/>
  <c r="C745" i="1"/>
  <c r="E744" i="1" s="1"/>
  <c r="D744" i="1" s="1"/>
  <c r="B744" i="1" l="1"/>
  <c r="L384" i="1"/>
  <c r="F385" i="1" s="1"/>
  <c r="K384" i="1"/>
  <c r="N384" i="1"/>
  <c r="P383" i="1" s="1"/>
  <c r="A747" i="1"/>
  <c r="C746" i="1"/>
  <c r="E745" i="1" s="1"/>
  <c r="D745" i="1" s="1"/>
  <c r="B745" i="1" l="1"/>
  <c r="O383" i="1"/>
  <c r="M383" i="1"/>
  <c r="G385" i="1"/>
  <c r="I385" i="1" s="1"/>
  <c r="H385" i="1"/>
  <c r="J385" i="1" s="1"/>
  <c r="C747" i="1"/>
  <c r="E746" i="1" s="1"/>
  <c r="D746" i="1" s="1"/>
  <c r="A748" i="1"/>
  <c r="B746" i="1" l="1"/>
  <c r="L385" i="1"/>
  <c r="F386" i="1" s="1"/>
  <c r="K385" i="1"/>
  <c r="N385" i="1"/>
  <c r="P384" i="1" s="1"/>
  <c r="A749" i="1"/>
  <c r="C748" i="1"/>
  <c r="E747" i="1" s="1"/>
  <c r="D747" i="1" s="1"/>
  <c r="B747" i="1" l="1"/>
  <c r="O384" i="1"/>
  <c r="M384" i="1"/>
  <c r="G386" i="1"/>
  <c r="I386" i="1" s="1"/>
  <c r="H386" i="1"/>
  <c r="J386" i="1" s="1"/>
  <c r="A750" i="1"/>
  <c r="C749" i="1"/>
  <c r="E748" i="1" s="1"/>
  <c r="D748" i="1" s="1"/>
  <c r="B748" i="1" l="1"/>
  <c r="K386" i="1"/>
  <c r="N386" i="1"/>
  <c r="P385" i="1" s="1"/>
  <c r="L386" i="1"/>
  <c r="F387" i="1" s="1"/>
  <c r="C750" i="1"/>
  <c r="E749" i="1" s="1"/>
  <c r="D749" i="1" s="1"/>
  <c r="A751" i="1"/>
  <c r="B749" i="1" l="1"/>
  <c r="O385" i="1"/>
  <c r="M385" i="1"/>
  <c r="H387" i="1"/>
  <c r="J387" i="1" s="1"/>
  <c r="N387" i="1" s="1"/>
  <c r="P386" i="1" s="1"/>
  <c r="G387" i="1"/>
  <c r="I387" i="1" s="1"/>
  <c r="A752" i="1"/>
  <c r="C751" i="1"/>
  <c r="E750" i="1" s="1"/>
  <c r="D750" i="1" s="1"/>
  <c r="B750" i="1" l="1"/>
  <c r="O386" i="1"/>
  <c r="M386" i="1"/>
  <c r="L387" i="1"/>
  <c r="F388" i="1" s="1"/>
  <c r="K387" i="1"/>
  <c r="A753" i="1"/>
  <c r="C752" i="1"/>
  <c r="E751" i="1" s="1"/>
  <c r="D751" i="1" s="1"/>
  <c r="B751" i="1" l="1"/>
  <c r="H388" i="1"/>
  <c r="J388" i="1" s="1"/>
  <c r="G388" i="1"/>
  <c r="I388" i="1" s="1"/>
  <c r="C753" i="1"/>
  <c r="E752" i="1" s="1"/>
  <c r="D752" i="1" s="1"/>
  <c r="A754" i="1"/>
  <c r="B752" i="1" l="1"/>
  <c r="K388" i="1"/>
  <c r="N388" i="1"/>
  <c r="P387" i="1" s="1"/>
  <c r="L388" i="1"/>
  <c r="F389" i="1" s="1"/>
  <c r="A755" i="1"/>
  <c r="C754" i="1"/>
  <c r="E753" i="1" s="1"/>
  <c r="D753" i="1" s="1"/>
  <c r="B753" i="1" l="1"/>
  <c r="O387" i="1"/>
  <c r="M387" i="1"/>
  <c r="G389" i="1"/>
  <c r="I389" i="1" s="1"/>
  <c r="H389" i="1"/>
  <c r="J389" i="1" s="1"/>
  <c r="A756" i="1"/>
  <c r="C755" i="1"/>
  <c r="E754" i="1" s="1"/>
  <c r="D754" i="1" s="1"/>
  <c r="B754" i="1" l="1"/>
  <c r="K389" i="1"/>
  <c r="N389" i="1"/>
  <c r="P388" i="1" s="1"/>
  <c r="L389" i="1"/>
  <c r="F390" i="1" s="1"/>
  <c r="C756" i="1"/>
  <c r="E755" i="1" s="1"/>
  <c r="D755" i="1" s="1"/>
  <c r="A757" i="1"/>
  <c r="B755" i="1" l="1"/>
  <c r="O388" i="1"/>
  <c r="M388" i="1"/>
  <c r="G390" i="1"/>
  <c r="I390" i="1" s="1"/>
  <c r="H390" i="1"/>
  <c r="J390" i="1" s="1"/>
  <c r="C757" i="1"/>
  <c r="E756" i="1" s="1"/>
  <c r="D756" i="1" s="1"/>
  <c r="A758" i="1"/>
  <c r="B756" i="1" l="1"/>
  <c r="K390" i="1"/>
  <c r="N390" i="1"/>
  <c r="P389" i="1" s="1"/>
  <c r="L390" i="1"/>
  <c r="F391" i="1" s="1"/>
  <c r="C758" i="1"/>
  <c r="E757" i="1" s="1"/>
  <c r="D757" i="1" s="1"/>
  <c r="A759" i="1"/>
  <c r="B757" i="1" l="1"/>
  <c r="O389" i="1"/>
  <c r="M389" i="1"/>
  <c r="H391" i="1"/>
  <c r="J391" i="1" s="1"/>
  <c r="G391" i="1"/>
  <c r="I391" i="1" s="1"/>
  <c r="A760" i="1"/>
  <c r="C759" i="1"/>
  <c r="E758" i="1" s="1"/>
  <c r="D758" i="1" s="1"/>
  <c r="B758" i="1" l="1"/>
  <c r="L391" i="1"/>
  <c r="F392" i="1" s="1"/>
  <c r="K391" i="1"/>
  <c r="N391" i="1"/>
  <c r="P390" i="1" s="1"/>
  <c r="A761" i="1"/>
  <c r="C760" i="1"/>
  <c r="E759" i="1" s="1"/>
  <c r="D759" i="1" s="1"/>
  <c r="B759" i="1" l="1"/>
  <c r="O390" i="1"/>
  <c r="M390" i="1"/>
  <c r="G392" i="1"/>
  <c r="I392" i="1" s="1"/>
  <c r="H392" i="1"/>
  <c r="J392" i="1" s="1"/>
  <c r="C761" i="1"/>
  <c r="E760" i="1" s="1"/>
  <c r="D760" i="1" s="1"/>
  <c r="A762" i="1"/>
  <c r="B760" i="1" l="1"/>
  <c r="K392" i="1"/>
  <c r="N392" i="1"/>
  <c r="P391" i="1" s="1"/>
  <c r="L392" i="1"/>
  <c r="F393" i="1" s="1"/>
  <c r="A763" i="1"/>
  <c r="C762" i="1"/>
  <c r="E761" i="1" s="1"/>
  <c r="D761" i="1" s="1"/>
  <c r="B761" i="1" l="1"/>
  <c r="O391" i="1"/>
  <c r="M391" i="1"/>
  <c r="G393" i="1"/>
  <c r="I393" i="1" s="1"/>
  <c r="H393" i="1"/>
  <c r="J393" i="1" s="1"/>
  <c r="C763" i="1"/>
  <c r="E762" i="1" s="1"/>
  <c r="D762" i="1" s="1"/>
  <c r="A764" i="1"/>
  <c r="B762" i="1" l="1"/>
  <c r="L393" i="1"/>
  <c r="F394" i="1" s="1"/>
  <c r="K393" i="1"/>
  <c r="N393" i="1"/>
  <c r="P392" i="1" s="1"/>
  <c r="C764" i="1"/>
  <c r="E763" i="1" s="1"/>
  <c r="D763" i="1" s="1"/>
  <c r="A765" i="1"/>
  <c r="B763" i="1" l="1"/>
  <c r="O392" i="1"/>
  <c r="M392" i="1"/>
  <c r="H394" i="1"/>
  <c r="J394" i="1" s="1"/>
  <c r="N394" i="1" s="1"/>
  <c r="P393" i="1" s="1"/>
  <c r="G394" i="1"/>
  <c r="I394" i="1" s="1"/>
  <c r="C765" i="1"/>
  <c r="E764" i="1" s="1"/>
  <c r="D764" i="1" s="1"/>
  <c r="A766" i="1"/>
  <c r="B764" i="1" l="1"/>
  <c r="O393" i="1"/>
  <c r="M393" i="1"/>
  <c r="L394" i="1"/>
  <c r="F395" i="1" s="1"/>
  <c r="K394" i="1"/>
  <c r="A767" i="1"/>
  <c r="C766" i="1"/>
  <c r="E765" i="1" s="1"/>
  <c r="D765" i="1" s="1"/>
  <c r="B765" i="1" l="1"/>
  <c r="H395" i="1"/>
  <c r="J395" i="1" s="1"/>
  <c r="G395" i="1"/>
  <c r="I395" i="1" s="1"/>
  <c r="C767" i="1"/>
  <c r="E766" i="1" s="1"/>
  <c r="D766" i="1" s="1"/>
  <c r="A768" i="1"/>
  <c r="B766" i="1" l="1"/>
  <c r="K395" i="1"/>
  <c r="N395" i="1"/>
  <c r="P394" i="1" s="1"/>
  <c r="L395" i="1"/>
  <c r="F396" i="1" s="1"/>
  <c r="A769" i="1"/>
  <c r="C768" i="1"/>
  <c r="E767" i="1" s="1"/>
  <c r="D767" i="1" s="1"/>
  <c r="B767" i="1" l="1"/>
  <c r="O394" i="1"/>
  <c r="M394" i="1"/>
  <c r="H396" i="1"/>
  <c r="J396" i="1" s="1"/>
  <c r="G396" i="1"/>
  <c r="I396" i="1" s="1"/>
  <c r="A770" i="1"/>
  <c r="C769" i="1"/>
  <c r="E768" i="1" s="1"/>
  <c r="D768" i="1" s="1"/>
  <c r="B768" i="1" l="1"/>
  <c r="L396" i="1"/>
  <c r="F397" i="1" s="1"/>
  <c r="K396" i="1"/>
  <c r="N396" i="1"/>
  <c r="P395" i="1" s="1"/>
  <c r="C770" i="1"/>
  <c r="E769" i="1" s="1"/>
  <c r="D769" i="1" s="1"/>
  <c r="A771" i="1"/>
  <c r="B769" i="1" l="1"/>
  <c r="O395" i="1"/>
  <c r="M395" i="1"/>
  <c r="G397" i="1"/>
  <c r="I397" i="1" s="1"/>
  <c r="H397" i="1"/>
  <c r="J397" i="1" s="1"/>
  <c r="A772" i="1"/>
  <c r="C771" i="1"/>
  <c r="E770" i="1" s="1"/>
  <c r="D770" i="1" s="1"/>
  <c r="B770" i="1" l="1"/>
  <c r="K397" i="1"/>
  <c r="N397" i="1"/>
  <c r="P396" i="1" s="1"/>
  <c r="L397" i="1"/>
  <c r="F398" i="1" s="1"/>
  <c r="A773" i="1"/>
  <c r="C772" i="1"/>
  <c r="E771" i="1" s="1"/>
  <c r="D771" i="1" s="1"/>
  <c r="B771" i="1" l="1"/>
  <c r="O396" i="1"/>
  <c r="M396" i="1"/>
  <c r="G398" i="1"/>
  <c r="I398" i="1" s="1"/>
  <c r="H398" i="1"/>
  <c r="J398" i="1" s="1"/>
  <c r="C773" i="1"/>
  <c r="E772" i="1" s="1"/>
  <c r="D772" i="1" s="1"/>
  <c r="A774" i="1"/>
  <c r="B772" i="1" l="1"/>
  <c r="K398" i="1"/>
  <c r="N398" i="1"/>
  <c r="P397" i="1" s="1"/>
  <c r="L398" i="1"/>
  <c r="F399" i="1" s="1"/>
  <c r="A775" i="1"/>
  <c r="C774" i="1"/>
  <c r="E773" i="1" s="1"/>
  <c r="D773" i="1" s="1"/>
  <c r="B773" i="1" l="1"/>
  <c r="O397" i="1"/>
  <c r="M397" i="1"/>
  <c r="G399" i="1"/>
  <c r="I399" i="1" s="1"/>
  <c r="H399" i="1"/>
  <c r="J399" i="1" s="1"/>
  <c r="C775" i="1"/>
  <c r="E774" i="1" s="1"/>
  <c r="D774" i="1" s="1"/>
  <c r="A776" i="1"/>
  <c r="B774" i="1" l="1"/>
  <c r="L399" i="1"/>
  <c r="F400" i="1" s="1"/>
  <c r="K399" i="1"/>
  <c r="N399" i="1"/>
  <c r="P398" i="1" s="1"/>
  <c r="C776" i="1"/>
  <c r="E775" i="1" s="1"/>
  <c r="D775" i="1" s="1"/>
  <c r="A777" i="1"/>
  <c r="B775" i="1" l="1"/>
  <c r="O398" i="1"/>
  <c r="M398" i="1"/>
  <c r="G400" i="1"/>
  <c r="I400" i="1" s="1"/>
  <c r="H400" i="1"/>
  <c r="J400" i="1" s="1"/>
  <c r="C777" i="1"/>
  <c r="E776" i="1" s="1"/>
  <c r="D776" i="1" s="1"/>
  <c r="A778" i="1"/>
  <c r="B776" i="1" l="1"/>
  <c r="K400" i="1"/>
  <c r="N400" i="1"/>
  <c r="P399" i="1" s="1"/>
  <c r="L400" i="1"/>
  <c r="F401" i="1" s="1"/>
  <c r="A779" i="1"/>
  <c r="C778" i="1"/>
  <c r="E777" i="1" s="1"/>
  <c r="D777" i="1" s="1"/>
  <c r="B777" i="1" l="1"/>
  <c r="O399" i="1"/>
  <c r="M399" i="1"/>
  <c r="H401" i="1"/>
  <c r="J401" i="1" s="1"/>
  <c r="N401" i="1" s="1"/>
  <c r="P400" i="1" s="1"/>
  <c r="G401" i="1"/>
  <c r="I401" i="1" s="1"/>
  <c r="A780" i="1"/>
  <c r="C779" i="1"/>
  <c r="E778" i="1" s="1"/>
  <c r="D778" i="1" s="1"/>
  <c r="B778" i="1" l="1"/>
  <c r="O400" i="1"/>
  <c r="M400" i="1"/>
  <c r="L401" i="1"/>
  <c r="F402" i="1" s="1"/>
  <c r="K401" i="1"/>
  <c r="A781" i="1"/>
  <c r="C780" i="1"/>
  <c r="E779" i="1" s="1"/>
  <c r="D779" i="1" s="1"/>
  <c r="B779" i="1" l="1"/>
  <c r="H402" i="1"/>
  <c r="J402" i="1" s="1"/>
  <c r="G402" i="1"/>
  <c r="I402" i="1" s="1"/>
  <c r="C781" i="1"/>
  <c r="E780" i="1" s="1"/>
  <c r="D780" i="1" s="1"/>
  <c r="A782" i="1"/>
  <c r="B780" i="1" l="1"/>
  <c r="N402" i="1"/>
  <c r="P401" i="1" s="1"/>
  <c r="K402" i="1"/>
  <c r="L402" i="1"/>
  <c r="F403" i="1" s="1"/>
  <c r="A783" i="1"/>
  <c r="C782" i="1"/>
  <c r="E781" i="1" s="1"/>
  <c r="D781" i="1" s="1"/>
  <c r="B781" i="1" l="1"/>
  <c r="O401" i="1"/>
  <c r="M401" i="1"/>
  <c r="H403" i="1"/>
  <c r="J403" i="1" s="1"/>
  <c r="G403" i="1"/>
  <c r="I403" i="1" s="1"/>
  <c r="A784" i="1"/>
  <c r="C783" i="1"/>
  <c r="E782" i="1" s="1"/>
  <c r="D782" i="1" s="1"/>
  <c r="B782" i="1" l="1"/>
  <c r="K403" i="1"/>
  <c r="N403" i="1"/>
  <c r="P402" i="1" s="1"/>
  <c r="L403" i="1"/>
  <c r="F404" i="1" s="1"/>
  <c r="C784" i="1"/>
  <c r="E783" i="1" s="1"/>
  <c r="D783" i="1" s="1"/>
  <c r="A785" i="1"/>
  <c r="B783" i="1" l="1"/>
  <c r="O402" i="1"/>
  <c r="M402" i="1"/>
  <c r="H404" i="1"/>
  <c r="J404" i="1" s="1"/>
  <c r="G404" i="1"/>
  <c r="I404" i="1" s="1"/>
  <c r="C785" i="1"/>
  <c r="E784" i="1" s="1"/>
  <c r="D784" i="1" s="1"/>
  <c r="A786" i="1"/>
  <c r="B784" i="1" l="1"/>
  <c r="K404" i="1"/>
  <c r="N404" i="1"/>
  <c r="P403" i="1" s="1"/>
  <c r="L404" i="1"/>
  <c r="F405" i="1" s="1"/>
  <c r="A787" i="1"/>
  <c r="C786" i="1"/>
  <c r="E785" i="1" s="1"/>
  <c r="D785" i="1" s="1"/>
  <c r="B785" i="1" l="1"/>
  <c r="O403" i="1"/>
  <c r="M403" i="1"/>
  <c r="H405" i="1"/>
  <c r="J405" i="1" s="1"/>
  <c r="G405" i="1"/>
  <c r="I405" i="1" s="1"/>
  <c r="A788" i="1"/>
  <c r="C787" i="1"/>
  <c r="E786" i="1" s="1"/>
  <c r="D786" i="1" s="1"/>
  <c r="B786" i="1" l="1"/>
  <c r="K405" i="1"/>
  <c r="N405" i="1"/>
  <c r="P404" i="1" s="1"/>
  <c r="L405" i="1"/>
  <c r="F406" i="1" s="1"/>
  <c r="A789" i="1"/>
  <c r="C788" i="1"/>
  <c r="E787" i="1" s="1"/>
  <c r="D787" i="1" s="1"/>
  <c r="B787" i="1" l="1"/>
  <c r="O404" i="1"/>
  <c r="M404" i="1"/>
  <c r="H406" i="1"/>
  <c r="J406" i="1" s="1"/>
  <c r="G406" i="1"/>
  <c r="I406" i="1" s="1"/>
  <c r="C789" i="1"/>
  <c r="E788" i="1" s="1"/>
  <c r="D788" i="1" s="1"/>
  <c r="A790" i="1"/>
  <c r="B788" i="1" l="1"/>
  <c r="L406" i="1"/>
  <c r="F407" i="1" s="1"/>
  <c r="K406" i="1"/>
  <c r="N406" i="1"/>
  <c r="P405" i="1" s="1"/>
  <c r="A791" i="1"/>
  <c r="C790" i="1"/>
  <c r="E789" i="1" s="1"/>
  <c r="D789" i="1" s="1"/>
  <c r="B789" i="1" l="1"/>
  <c r="O405" i="1"/>
  <c r="M405" i="1"/>
  <c r="H407" i="1"/>
  <c r="J407" i="1" s="1"/>
  <c r="G407" i="1"/>
  <c r="I407" i="1" s="1"/>
  <c r="C791" i="1"/>
  <c r="E790" i="1" s="1"/>
  <c r="D790" i="1" s="1"/>
  <c r="A792" i="1"/>
  <c r="B790" i="1" l="1"/>
  <c r="L407" i="1"/>
  <c r="F408" i="1" s="1"/>
  <c r="K407" i="1"/>
  <c r="N407" i="1"/>
  <c r="P406" i="1" s="1"/>
  <c r="A793" i="1"/>
  <c r="C792" i="1"/>
  <c r="E791" i="1" s="1"/>
  <c r="D791" i="1" s="1"/>
  <c r="B791" i="1" l="1"/>
  <c r="O406" i="1"/>
  <c r="M406" i="1"/>
  <c r="G408" i="1"/>
  <c r="I408" i="1" s="1"/>
  <c r="H408" i="1"/>
  <c r="J408" i="1" s="1"/>
  <c r="A794" i="1"/>
  <c r="C793" i="1"/>
  <c r="E792" i="1" s="1"/>
  <c r="D792" i="1" s="1"/>
  <c r="B792" i="1" l="1"/>
  <c r="L408" i="1"/>
  <c r="F409" i="1" s="1"/>
  <c r="K408" i="1"/>
  <c r="N408" i="1"/>
  <c r="P407" i="1" s="1"/>
  <c r="A795" i="1"/>
  <c r="C794" i="1"/>
  <c r="E793" i="1" s="1"/>
  <c r="D793" i="1" s="1"/>
  <c r="B793" i="1" l="1"/>
  <c r="O407" i="1"/>
  <c r="M407" i="1"/>
  <c r="G409" i="1"/>
  <c r="I409" i="1" s="1"/>
  <c r="H409" i="1"/>
  <c r="J409" i="1" s="1"/>
  <c r="A796" i="1"/>
  <c r="C795" i="1"/>
  <c r="E794" i="1" s="1"/>
  <c r="D794" i="1" s="1"/>
  <c r="B794" i="1" l="1"/>
  <c r="K409" i="1"/>
  <c r="N409" i="1"/>
  <c r="P408" i="1" s="1"/>
  <c r="L409" i="1"/>
  <c r="F410" i="1" s="1"/>
  <c r="A797" i="1"/>
  <c r="C796" i="1"/>
  <c r="E795" i="1" s="1"/>
  <c r="D795" i="1" s="1"/>
  <c r="B795" i="1" l="1"/>
  <c r="O408" i="1"/>
  <c r="M408" i="1"/>
  <c r="G410" i="1"/>
  <c r="I410" i="1" s="1"/>
  <c r="H410" i="1"/>
  <c r="J410" i="1" s="1"/>
  <c r="A798" i="1"/>
  <c r="C797" i="1"/>
  <c r="E796" i="1" s="1"/>
  <c r="D796" i="1" s="1"/>
  <c r="B796" i="1" l="1"/>
  <c r="K410" i="1"/>
  <c r="L410" i="1"/>
  <c r="F411" i="1" s="1"/>
  <c r="N410" i="1"/>
  <c r="P409" i="1" s="1"/>
  <c r="A799" i="1"/>
  <c r="C798" i="1"/>
  <c r="E797" i="1" s="1"/>
  <c r="D797" i="1" s="1"/>
  <c r="B797" i="1" l="1"/>
  <c r="O409" i="1"/>
  <c r="M409" i="1"/>
  <c r="G411" i="1"/>
  <c r="I411" i="1" s="1"/>
  <c r="H411" i="1"/>
  <c r="J411" i="1" s="1"/>
  <c r="A800" i="1"/>
  <c r="C799" i="1"/>
  <c r="E798" i="1" s="1"/>
  <c r="D798" i="1" s="1"/>
  <c r="B798" i="1" l="1"/>
  <c r="N411" i="1"/>
  <c r="P410" i="1" s="1"/>
  <c r="K411" i="1"/>
  <c r="L411" i="1"/>
  <c r="F412" i="1" s="1"/>
  <c r="C800" i="1"/>
  <c r="E799" i="1" s="1"/>
  <c r="D799" i="1" s="1"/>
  <c r="A801" i="1"/>
  <c r="B799" i="1" l="1"/>
  <c r="O410" i="1"/>
  <c r="M410" i="1"/>
  <c r="G412" i="1"/>
  <c r="I412" i="1" s="1"/>
  <c r="H412" i="1"/>
  <c r="J412" i="1" s="1"/>
  <c r="C801" i="1"/>
  <c r="E800" i="1" s="1"/>
  <c r="D800" i="1" s="1"/>
  <c r="A802" i="1"/>
  <c r="B800" i="1" l="1"/>
  <c r="K412" i="1"/>
  <c r="N412" i="1"/>
  <c r="P411" i="1" s="1"/>
  <c r="L412" i="1"/>
  <c r="F413" i="1" s="1"/>
  <c r="C802" i="1"/>
  <c r="E801" i="1" s="1"/>
  <c r="D801" i="1" s="1"/>
  <c r="A803" i="1"/>
  <c r="B801" i="1" l="1"/>
  <c r="O411" i="1"/>
  <c r="M411" i="1"/>
  <c r="H413" i="1"/>
  <c r="J413" i="1" s="1"/>
  <c r="G413" i="1"/>
  <c r="I413" i="1" s="1"/>
  <c r="A804" i="1"/>
  <c r="C803" i="1"/>
  <c r="E802" i="1" s="1"/>
  <c r="D802" i="1" s="1"/>
  <c r="B802" i="1" l="1"/>
  <c r="L413" i="1"/>
  <c r="F414" i="1" s="1"/>
  <c r="K413" i="1"/>
  <c r="N413" i="1"/>
  <c r="P412" i="1" s="1"/>
  <c r="A805" i="1"/>
  <c r="C804" i="1"/>
  <c r="E803" i="1" s="1"/>
  <c r="D803" i="1" s="1"/>
  <c r="B803" i="1" l="1"/>
  <c r="O412" i="1"/>
  <c r="M412" i="1"/>
  <c r="G414" i="1"/>
  <c r="I414" i="1" s="1"/>
  <c r="H414" i="1"/>
  <c r="J414" i="1" s="1"/>
  <c r="C805" i="1"/>
  <c r="E804" i="1" s="1"/>
  <c r="D804" i="1" s="1"/>
  <c r="A806" i="1"/>
  <c r="B804" i="1" l="1"/>
  <c r="K414" i="1"/>
  <c r="N414" i="1"/>
  <c r="P413" i="1" s="1"/>
  <c r="L414" i="1"/>
  <c r="F415" i="1" s="1"/>
  <c r="A807" i="1"/>
  <c r="C806" i="1"/>
  <c r="E805" i="1" s="1"/>
  <c r="D805" i="1" s="1"/>
  <c r="B805" i="1" l="1"/>
  <c r="O413" i="1"/>
  <c r="M413" i="1"/>
  <c r="G415" i="1"/>
  <c r="I415" i="1" s="1"/>
  <c r="H415" i="1"/>
  <c r="J415" i="1" s="1"/>
  <c r="A808" i="1"/>
  <c r="C807" i="1"/>
  <c r="E806" i="1" s="1"/>
  <c r="D806" i="1" s="1"/>
  <c r="B806" i="1" l="1"/>
  <c r="L415" i="1"/>
  <c r="F416" i="1" s="1"/>
  <c r="K415" i="1"/>
  <c r="N415" i="1"/>
  <c r="P414" i="1" s="1"/>
  <c r="A809" i="1"/>
  <c r="C808" i="1"/>
  <c r="E807" i="1" s="1"/>
  <c r="D807" i="1" s="1"/>
  <c r="B807" i="1" l="1"/>
  <c r="O414" i="1"/>
  <c r="M414" i="1"/>
  <c r="H416" i="1"/>
  <c r="J416" i="1" s="1"/>
  <c r="N416" i="1" s="1"/>
  <c r="P415" i="1" s="1"/>
  <c r="G416" i="1"/>
  <c r="I416" i="1" s="1"/>
  <c r="C809" i="1"/>
  <c r="E808" i="1" s="1"/>
  <c r="D808" i="1" s="1"/>
  <c r="A810" i="1"/>
  <c r="B808" i="1" l="1"/>
  <c r="O415" i="1"/>
  <c r="M415" i="1"/>
  <c r="L416" i="1"/>
  <c r="F417" i="1" s="1"/>
  <c r="K416" i="1"/>
  <c r="A811" i="1"/>
  <c r="C810" i="1"/>
  <c r="E809" i="1" s="1"/>
  <c r="D809" i="1" s="1"/>
  <c r="B809" i="1" l="1"/>
  <c r="G417" i="1"/>
  <c r="I417" i="1" s="1"/>
  <c r="H417" i="1"/>
  <c r="J417" i="1" s="1"/>
  <c r="C811" i="1"/>
  <c r="E810" i="1" s="1"/>
  <c r="D810" i="1" s="1"/>
  <c r="A812" i="1"/>
  <c r="B810" i="1" l="1"/>
  <c r="L417" i="1"/>
  <c r="F418" i="1" s="1"/>
  <c r="N417" i="1"/>
  <c r="P416" i="1" s="1"/>
  <c r="K417" i="1"/>
  <c r="C812" i="1"/>
  <c r="E811" i="1" s="1"/>
  <c r="D811" i="1" s="1"/>
  <c r="A813" i="1"/>
  <c r="B811" i="1" l="1"/>
  <c r="O416" i="1"/>
  <c r="M416" i="1"/>
  <c r="G418" i="1"/>
  <c r="I418" i="1" s="1"/>
  <c r="H418" i="1"/>
  <c r="J418" i="1" s="1"/>
  <c r="A814" i="1"/>
  <c r="C813" i="1"/>
  <c r="E812" i="1" s="1"/>
  <c r="D812" i="1" s="1"/>
  <c r="B812" i="1" l="1"/>
  <c r="L418" i="1"/>
  <c r="F419" i="1" s="1"/>
  <c r="N418" i="1"/>
  <c r="P417" i="1" s="1"/>
  <c r="K418" i="1"/>
  <c r="C814" i="1"/>
  <c r="E813" i="1" s="1"/>
  <c r="D813" i="1" s="1"/>
  <c r="A815" i="1"/>
  <c r="B813" i="1" l="1"/>
  <c r="O417" i="1"/>
  <c r="M417" i="1"/>
  <c r="G419" i="1"/>
  <c r="I419" i="1" s="1"/>
  <c r="H419" i="1"/>
  <c r="J419" i="1" s="1"/>
  <c r="N419" i="1" s="1"/>
  <c r="P418" i="1" s="1"/>
  <c r="C815" i="1"/>
  <c r="E814" i="1" s="1"/>
  <c r="D814" i="1" s="1"/>
  <c r="A816" i="1"/>
  <c r="B814" i="1" l="1"/>
  <c r="O418" i="1"/>
  <c r="M418" i="1"/>
  <c r="L419" i="1"/>
  <c r="F420" i="1" s="1"/>
  <c r="K419" i="1"/>
  <c r="A817" i="1"/>
  <c r="C816" i="1"/>
  <c r="E815" i="1" s="1"/>
  <c r="D815" i="1" s="1"/>
  <c r="B815" i="1" l="1"/>
  <c r="G420" i="1"/>
  <c r="I420" i="1" s="1"/>
  <c r="H420" i="1"/>
  <c r="J420" i="1" s="1"/>
  <c r="N420" i="1" s="1"/>
  <c r="P419" i="1" s="1"/>
  <c r="A818" i="1"/>
  <c r="C817" i="1"/>
  <c r="E816" i="1" s="1"/>
  <c r="D816" i="1" s="1"/>
  <c r="B816" i="1" l="1"/>
  <c r="O419" i="1"/>
  <c r="M419" i="1"/>
  <c r="L420" i="1"/>
  <c r="F421" i="1" s="1"/>
  <c r="K420" i="1"/>
  <c r="C818" i="1"/>
  <c r="E817" i="1" s="1"/>
  <c r="D817" i="1" s="1"/>
  <c r="A819" i="1"/>
  <c r="B817" i="1" l="1"/>
  <c r="G421" i="1"/>
  <c r="I421" i="1" s="1"/>
  <c r="H421" i="1"/>
  <c r="J421" i="1" s="1"/>
  <c r="N421" i="1" s="1"/>
  <c r="P420" i="1" s="1"/>
  <c r="C819" i="1"/>
  <c r="E818" i="1" s="1"/>
  <c r="D818" i="1" s="1"/>
  <c r="A820" i="1"/>
  <c r="B818" i="1" l="1"/>
  <c r="O420" i="1"/>
  <c r="M420" i="1"/>
  <c r="L421" i="1"/>
  <c r="F422" i="1" s="1"/>
  <c r="K421" i="1"/>
  <c r="A821" i="1"/>
  <c r="C820" i="1"/>
  <c r="E819" i="1" s="1"/>
  <c r="D819" i="1" s="1"/>
  <c r="B819" i="1" l="1"/>
  <c r="G422" i="1"/>
  <c r="I422" i="1" s="1"/>
  <c r="H422" i="1"/>
  <c r="J422" i="1" s="1"/>
  <c r="C821" i="1"/>
  <c r="E820" i="1" s="1"/>
  <c r="D820" i="1" s="1"/>
  <c r="A822" i="1"/>
  <c r="B820" i="1" l="1"/>
  <c r="K422" i="1"/>
  <c r="N422" i="1"/>
  <c r="P421" i="1" s="1"/>
  <c r="L422" i="1"/>
  <c r="F423" i="1" s="1"/>
  <c r="A823" i="1"/>
  <c r="C822" i="1"/>
  <c r="E821" i="1" s="1"/>
  <c r="D821" i="1" s="1"/>
  <c r="B821" i="1" l="1"/>
  <c r="O421" i="1"/>
  <c r="M421" i="1"/>
  <c r="G423" i="1"/>
  <c r="I423" i="1" s="1"/>
  <c r="H423" i="1"/>
  <c r="J423" i="1" s="1"/>
  <c r="A824" i="1"/>
  <c r="C823" i="1"/>
  <c r="E822" i="1" s="1"/>
  <c r="D822" i="1" s="1"/>
  <c r="B822" i="1" l="1"/>
  <c r="L423" i="1"/>
  <c r="F424" i="1" s="1"/>
  <c r="N423" i="1"/>
  <c r="P422" i="1" s="1"/>
  <c r="K423" i="1"/>
  <c r="C824" i="1"/>
  <c r="E823" i="1" s="1"/>
  <c r="D823" i="1" s="1"/>
  <c r="A825" i="1"/>
  <c r="B823" i="1" l="1"/>
  <c r="O422" i="1"/>
  <c r="M422" i="1"/>
  <c r="G424" i="1"/>
  <c r="I424" i="1" s="1"/>
  <c r="H424" i="1"/>
  <c r="J424" i="1" s="1"/>
  <c r="C825" i="1"/>
  <c r="E824" i="1" s="1"/>
  <c r="D824" i="1" s="1"/>
  <c r="A826" i="1"/>
  <c r="B824" i="1" l="1"/>
  <c r="N424" i="1"/>
  <c r="P423" i="1" s="1"/>
  <c r="K424" i="1"/>
  <c r="L424" i="1"/>
  <c r="F425" i="1" s="1"/>
  <c r="A827" i="1"/>
  <c r="C826" i="1"/>
  <c r="E825" i="1" s="1"/>
  <c r="D825" i="1" s="1"/>
  <c r="B825" i="1" l="1"/>
  <c r="O423" i="1"/>
  <c r="M423" i="1"/>
  <c r="G425" i="1"/>
  <c r="I425" i="1" s="1"/>
  <c r="H425" i="1"/>
  <c r="J425" i="1" s="1"/>
  <c r="C827" i="1"/>
  <c r="E826" i="1" s="1"/>
  <c r="D826" i="1" s="1"/>
  <c r="A828" i="1"/>
  <c r="B826" i="1" l="1"/>
  <c r="L425" i="1"/>
  <c r="F426" i="1" s="1"/>
  <c r="K425" i="1"/>
  <c r="N425" i="1"/>
  <c r="P424" i="1" s="1"/>
  <c r="A829" i="1"/>
  <c r="C828" i="1"/>
  <c r="E827" i="1" s="1"/>
  <c r="D827" i="1" s="1"/>
  <c r="B827" i="1" l="1"/>
  <c r="O424" i="1"/>
  <c r="M424" i="1"/>
  <c r="G426" i="1"/>
  <c r="I426" i="1" s="1"/>
  <c r="H426" i="1"/>
  <c r="J426" i="1" s="1"/>
  <c r="A830" i="1"/>
  <c r="C829" i="1"/>
  <c r="E828" i="1" s="1"/>
  <c r="D828" i="1" s="1"/>
  <c r="B828" i="1" l="1"/>
  <c r="K426" i="1"/>
  <c r="N426" i="1"/>
  <c r="P425" i="1" s="1"/>
  <c r="L426" i="1"/>
  <c r="F427" i="1" s="1"/>
  <c r="A831" i="1"/>
  <c r="C830" i="1"/>
  <c r="E829" i="1" s="1"/>
  <c r="D829" i="1" s="1"/>
  <c r="B829" i="1" l="1"/>
  <c r="O425" i="1"/>
  <c r="M425" i="1"/>
  <c r="G427" i="1"/>
  <c r="I427" i="1" s="1"/>
  <c r="H427" i="1"/>
  <c r="J427" i="1" s="1"/>
  <c r="A832" i="1"/>
  <c r="C831" i="1"/>
  <c r="E830" i="1" s="1"/>
  <c r="D830" i="1" s="1"/>
  <c r="B830" i="1" l="1"/>
  <c r="K427" i="1"/>
  <c r="N427" i="1"/>
  <c r="P426" i="1" s="1"/>
  <c r="L427" i="1"/>
  <c r="F428" i="1" s="1"/>
  <c r="C832" i="1"/>
  <c r="E831" i="1" s="1"/>
  <c r="D831" i="1" s="1"/>
  <c r="A833" i="1"/>
  <c r="B831" i="1" l="1"/>
  <c r="O426" i="1"/>
  <c r="M426" i="1"/>
  <c r="G428" i="1"/>
  <c r="I428" i="1" s="1"/>
  <c r="H428" i="1"/>
  <c r="J428" i="1" s="1"/>
  <c r="A834" i="1"/>
  <c r="C833" i="1"/>
  <c r="E832" i="1" s="1"/>
  <c r="D832" i="1" s="1"/>
  <c r="B832" i="1" l="1"/>
  <c r="K428" i="1"/>
  <c r="N428" i="1"/>
  <c r="P427" i="1" s="1"/>
  <c r="L428" i="1"/>
  <c r="F429" i="1" s="1"/>
  <c r="A835" i="1"/>
  <c r="C834" i="1"/>
  <c r="E833" i="1" s="1"/>
  <c r="D833" i="1" s="1"/>
  <c r="B833" i="1" l="1"/>
  <c r="O427" i="1"/>
  <c r="M427" i="1"/>
  <c r="H429" i="1"/>
  <c r="J429" i="1" s="1"/>
  <c r="G429" i="1"/>
  <c r="I429" i="1" s="1"/>
  <c r="A836" i="1"/>
  <c r="C835" i="1"/>
  <c r="E834" i="1" s="1"/>
  <c r="D834" i="1" s="1"/>
  <c r="B834" i="1" l="1"/>
  <c r="L429" i="1"/>
  <c r="F430" i="1" s="1"/>
  <c r="K429" i="1"/>
  <c r="N429" i="1"/>
  <c r="P428" i="1" s="1"/>
  <c r="A837" i="1"/>
  <c r="C836" i="1"/>
  <c r="E835" i="1" s="1"/>
  <c r="D835" i="1" s="1"/>
  <c r="B835" i="1" l="1"/>
  <c r="O428" i="1"/>
  <c r="M428" i="1"/>
  <c r="H430" i="1"/>
  <c r="J430" i="1" s="1"/>
  <c r="G430" i="1"/>
  <c r="I430" i="1" s="1"/>
  <c r="A838" i="1"/>
  <c r="C837" i="1"/>
  <c r="E836" i="1" s="1"/>
  <c r="D836" i="1" s="1"/>
  <c r="B836" i="1" l="1"/>
  <c r="L430" i="1"/>
  <c r="F431" i="1" s="1"/>
  <c r="K430" i="1"/>
  <c r="N430" i="1"/>
  <c r="P429" i="1" s="1"/>
  <c r="A839" i="1"/>
  <c r="C838" i="1"/>
  <c r="E837" i="1" s="1"/>
  <c r="D837" i="1" s="1"/>
  <c r="B837" i="1" l="1"/>
  <c r="O429" i="1"/>
  <c r="M429" i="1"/>
  <c r="H431" i="1"/>
  <c r="J431" i="1" s="1"/>
  <c r="G431" i="1"/>
  <c r="I431" i="1" s="1"/>
  <c r="C839" i="1"/>
  <c r="E838" i="1" s="1"/>
  <c r="D838" i="1" s="1"/>
  <c r="A840" i="1"/>
  <c r="B838" i="1" l="1"/>
  <c r="L431" i="1"/>
  <c r="F432" i="1" s="1"/>
  <c r="K431" i="1"/>
  <c r="N431" i="1"/>
  <c r="P430" i="1" s="1"/>
  <c r="C840" i="1"/>
  <c r="E839" i="1" s="1"/>
  <c r="D839" i="1" s="1"/>
  <c r="A841" i="1"/>
  <c r="B839" i="1" l="1"/>
  <c r="O430" i="1"/>
  <c r="M430" i="1"/>
  <c r="G432" i="1"/>
  <c r="I432" i="1" s="1"/>
  <c r="H432" i="1"/>
  <c r="J432" i="1" s="1"/>
  <c r="A842" i="1"/>
  <c r="C841" i="1"/>
  <c r="E840" i="1" s="1"/>
  <c r="D840" i="1" s="1"/>
  <c r="B840" i="1" l="1"/>
  <c r="K432" i="1"/>
  <c r="N432" i="1"/>
  <c r="P431" i="1" s="1"/>
  <c r="L432" i="1"/>
  <c r="F433" i="1" s="1"/>
  <c r="C842" i="1"/>
  <c r="E841" i="1" s="1"/>
  <c r="D841" i="1" s="1"/>
  <c r="A843" i="1"/>
  <c r="B841" i="1" l="1"/>
  <c r="O431" i="1"/>
  <c r="M431" i="1"/>
  <c r="G433" i="1"/>
  <c r="I433" i="1" s="1"/>
  <c r="H433" i="1"/>
  <c r="J433" i="1" s="1"/>
  <c r="C843" i="1"/>
  <c r="E842" i="1" s="1"/>
  <c r="D842" i="1" s="1"/>
  <c r="A844" i="1"/>
  <c r="B842" i="1" l="1"/>
  <c r="K433" i="1"/>
  <c r="L433" i="1"/>
  <c r="F434" i="1" s="1"/>
  <c r="N433" i="1"/>
  <c r="P432" i="1" s="1"/>
  <c r="C844" i="1"/>
  <c r="E843" i="1" s="1"/>
  <c r="D843" i="1" s="1"/>
  <c r="A845" i="1"/>
  <c r="B843" i="1" l="1"/>
  <c r="O432" i="1"/>
  <c r="M432" i="1"/>
  <c r="H434" i="1"/>
  <c r="J434" i="1" s="1"/>
  <c r="G434" i="1"/>
  <c r="I434" i="1" s="1"/>
  <c r="C845" i="1"/>
  <c r="E844" i="1" s="1"/>
  <c r="D844" i="1" s="1"/>
  <c r="A846" i="1"/>
  <c r="B844" i="1" l="1"/>
  <c r="L434" i="1"/>
  <c r="F435" i="1" s="1"/>
  <c r="K434" i="1"/>
  <c r="N434" i="1"/>
  <c r="P433" i="1" s="1"/>
  <c r="A847" i="1"/>
  <c r="C846" i="1"/>
  <c r="E845" i="1" s="1"/>
  <c r="D845" i="1" s="1"/>
  <c r="B845" i="1" l="1"/>
  <c r="O433" i="1"/>
  <c r="M433" i="1"/>
  <c r="G435" i="1"/>
  <c r="I435" i="1" s="1"/>
  <c r="H435" i="1"/>
  <c r="J435" i="1" s="1"/>
  <c r="A848" i="1"/>
  <c r="C847" i="1"/>
  <c r="E846" i="1" s="1"/>
  <c r="D846" i="1" s="1"/>
  <c r="B846" i="1" l="1"/>
  <c r="K435" i="1"/>
  <c r="N435" i="1"/>
  <c r="P434" i="1" s="1"/>
  <c r="L435" i="1"/>
  <c r="F436" i="1" s="1"/>
  <c r="C848" i="1"/>
  <c r="E847" i="1" s="1"/>
  <c r="D847" i="1" s="1"/>
  <c r="A849" i="1"/>
  <c r="B847" i="1" l="1"/>
  <c r="O434" i="1"/>
  <c r="M434" i="1"/>
  <c r="G436" i="1"/>
  <c r="I436" i="1" s="1"/>
  <c r="H436" i="1"/>
  <c r="J436" i="1" s="1"/>
  <c r="A850" i="1"/>
  <c r="C849" i="1"/>
  <c r="E848" i="1" s="1"/>
  <c r="D848" i="1" s="1"/>
  <c r="B848" i="1" l="1"/>
  <c r="K436" i="1"/>
  <c r="N436" i="1"/>
  <c r="P435" i="1" s="1"/>
  <c r="L436" i="1"/>
  <c r="F437" i="1" s="1"/>
  <c r="C850" i="1"/>
  <c r="E849" i="1" s="1"/>
  <c r="D849" i="1" s="1"/>
  <c r="A851" i="1"/>
  <c r="B849" i="1" l="1"/>
  <c r="O435" i="1"/>
  <c r="M435" i="1"/>
  <c r="G437" i="1"/>
  <c r="I437" i="1" s="1"/>
  <c r="H437" i="1"/>
  <c r="J437" i="1" s="1"/>
  <c r="C851" i="1"/>
  <c r="E850" i="1" s="1"/>
  <c r="D850" i="1" s="1"/>
  <c r="A852" i="1"/>
  <c r="B850" i="1" l="1"/>
  <c r="K437" i="1"/>
  <c r="N437" i="1"/>
  <c r="P436" i="1" s="1"/>
  <c r="L437" i="1"/>
  <c r="F438" i="1" s="1"/>
  <c r="A853" i="1"/>
  <c r="C852" i="1"/>
  <c r="E851" i="1" s="1"/>
  <c r="D851" i="1" s="1"/>
  <c r="B851" i="1" l="1"/>
  <c r="O436" i="1"/>
  <c r="M436" i="1"/>
  <c r="G438" i="1"/>
  <c r="I438" i="1" s="1"/>
  <c r="H438" i="1"/>
  <c r="J438" i="1" s="1"/>
  <c r="C853" i="1"/>
  <c r="E852" i="1" s="1"/>
  <c r="D852" i="1" s="1"/>
  <c r="A854" i="1"/>
  <c r="B852" i="1" l="1"/>
  <c r="K438" i="1"/>
  <c r="N438" i="1"/>
  <c r="P437" i="1" s="1"/>
  <c r="L438" i="1"/>
  <c r="F439" i="1" s="1"/>
  <c r="C854" i="1"/>
  <c r="E853" i="1" s="1"/>
  <c r="D853" i="1" s="1"/>
  <c r="A855" i="1"/>
  <c r="B853" i="1" l="1"/>
  <c r="O437" i="1"/>
  <c r="M437" i="1"/>
  <c r="G439" i="1"/>
  <c r="I439" i="1" s="1"/>
  <c r="H439" i="1"/>
  <c r="J439" i="1" s="1"/>
  <c r="A856" i="1"/>
  <c r="C855" i="1"/>
  <c r="E854" i="1" s="1"/>
  <c r="D854" i="1" s="1"/>
  <c r="B854" i="1" l="1"/>
  <c r="K439" i="1"/>
  <c r="N439" i="1"/>
  <c r="P438" i="1" s="1"/>
  <c r="L439" i="1"/>
  <c r="F440" i="1" s="1"/>
  <c r="C856" i="1"/>
  <c r="E855" i="1" s="1"/>
  <c r="D855" i="1" s="1"/>
  <c r="A857" i="1"/>
  <c r="B855" i="1" l="1"/>
  <c r="O438" i="1"/>
  <c r="M438" i="1"/>
  <c r="G440" i="1"/>
  <c r="I440" i="1" s="1"/>
  <c r="H440" i="1"/>
  <c r="J440" i="1" s="1"/>
  <c r="A858" i="1"/>
  <c r="C857" i="1"/>
  <c r="E856" i="1" s="1"/>
  <c r="D856" i="1" s="1"/>
  <c r="B856" i="1" l="1"/>
  <c r="L440" i="1"/>
  <c r="F441" i="1" s="1"/>
  <c r="K440" i="1"/>
  <c r="N440" i="1"/>
  <c r="P439" i="1" s="1"/>
  <c r="A859" i="1"/>
  <c r="C858" i="1"/>
  <c r="E857" i="1" s="1"/>
  <c r="D857" i="1" s="1"/>
  <c r="B857" i="1" l="1"/>
  <c r="O439" i="1"/>
  <c r="M439" i="1"/>
  <c r="H441" i="1"/>
  <c r="J441" i="1" s="1"/>
  <c r="G441" i="1"/>
  <c r="I441" i="1" s="1"/>
  <c r="C859" i="1"/>
  <c r="E858" i="1" s="1"/>
  <c r="D858" i="1" s="1"/>
  <c r="A860" i="1"/>
  <c r="B858" i="1" l="1"/>
  <c r="N441" i="1"/>
  <c r="P440" i="1" s="1"/>
  <c r="K441" i="1"/>
  <c r="L441" i="1"/>
  <c r="F442" i="1" s="1"/>
  <c r="C860" i="1"/>
  <c r="E859" i="1" s="1"/>
  <c r="D859" i="1" s="1"/>
  <c r="A861" i="1"/>
  <c r="B859" i="1" l="1"/>
  <c r="O440" i="1"/>
  <c r="M440" i="1"/>
  <c r="H442" i="1"/>
  <c r="J442" i="1" s="1"/>
  <c r="G442" i="1"/>
  <c r="I442" i="1" s="1"/>
  <c r="C861" i="1"/>
  <c r="E860" i="1" s="1"/>
  <c r="D860" i="1" s="1"/>
  <c r="A862" i="1"/>
  <c r="B860" i="1" l="1"/>
  <c r="K442" i="1"/>
  <c r="L442" i="1"/>
  <c r="F443" i="1" s="1"/>
  <c r="N442" i="1"/>
  <c r="P441" i="1" s="1"/>
  <c r="A863" i="1"/>
  <c r="C862" i="1"/>
  <c r="E861" i="1" s="1"/>
  <c r="D861" i="1" s="1"/>
  <c r="B861" i="1" l="1"/>
  <c r="O441" i="1"/>
  <c r="M441" i="1"/>
  <c r="G443" i="1"/>
  <c r="I443" i="1" s="1"/>
  <c r="H443" i="1"/>
  <c r="J443" i="1" s="1"/>
  <c r="C863" i="1"/>
  <c r="E862" i="1" s="1"/>
  <c r="D862" i="1" s="1"/>
  <c r="A864" i="1"/>
  <c r="B862" i="1" l="1"/>
  <c r="L443" i="1"/>
  <c r="F444" i="1" s="1"/>
  <c r="K443" i="1"/>
  <c r="N443" i="1"/>
  <c r="P442" i="1" s="1"/>
  <c r="A865" i="1"/>
  <c r="C864" i="1"/>
  <c r="E863" i="1" s="1"/>
  <c r="D863" i="1" s="1"/>
  <c r="B863" i="1" l="1"/>
  <c r="O442" i="1"/>
  <c r="M442" i="1"/>
  <c r="H444" i="1"/>
  <c r="J444" i="1" s="1"/>
  <c r="G444" i="1"/>
  <c r="I444" i="1" s="1"/>
  <c r="A866" i="1"/>
  <c r="C865" i="1"/>
  <c r="E864" i="1" s="1"/>
  <c r="D864" i="1" s="1"/>
  <c r="B864" i="1" l="1"/>
  <c r="N444" i="1"/>
  <c r="P443" i="1" s="1"/>
  <c r="K444" i="1"/>
  <c r="L444" i="1"/>
  <c r="F445" i="1" s="1"/>
  <c r="C866" i="1"/>
  <c r="E865" i="1" s="1"/>
  <c r="D865" i="1" s="1"/>
  <c r="A867" i="1"/>
  <c r="B865" i="1" l="1"/>
  <c r="O443" i="1"/>
  <c r="M443" i="1"/>
  <c r="G445" i="1"/>
  <c r="I445" i="1" s="1"/>
  <c r="H445" i="1"/>
  <c r="J445" i="1" s="1"/>
  <c r="A868" i="1"/>
  <c r="C867" i="1"/>
  <c r="E866" i="1" s="1"/>
  <c r="D866" i="1" s="1"/>
  <c r="B866" i="1" l="1"/>
  <c r="L445" i="1"/>
  <c r="F446" i="1" s="1"/>
  <c r="K445" i="1"/>
  <c r="N445" i="1"/>
  <c r="P444" i="1" s="1"/>
  <c r="C868" i="1"/>
  <c r="E867" i="1" s="1"/>
  <c r="D867" i="1" s="1"/>
  <c r="A869" i="1"/>
  <c r="B867" i="1" l="1"/>
  <c r="O444" i="1"/>
  <c r="M444" i="1"/>
  <c r="G446" i="1"/>
  <c r="I446" i="1" s="1"/>
  <c r="H446" i="1"/>
  <c r="J446" i="1" s="1"/>
  <c r="C869" i="1"/>
  <c r="E868" i="1" s="1"/>
  <c r="D868" i="1" s="1"/>
  <c r="A870" i="1"/>
  <c r="B868" i="1" l="1"/>
  <c r="N446" i="1"/>
  <c r="P445" i="1" s="1"/>
  <c r="K446" i="1"/>
  <c r="L446" i="1"/>
  <c r="F447" i="1" s="1"/>
  <c r="C870" i="1"/>
  <c r="E869" i="1" s="1"/>
  <c r="D869" i="1" s="1"/>
  <c r="A871" i="1"/>
  <c r="B869" i="1" l="1"/>
  <c r="O445" i="1"/>
  <c r="M445" i="1"/>
  <c r="H447" i="1"/>
  <c r="J447" i="1" s="1"/>
  <c r="G447" i="1"/>
  <c r="I447" i="1" s="1"/>
  <c r="A872" i="1"/>
  <c r="C871" i="1"/>
  <c r="E870" i="1" s="1"/>
  <c r="D870" i="1" s="1"/>
  <c r="B870" i="1" l="1"/>
  <c r="L447" i="1"/>
  <c r="F448" i="1" s="1"/>
  <c r="K447" i="1"/>
  <c r="N447" i="1"/>
  <c r="P446" i="1" s="1"/>
  <c r="C872" i="1"/>
  <c r="E871" i="1" s="1"/>
  <c r="D871" i="1" s="1"/>
  <c r="A873" i="1"/>
  <c r="B871" i="1" l="1"/>
  <c r="O446" i="1"/>
  <c r="M446" i="1"/>
  <c r="G448" i="1"/>
  <c r="I448" i="1" s="1"/>
  <c r="H448" i="1"/>
  <c r="J448" i="1" s="1"/>
  <c r="C873" i="1"/>
  <c r="E872" i="1" s="1"/>
  <c r="D872" i="1" s="1"/>
  <c r="A874" i="1"/>
  <c r="B872" i="1" l="1"/>
  <c r="L448" i="1"/>
  <c r="F449" i="1" s="1"/>
  <c r="K448" i="1"/>
  <c r="N448" i="1"/>
  <c r="P447" i="1" s="1"/>
  <c r="A875" i="1"/>
  <c r="C874" i="1"/>
  <c r="E873" i="1" s="1"/>
  <c r="D873" i="1" s="1"/>
  <c r="B873" i="1" l="1"/>
  <c r="O447" i="1"/>
  <c r="M447" i="1"/>
  <c r="G449" i="1"/>
  <c r="I449" i="1" s="1"/>
  <c r="H449" i="1"/>
  <c r="J449" i="1" s="1"/>
  <c r="A876" i="1"/>
  <c r="C875" i="1"/>
  <c r="E874" i="1" s="1"/>
  <c r="D874" i="1" s="1"/>
  <c r="B874" i="1" l="1"/>
  <c r="K449" i="1"/>
  <c r="N449" i="1"/>
  <c r="P448" i="1" s="1"/>
  <c r="L449" i="1"/>
  <c r="F450" i="1" s="1"/>
  <c r="A877" i="1"/>
  <c r="C876" i="1"/>
  <c r="E875" i="1" s="1"/>
  <c r="D875" i="1" s="1"/>
  <c r="B875" i="1" l="1"/>
  <c r="O448" i="1"/>
  <c r="M448" i="1"/>
  <c r="H450" i="1"/>
  <c r="J450" i="1" s="1"/>
  <c r="N450" i="1" s="1"/>
  <c r="P449" i="1" s="1"/>
  <c r="G450" i="1"/>
  <c r="I450" i="1" s="1"/>
  <c r="C877" i="1"/>
  <c r="E876" i="1" s="1"/>
  <c r="D876" i="1" s="1"/>
  <c r="A878" i="1"/>
  <c r="B876" i="1" l="1"/>
  <c r="O449" i="1"/>
  <c r="M449" i="1"/>
  <c r="L450" i="1"/>
  <c r="F451" i="1" s="1"/>
  <c r="K450" i="1"/>
  <c r="A879" i="1"/>
  <c r="C878" i="1"/>
  <c r="E877" i="1" s="1"/>
  <c r="D877" i="1" s="1"/>
  <c r="B877" i="1" l="1"/>
  <c r="H451" i="1"/>
  <c r="J451" i="1" s="1"/>
  <c r="G451" i="1"/>
  <c r="I451" i="1" s="1"/>
  <c r="A880" i="1"/>
  <c r="C879" i="1"/>
  <c r="E878" i="1" s="1"/>
  <c r="D878" i="1" s="1"/>
  <c r="B878" i="1" l="1"/>
  <c r="L451" i="1"/>
  <c r="F452" i="1" s="1"/>
  <c r="N451" i="1"/>
  <c r="P450" i="1" s="1"/>
  <c r="K451" i="1"/>
  <c r="A881" i="1"/>
  <c r="C880" i="1"/>
  <c r="E879" i="1" s="1"/>
  <c r="D879" i="1" s="1"/>
  <c r="B879" i="1" l="1"/>
  <c r="O450" i="1"/>
  <c r="M450" i="1"/>
  <c r="H452" i="1"/>
  <c r="J452" i="1" s="1"/>
  <c r="G452" i="1"/>
  <c r="I452" i="1" s="1"/>
  <c r="C881" i="1"/>
  <c r="E880" i="1" s="1"/>
  <c r="D880" i="1" s="1"/>
  <c r="A882" i="1"/>
  <c r="B880" i="1" l="1"/>
  <c r="L452" i="1"/>
  <c r="F453" i="1" s="1"/>
  <c r="K452" i="1"/>
  <c r="N452" i="1"/>
  <c r="P451" i="1" s="1"/>
  <c r="C882" i="1"/>
  <c r="E881" i="1" s="1"/>
  <c r="D881" i="1" s="1"/>
  <c r="A883" i="1"/>
  <c r="B881" i="1" l="1"/>
  <c r="O451" i="1"/>
  <c r="M451" i="1"/>
  <c r="H453" i="1"/>
  <c r="J453" i="1" s="1"/>
  <c r="G453" i="1"/>
  <c r="I453" i="1" s="1"/>
  <c r="A884" i="1"/>
  <c r="C883" i="1"/>
  <c r="E882" i="1" s="1"/>
  <c r="D882" i="1" s="1"/>
  <c r="B882" i="1" l="1"/>
  <c r="L453" i="1"/>
  <c r="F454" i="1" s="1"/>
  <c r="K453" i="1"/>
  <c r="N453" i="1"/>
  <c r="P452" i="1" s="1"/>
  <c r="A885" i="1"/>
  <c r="C884" i="1"/>
  <c r="E883" i="1" s="1"/>
  <c r="D883" i="1" s="1"/>
  <c r="B883" i="1" l="1"/>
  <c r="O452" i="1"/>
  <c r="M452" i="1"/>
  <c r="G454" i="1"/>
  <c r="I454" i="1" s="1"/>
  <c r="H454" i="1"/>
  <c r="J454" i="1" s="1"/>
  <c r="A886" i="1"/>
  <c r="C885" i="1"/>
  <c r="E884" i="1" s="1"/>
  <c r="D884" i="1" s="1"/>
  <c r="B884" i="1" l="1"/>
  <c r="K454" i="1"/>
  <c r="N454" i="1"/>
  <c r="P453" i="1" s="1"/>
  <c r="L454" i="1"/>
  <c r="F455" i="1" s="1"/>
  <c r="C886" i="1"/>
  <c r="E885" i="1" s="1"/>
  <c r="D885" i="1" s="1"/>
  <c r="A887" i="1"/>
  <c r="B885" i="1" l="1"/>
  <c r="O453" i="1"/>
  <c r="M453" i="1"/>
  <c r="H455" i="1"/>
  <c r="J455" i="1" s="1"/>
  <c r="G455" i="1"/>
  <c r="I455" i="1" s="1"/>
  <c r="A888" i="1"/>
  <c r="C887" i="1"/>
  <c r="E886" i="1" s="1"/>
  <c r="D886" i="1" s="1"/>
  <c r="B886" i="1" l="1"/>
  <c r="L455" i="1"/>
  <c r="F456" i="1" s="1"/>
  <c r="K455" i="1"/>
  <c r="N455" i="1"/>
  <c r="P454" i="1" s="1"/>
  <c r="C888" i="1"/>
  <c r="E887" i="1" s="1"/>
  <c r="D887" i="1" s="1"/>
  <c r="A889" i="1"/>
  <c r="B887" i="1" l="1"/>
  <c r="O454" i="1"/>
  <c r="M454" i="1"/>
  <c r="H456" i="1"/>
  <c r="J456" i="1" s="1"/>
  <c r="G456" i="1"/>
  <c r="I456" i="1" s="1"/>
  <c r="A890" i="1"/>
  <c r="C889" i="1"/>
  <c r="E888" i="1" s="1"/>
  <c r="D888" i="1" s="1"/>
  <c r="B888" i="1" l="1"/>
  <c r="L456" i="1"/>
  <c r="F457" i="1" s="1"/>
  <c r="K456" i="1"/>
  <c r="N456" i="1"/>
  <c r="P455" i="1" s="1"/>
  <c r="C890" i="1"/>
  <c r="E889" i="1" s="1"/>
  <c r="D889" i="1" s="1"/>
  <c r="A891" i="1"/>
  <c r="B889" i="1" l="1"/>
  <c r="O455" i="1"/>
  <c r="M455" i="1"/>
  <c r="G457" i="1"/>
  <c r="I457" i="1" s="1"/>
  <c r="H457" i="1"/>
  <c r="J457" i="1" s="1"/>
  <c r="A892" i="1"/>
  <c r="C891" i="1"/>
  <c r="E890" i="1" s="1"/>
  <c r="D890" i="1" s="1"/>
  <c r="B890" i="1" l="1"/>
  <c r="L457" i="1"/>
  <c r="F458" i="1" s="1"/>
  <c r="K457" i="1"/>
  <c r="N457" i="1"/>
  <c r="P456" i="1" s="1"/>
  <c r="C892" i="1"/>
  <c r="E891" i="1" s="1"/>
  <c r="D891" i="1" s="1"/>
  <c r="A893" i="1"/>
  <c r="B891" i="1" l="1"/>
  <c r="O456" i="1"/>
  <c r="M456" i="1"/>
  <c r="H458" i="1"/>
  <c r="J458" i="1" s="1"/>
  <c r="N458" i="1" s="1"/>
  <c r="P457" i="1" s="1"/>
  <c r="G458" i="1"/>
  <c r="I458" i="1" s="1"/>
  <c r="A894" i="1"/>
  <c r="C893" i="1"/>
  <c r="E892" i="1" s="1"/>
  <c r="D892" i="1" s="1"/>
  <c r="B892" i="1" l="1"/>
  <c r="O457" i="1"/>
  <c r="M457" i="1"/>
  <c r="L458" i="1"/>
  <c r="F459" i="1" s="1"/>
  <c r="K458" i="1"/>
  <c r="C894" i="1"/>
  <c r="E893" i="1" s="1"/>
  <c r="D893" i="1" s="1"/>
  <c r="A895" i="1"/>
  <c r="B893" i="1" l="1"/>
  <c r="H459" i="1"/>
  <c r="J459" i="1" s="1"/>
  <c r="G459" i="1"/>
  <c r="I459" i="1" s="1"/>
  <c r="A896" i="1"/>
  <c r="C895" i="1"/>
  <c r="E894" i="1" s="1"/>
  <c r="D894" i="1" s="1"/>
  <c r="B894" i="1" l="1"/>
  <c r="L459" i="1"/>
  <c r="F460" i="1" s="1"/>
  <c r="K459" i="1"/>
  <c r="N459" i="1"/>
  <c r="P458" i="1" s="1"/>
  <c r="A897" i="1"/>
  <c r="C896" i="1"/>
  <c r="E895" i="1" s="1"/>
  <c r="D895" i="1" s="1"/>
  <c r="B895" i="1" l="1"/>
  <c r="O458" i="1"/>
  <c r="M458" i="1"/>
  <c r="H460" i="1"/>
  <c r="J460" i="1" s="1"/>
  <c r="G460" i="1"/>
  <c r="I460" i="1" s="1"/>
  <c r="C897" i="1"/>
  <c r="E896" i="1" s="1"/>
  <c r="D896" i="1" s="1"/>
  <c r="A898" i="1"/>
  <c r="B896" i="1" l="1"/>
  <c r="L460" i="1"/>
  <c r="F461" i="1" s="1"/>
  <c r="K460" i="1"/>
  <c r="N460" i="1"/>
  <c r="P459" i="1" s="1"/>
  <c r="C898" i="1"/>
  <c r="E897" i="1" s="1"/>
  <c r="D897" i="1" s="1"/>
  <c r="A899" i="1"/>
  <c r="B897" i="1" l="1"/>
  <c r="O459" i="1"/>
  <c r="M459" i="1"/>
  <c r="H461" i="1"/>
  <c r="J461" i="1" s="1"/>
  <c r="G461" i="1"/>
  <c r="I461" i="1" s="1"/>
  <c r="A900" i="1"/>
  <c r="C899" i="1"/>
  <c r="E898" i="1" s="1"/>
  <c r="D898" i="1" s="1"/>
  <c r="B898" i="1" l="1"/>
  <c r="L461" i="1"/>
  <c r="F462" i="1" s="1"/>
  <c r="K461" i="1"/>
  <c r="N461" i="1"/>
  <c r="P460" i="1" s="1"/>
  <c r="C900" i="1"/>
  <c r="E899" i="1" s="1"/>
  <c r="D899" i="1" s="1"/>
  <c r="A901" i="1"/>
  <c r="B899" i="1" l="1"/>
  <c r="O460" i="1"/>
  <c r="M460" i="1"/>
  <c r="H462" i="1"/>
  <c r="J462" i="1" s="1"/>
  <c r="G462" i="1"/>
  <c r="I462" i="1" s="1"/>
  <c r="A902" i="1"/>
  <c r="C901" i="1"/>
  <c r="E900" i="1" s="1"/>
  <c r="D900" i="1" s="1"/>
  <c r="B900" i="1" l="1"/>
  <c r="L462" i="1"/>
  <c r="F463" i="1" s="1"/>
  <c r="K462" i="1"/>
  <c r="N462" i="1"/>
  <c r="P461" i="1" s="1"/>
  <c r="A903" i="1"/>
  <c r="C902" i="1"/>
  <c r="E901" i="1" s="1"/>
  <c r="D901" i="1" s="1"/>
  <c r="B901" i="1" l="1"/>
  <c r="O461" i="1"/>
  <c r="M461" i="1"/>
  <c r="G463" i="1"/>
  <c r="I463" i="1" s="1"/>
  <c r="H463" i="1"/>
  <c r="J463" i="1" s="1"/>
  <c r="C903" i="1"/>
  <c r="E902" i="1" s="1"/>
  <c r="D902" i="1" s="1"/>
  <c r="A904" i="1"/>
  <c r="B902" i="1" l="1"/>
  <c r="L463" i="1"/>
  <c r="F464" i="1" s="1"/>
  <c r="K463" i="1"/>
  <c r="N463" i="1"/>
  <c r="P462" i="1" s="1"/>
  <c r="C904" i="1"/>
  <c r="E903" i="1" s="1"/>
  <c r="D903" i="1" s="1"/>
  <c r="A905" i="1"/>
  <c r="B903" i="1" l="1"/>
  <c r="O462" i="1"/>
  <c r="M462" i="1"/>
  <c r="H464" i="1"/>
  <c r="J464" i="1" s="1"/>
  <c r="N464" i="1" s="1"/>
  <c r="P463" i="1" s="1"/>
  <c r="G464" i="1"/>
  <c r="I464" i="1" s="1"/>
  <c r="A906" i="1"/>
  <c r="C905" i="1"/>
  <c r="E904" i="1" s="1"/>
  <c r="D904" i="1" s="1"/>
  <c r="B904" i="1" l="1"/>
  <c r="O463" i="1"/>
  <c r="M463" i="1"/>
  <c r="L464" i="1"/>
  <c r="F465" i="1" s="1"/>
  <c r="K464" i="1"/>
  <c r="C906" i="1"/>
  <c r="E905" i="1" s="1"/>
  <c r="D905" i="1" s="1"/>
  <c r="A907" i="1"/>
  <c r="B905" i="1" l="1"/>
  <c r="H465" i="1"/>
  <c r="J465" i="1" s="1"/>
  <c r="N465" i="1" s="1"/>
  <c r="P464" i="1" s="1"/>
  <c r="G465" i="1"/>
  <c r="I465" i="1" s="1"/>
  <c r="A908" i="1"/>
  <c r="C907" i="1"/>
  <c r="E906" i="1" s="1"/>
  <c r="D906" i="1" s="1"/>
  <c r="B906" i="1" l="1"/>
  <c r="O464" i="1"/>
  <c r="M464" i="1"/>
  <c r="K465" i="1"/>
  <c r="L465" i="1"/>
  <c r="F466" i="1" s="1"/>
  <c r="C908" i="1"/>
  <c r="E907" i="1" s="1"/>
  <c r="D907" i="1" s="1"/>
  <c r="A909" i="1"/>
  <c r="B907" i="1" l="1"/>
  <c r="G466" i="1"/>
  <c r="I466" i="1" s="1"/>
  <c r="H466" i="1"/>
  <c r="J466" i="1" s="1"/>
  <c r="C909" i="1"/>
  <c r="E908" i="1" s="1"/>
  <c r="D908" i="1" s="1"/>
  <c r="A910" i="1"/>
  <c r="B908" i="1" l="1"/>
  <c r="N466" i="1"/>
  <c r="P465" i="1" s="1"/>
  <c r="K466" i="1"/>
  <c r="L466" i="1"/>
  <c r="F467" i="1" s="1"/>
  <c r="A911" i="1"/>
  <c r="C910" i="1"/>
  <c r="E909" i="1" s="1"/>
  <c r="D909" i="1" s="1"/>
  <c r="B909" i="1" l="1"/>
  <c r="O465" i="1"/>
  <c r="M465" i="1"/>
  <c r="G467" i="1"/>
  <c r="I467" i="1" s="1"/>
  <c r="H467" i="1"/>
  <c r="J467" i="1" s="1"/>
  <c r="A912" i="1"/>
  <c r="C911" i="1"/>
  <c r="E910" i="1" s="1"/>
  <c r="D910" i="1" s="1"/>
  <c r="B910" i="1" l="1"/>
  <c r="K467" i="1"/>
  <c r="N467" i="1"/>
  <c r="P466" i="1" s="1"/>
  <c r="L467" i="1"/>
  <c r="F468" i="1" s="1"/>
  <c r="A913" i="1"/>
  <c r="C912" i="1"/>
  <c r="E911" i="1" s="1"/>
  <c r="D911" i="1" s="1"/>
  <c r="B911" i="1" l="1"/>
  <c r="O466" i="1"/>
  <c r="M466" i="1"/>
  <c r="G468" i="1"/>
  <c r="I468" i="1" s="1"/>
  <c r="H468" i="1"/>
  <c r="J468" i="1" s="1"/>
  <c r="A914" i="1"/>
  <c r="C913" i="1"/>
  <c r="E912" i="1" s="1"/>
  <c r="D912" i="1" s="1"/>
  <c r="B912" i="1" l="1"/>
  <c r="K468" i="1"/>
  <c r="N468" i="1"/>
  <c r="P467" i="1" s="1"/>
  <c r="L468" i="1"/>
  <c r="F469" i="1" s="1"/>
  <c r="C914" i="1"/>
  <c r="E913" i="1" s="1"/>
  <c r="D913" i="1" s="1"/>
  <c r="A915" i="1"/>
  <c r="B913" i="1" l="1"/>
  <c r="O467" i="1"/>
  <c r="M467" i="1"/>
  <c r="G469" i="1"/>
  <c r="I469" i="1" s="1"/>
  <c r="H469" i="1"/>
  <c r="J469" i="1" s="1"/>
  <c r="A916" i="1"/>
  <c r="C915" i="1"/>
  <c r="E914" i="1" s="1"/>
  <c r="D914" i="1" s="1"/>
  <c r="B914" i="1" l="1"/>
  <c r="L469" i="1"/>
  <c r="F470" i="1" s="1"/>
  <c r="N469" i="1"/>
  <c r="P468" i="1" s="1"/>
  <c r="K469" i="1"/>
  <c r="C916" i="1"/>
  <c r="E915" i="1" s="1"/>
  <c r="D915" i="1" s="1"/>
  <c r="A917" i="1"/>
  <c r="B915" i="1" l="1"/>
  <c r="O468" i="1"/>
  <c r="M468" i="1"/>
  <c r="H470" i="1"/>
  <c r="J470" i="1" s="1"/>
  <c r="G470" i="1"/>
  <c r="I470" i="1" s="1"/>
  <c r="A918" i="1"/>
  <c r="C917" i="1"/>
  <c r="E916" i="1" s="1"/>
  <c r="D916" i="1" s="1"/>
  <c r="B916" i="1" l="1"/>
  <c r="L470" i="1"/>
  <c r="F471" i="1" s="1"/>
  <c r="K470" i="1"/>
  <c r="N470" i="1"/>
  <c r="P469" i="1" s="1"/>
  <c r="A919" i="1"/>
  <c r="C918" i="1"/>
  <c r="E917" i="1" s="1"/>
  <c r="D917" i="1" s="1"/>
  <c r="B917" i="1" l="1"/>
  <c r="O469" i="1"/>
  <c r="M469" i="1"/>
  <c r="G471" i="1"/>
  <c r="I471" i="1" s="1"/>
  <c r="H471" i="1"/>
  <c r="J471" i="1" s="1"/>
  <c r="C919" i="1"/>
  <c r="E918" i="1" s="1"/>
  <c r="D918" i="1" s="1"/>
  <c r="A920" i="1"/>
  <c r="B918" i="1" l="1"/>
  <c r="L471" i="1"/>
  <c r="F472" i="1" s="1"/>
  <c r="K471" i="1"/>
  <c r="N471" i="1"/>
  <c r="P470" i="1" s="1"/>
  <c r="C920" i="1"/>
  <c r="E919" i="1" s="1"/>
  <c r="D919" i="1" s="1"/>
  <c r="A921" i="1"/>
  <c r="B919" i="1" l="1"/>
  <c r="O470" i="1"/>
  <c r="M470" i="1"/>
  <c r="G472" i="1"/>
  <c r="I472" i="1" s="1"/>
  <c r="H472" i="1"/>
  <c r="J472" i="1" s="1"/>
  <c r="C921" i="1"/>
  <c r="E920" i="1" s="1"/>
  <c r="D920" i="1" s="1"/>
  <c r="A922" i="1"/>
  <c r="B920" i="1" l="1"/>
  <c r="K472" i="1"/>
  <c r="N472" i="1"/>
  <c r="P471" i="1" s="1"/>
  <c r="L472" i="1"/>
  <c r="F473" i="1" s="1"/>
  <c r="C922" i="1"/>
  <c r="E921" i="1" s="1"/>
  <c r="D921" i="1" s="1"/>
  <c r="A923" i="1"/>
  <c r="B921" i="1" l="1"/>
  <c r="O471" i="1"/>
  <c r="M471" i="1"/>
  <c r="G473" i="1"/>
  <c r="I473" i="1" s="1"/>
  <c r="H473" i="1"/>
  <c r="J473" i="1" s="1"/>
  <c r="A924" i="1"/>
  <c r="C923" i="1"/>
  <c r="E922" i="1" s="1"/>
  <c r="D922" i="1" s="1"/>
  <c r="B922" i="1" l="1"/>
  <c r="K473" i="1"/>
  <c r="L473" i="1"/>
  <c r="F474" i="1" s="1"/>
  <c r="N473" i="1"/>
  <c r="P472" i="1" s="1"/>
  <c r="C924" i="1"/>
  <c r="E923" i="1" s="1"/>
  <c r="D923" i="1" s="1"/>
  <c r="A925" i="1"/>
  <c r="B923" i="1" l="1"/>
  <c r="O472" i="1"/>
  <c r="M472" i="1"/>
  <c r="G474" i="1"/>
  <c r="I474" i="1" s="1"/>
  <c r="H474" i="1"/>
  <c r="J474" i="1" s="1"/>
  <c r="C925" i="1"/>
  <c r="E924" i="1" s="1"/>
  <c r="D924" i="1" s="1"/>
  <c r="A926" i="1"/>
  <c r="B924" i="1" l="1"/>
  <c r="L474" i="1"/>
  <c r="F475" i="1" s="1"/>
  <c r="N474" i="1"/>
  <c r="P473" i="1" s="1"/>
  <c r="K474" i="1"/>
  <c r="C926" i="1"/>
  <c r="E925" i="1" s="1"/>
  <c r="D925" i="1" s="1"/>
  <c r="A927" i="1"/>
  <c r="B925" i="1" l="1"/>
  <c r="O473" i="1"/>
  <c r="M473" i="1"/>
  <c r="G475" i="1"/>
  <c r="I475" i="1" s="1"/>
  <c r="H475" i="1"/>
  <c r="J475" i="1" s="1"/>
  <c r="C927" i="1"/>
  <c r="E926" i="1" s="1"/>
  <c r="D926" i="1" s="1"/>
  <c r="A928" i="1"/>
  <c r="B926" i="1" l="1"/>
  <c r="K475" i="1"/>
  <c r="N475" i="1"/>
  <c r="P474" i="1" s="1"/>
  <c r="L475" i="1"/>
  <c r="F476" i="1" s="1"/>
  <c r="C928" i="1"/>
  <c r="E927" i="1" s="1"/>
  <c r="D927" i="1" s="1"/>
  <c r="A929" i="1"/>
  <c r="B927" i="1" l="1"/>
  <c r="O474" i="1"/>
  <c r="M474" i="1"/>
  <c r="H476" i="1"/>
  <c r="J476" i="1" s="1"/>
  <c r="N476" i="1" s="1"/>
  <c r="P475" i="1" s="1"/>
  <c r="G476" i="1"/>
  <c r="I476" i="1" s="1"/>
  <c r="A930" i="1"/>
  <c r="C929" i="1"/>
  <c r="E928" i="1" s="1"/>
  <c r="D928" i="1" s="1"/>
  <c r="B928" i="1" l="1"/>
  <c r="O475" i="1"/>
  <c r="M475" i="1"/>
  <c r="L476" i="1"/>
  <c r="F477" i="1" s="1"/>
  <c r="K476" i="1"/>
  <c r="A931" i="1"/>
  <c r="C930" i="1"/>
  <c r="E929" i="1" s="1"/>
  <c r="D929" i="1" s="1"/>
  <c r="B929" i="1" l="1"/>
  <c r="G477" i="1"/>
  <c r="I477" i="1" s="1"/>
  <c r="H477" i="1"/>
  <c r="J477" i="1" s="1"/>
  <c r="A932" i="1"/>
  <c r="C931" i="1"/>
  <c r="E930" i="1" s="1"/>
  <c r="D930" i="1" s="1"/>
  <c r="B930" i="1" l="1"/>
  <c r="L477" i="1"/>
  <c r="F478" i="1" s="1"/>
  <c r="N477" i="1"/>
  <c r="P476" i="1" s="1"/>
  <c r="K477" i="1"/>
  <c r="C932" i="1"/>
  <c r="E931" i="1" s="1"/>
  <c r="D931" i="1" s="1"/>
  <c r="A933" i="1"/>
  <c r="B931" i="1" l="1"/>
  <c r="O476" i="1"/>
  <c r="M476" i="1"/>
  <c r="G478" i="1"/>
  <c r="I478" i="1" s="1"/>
  <c r="H478" i="1"/>
  <c r="J478" i="1" s="1"/>
  <c r="A934" i="1"/>
  <c r="C933" i="1"/>
  <c r="E932" i="1" s="1"/>
  <c r="D932" i="1" s="1"/>
  <c r="B932" i="1" l="1"/>
  <c r="K478" i="1"/>
  <c r="L478" i="1"/>
  <c r="F479" i="1" s="1"/>
  <c r="N478" i="1"/>
  <c r="P477" i="1" s="1"/>
  <c r="A935" i="1"/>
  <c r="C934" i="1"/>
  <c r="E933" i="1" s="1"/>
  <c r="D933" i="1" s="1"/>
  <c r="B933" i="1" l="1"/>
  <c r="O477" i="1"/>
  <c r="M477" i="1"/>
  <c r="H479" i="1"/>
  <c r="J479" i="1" s="1"/>
  <c r="G479" i="1"/>
  <c r="I479" i="1" s="1"/>
  <c r="A936" i="1"/>
  <c r="C935" i="1"/>
  <c r="E934" i="1" s="1"/>
  <c r="D934" i="1" s="1"/>
  <c r="B934" i="1" l="1"/>
  <c r="L479" i="1"/>
  <c r="F480" i="1" s="1"/>
  <c r="N479" i="1"/>
  <c r="P478" i="1" s="1"/>
  <c r="K479" i="1"/>
  <c r="C936" i="1"/>
  <c r="E935" i="1" s="1"/>
  <c r="D935" i="1" s="1"/>
  <c r="A937" i="1"/>
  <c r="B935" i="1" l="1"/>
  <c r="O478" i="1"/>
  <c r="M478" i="1"/>
  <c r="H480" i="1"/>
  <c r="J480" i="1" s="1"/>
  <c r="G480" i="1"/>
  <c r="I480" i="1" s="1"/>
  <c r="A938" i="1"/>
  <c r="C937" i="1"/>
  <c r="E936" i="1" s="1"/>
  <c r="D936" i="1" s="1"/>
  <c r="B936" i="1" l="1"/>
  <c r="L480" i="1"/>
  <c r="F481" i="1" s="1"/>
  <c r="K480" i="1"/>
  <c r="N480" i="1"/>
  <c r="P479" i="1" s="1"/>
  <c r="A939" i="1"/>
  <c r="C938" i="1"/>
  <c r="E937" i="1" s="1"/>
  <c r="D937" i="1" s="1"/>
  <c r="B937" i="1" l="1"/>
  <c r="O479" i="1"/>
  <c r="M479" i="1"/>
  <c r="H481" i="1"/>
  <c r="J481" i="1" s="1"/>
  <c r="G481" i="1"/>
  <c r="I481" i="1" s="1"/>
  <c r="A940" i="1"/>
  <c r="C939" i="1"/>
  <c r="E938" i="1" s="1"/>
  <c r="D938" i="1" s="1"/>
  <c r="B938" i="1" l="1"/>
  <c r="L481" i="1"/>
  <c r="F482" i="1" s="1"/>
  <c r="K481" i="1"/>
  <c r="N481" i="1"/>
  <c r="P480" i="1" s="1"/>
  <c r="C940" i="1"/>
  <c r="E939" i="1" s="1"/>
  <c r="D939" i="1" s="1"/>
  <c r="A941" i="1"/>
  <c r="B939" i="1" l="1"/>
  <c r="O480" i="1"/>
  <c r="M480" i="1"/>
  <c r="G482" i="1"/>
  <c r="I482" i="1" s="1"/>
  <c r="H482" i="1"/>
  <c r="J482" i="1" s="1"/>
  <c r="A942" i="1"/>
  <c r="C941" i="1"/>
  <c r="E940" i="1" s="1"/>
  <c r="D940" i="1" s="1"/>
  <c r="B940" i="1" l="1"/>
  <c r="K482" i="1"/>
  <c r="N482" i="1"/>
  <c r="P481" i="1" s="1"/>
  <c r="L482" i="1"/>
  <c r="F483" i="1" s="1"/>
  <c r="A943" i="1"/>
  <c r="C942" i="1"/>
  <c r="E941" i="1" s="1"/>
  <c r="D941" i="1" s="1"/>
  <c r="B941" i="1" l="1"/>
  <c r="O481" i="1"/>
  <c r="M481" i="1"/>
  <c r="G483" i="1"/>
  <c r="I483" i="1" s="1"/>
  <c r="H483" i="1"/>
  <c r="J483" i="1" s="1"/>
  <c r="A944" i="1"/>
  <c r="C943" i="1"/>
  <c r="E942" i="1" s="1"/>
  <c r="D942" i="1" s="1"/>
  <c r="B942" i="1" l="1"/>
  <c r="L483" i="1"/>
  <c r="F484" i="1" s="1"/>
  <c r="K483" i="1"/>
  <c r="N483" i="1"/>
  <c r="P482" i="1" s="1"/>
  <c r="A945" i="1"/>
  <c r="C944" i="1"/>
  <c r="E943" i="1" s="1"/>
  <c r="D943" i="1" s="1"/>
  <c r="B943" i="1" l="1"/>
  <c r="O482" i="1"/>
  <c r="M482" i="1"/>
  <c r="H484" i="1"/>
  <c r="J484" i="1" s="1"/>
  <c r="N484" i="1" s="1"/>
  <c r="P483" i="1" s="1"/>
  <c r="G484" i="1"/>
  <c r="I484" i="1" s="1"/>
  <c r="C945" i="1"/>
  <c r="E944" i="1" s="1"/>
  <c r="D944" i="1" s="1"/>
  <c r="A946" i="1"/>
  <c r="B944" i="1" l="1"/>
  <c r="O483" i="1"/>
  <c r="M483" i="1"/>
  <c r="L484" i="1"/>
  <c r="F485" i="1" s="1"/>
  <c r="K484" i="1"/>
  <c r="C946" i="1"/>
  <c r="E945" i="1" s="1"/>
  <c r="D945" i="1" s="1"/>
  <c r="A947" i="1"/>
  <c r="B945" i="1" l="1"/>
  <c r="H485" i="1"/>
  <c r="J485" i="1" s="1"/>
  <c r="N485" i="1" s="1"/>
  <c r="P484" i="1" s="1"/>
  <c r="G485" i="1"/>
  <c r="I485" i="1" s="1"/>
  <c r="A948" i="1"/>
  <c r="C947" i="1"/>
  <c r="E946" i="1" s="1"/>
  <c r="D946" i="1" s="1"/>
  <c r="B946" i="1" l="1"/>
  <c r="O484" i="1"/>
  <c r="M484" i="1"/>
  <c r="L485" i="1"/>
  <c r="F486" i="1" s="1"/>
  <c r="K485" i="1"/>
  <c r="C948" i="1"/>
  <c r="E947" i="1" s="1"/>
  <c r="D947" i="1" s="1"/>
  <c r="A949" i="1"/>
  <c r="B947" i="1" l="1"/>
  <c r="G486" i="1"/>
  <c r="I486" i="1" s="1"/>
  <c r="H486" i="1"/>
  <c r="J486" i="1" s="1"/>
  <c r="A950" i="1"/>
  <c r="C949" i="1"/>
  <c r="E948" i="1" s="1"/>
  <c r="D948" i="1" s="1"/>
  <c r="B948" i="1" l="1"/>
  <c r="N486" i="1"/>
  <c r="P485" i="1" s="1"/>
  <c r="K486" i="1"/>
  <c r="L486" i="1"/>
  <c r="F487" i="1" s="1"/>
  <c r="A951" i="1"/>
  <c r="C950" i="1"/>
  <c r="E949" i="1" s="1"/>
  <c r="D949" i="1" s="1"/>
  <c r="B949" i="1" l="1"/>
  <c r="O485" i="1"/>
  <c r="M485" i="1"/>
  <c r="G487" i="1"/>
  <c r="I487" i="1" s="1"/>
  <c r="H487" i="1"/>
  <c r="J487" i="1" s="1"/>
  <c r="C951" i="1"/>
  <c r="E950" i="1" s="1"/>
  <c r="D950" i="1" s="1"/>
  <c r="A952" i="1"/>
  <c r="B950" i="1" l="1"/>
  <c r="L487" i="1"/>
  <c r="F488" i="1" s="1"/>
  <c r="N487" i="1"/>
  <c r="P486" i="1" s="1"/>
  <c r="K487" i="1"/>
  <c r="C952" i="1"/>
  <c r="E951" i="1" s="1"/>
  <c r="D951" i="1" s="1"/>
  <c r="A953" i="1"/>
  <c r="B951" i="1" l="1"/>
  <c r="O486" i="1"/>
  <c r="M486" i="1"/>
  <c r="G488" i="1"/>
  <c r="I488" i="1" s="1"/>
  <c r="H488" i="1"/>
  <c r="J488" i="1" s="1"/>
  <c r="A954" i="1"/>
  <c r="C953" i="1"/>
  <c r="E952" i="1" s="1"/>
  <c r="D952" i="1" s="1"/>
  <c r="B952" i="1" l="1"/>
  <c r="L488" i="1"/>
  <c r="F489" i="1" s="1"/>
  <c r="K488" i="1"/>
  <c r="N488" i="1"/>
  <c r="P487" i="1" s="1"/>
  <c r="A955" i="1"/>
  <c r="C954" i="1"/>
  <c r="E953" i="1" s="1"/>
  <c r="D953" i="1" s="1"/>
  <c r="B953" i="1" l="1"/>
  <c r="O487" i="1"/>
  <c r="M487" i="1"/>
  <c r="G489" i="1"/>
  <c r="I489" i="1" s="1"/>
  <c r="H489" i="1"/>
  <c r="J489" i="1" s="1"/>
  <c r="C955" i="1"/>
  <c r="E954" i="1" s="1"/>
  <c r="D954" i="1" s="1"/>
  <c r="A956" i="1"/>
  <c r="B954" i="1" l="1"/>
  <c r="N489" i="1"/>
  <c r="P488" i="1" s="1"/>
  <c r="K489" i="1"/>
  <c r="L489" i="1"/>
  <c r="F490" i="1" s="1"/>
  <c r="C956" i="1"/>
  <c r="E955" i="1" s="1"/>
  <c r="D955" i="1" s="1"/>
  <c r="A957" i="1"/>
  <c r="B955" i="1" l="1"/>
  <c r="O488" i="1"/>
  <c r="M488" i="1"/>
  <c r="G490" i="1"/>
  <c r="I490" i="1" s="1"/>
  <c r="H490" i="1"/>
  <c r="J490" i="1" s="1"/>
  <c r="A958" i="1"/>
  <c r="C957" i="1"/>
  <c r="E956" i="1" s="1"/>
  <c r="D956" i="1" s="1"/>
  <c r="B956" i="1" l="1"/>
  <c r="N490" i="1"/>
  <c r="P489" i="1" s="1"/>
  <c r="K490" i="1"/>
  <c r="L490" i="1"/>
  <c r="F491" i="1" s="1"/>
  <c r="A959" i="1"/>
  <c r="C958" i="1"/>
  <c r="E957" i="1" s="1"/>
  <c r="D957" i="1" s="1"/>
  <c r="B957" i="1" l="1"/>
  <c r="O489" i="1"/>
  <c r="M489" i="1"/>
  <c r="G491" i="1"/>
  <c r="I491" i="1" s="1"/>
  <c r="H491" i="1"/>
  <c r="J491" i="1" s="1"/>
  <c r="C959" i="1"/>
  <c r="E958" i="1" s="1"/>
  <c r="D958" i="1" s="1"/>
  <c r="A960" i="1"/>
  <c r="B958" i="1" l="1"/>
  <c r="L491" i="1"/>
  <c r="F492" i="1" s="1"/>
  <c r="K491" i="1"/>
  <c r="N491" i="1"/>
  <c r="P490" i="1" s="1"/>
  <c r="C960" i="1"/>
  <c r="E959" i="1" s="1"/>
  <c r="D959" i="1" s="1"/>
  <c r="A961" i="1"/>
  <c r="B959" i="1" l="1"/>
  <c r="O490" i="1"/>
  <c r="M490" i="1"/>
  <c r="H492" i="1"/>
  <c r="J492" i="1" s="1"/>
  <c r="N492" i="1" s="1"/>
  <c r="P491" i="1" s="1"/>
  <c r="G492" i="1"/>
  <c r="I492" i="1" s="1"/>
  <c r="C961" i="1"/>
  <c r="E960" i="1" s="1"/>
  <c r="D960" i="1" s="1"/>
  <c r="A962" i="1"/>
  <c r="B960" i="1" l="1"/>
  <c r="O491" i="1"/>
  <c r="M491" i="1"/>
  <c r="L492" i="1"/>
  <c r="F493" i="1" s="1"/>
  <c r="K492" i="1"/>
  <c r="C962" i="1"/>
  <c r="E961" i="1" s="1"/>
  <c r="D961" i="1" s="1"/>
  <c r="A963" i="1"/>
  <c r="B961" i="1" l="1"/>
  <c r="H493" i="1"/>
  <c r="J493" i="1" s="1"/>
  <c r="G493" i="1"/>
  <c r="I493" i="1" s="1"/>
  <c r="A964" i="1"/>
  <c r="C963" i="1"/>
  <c r="E962" i="1" s="1"/>
  <c r="D962" i="1" s="1"/>
  <c r="B962" i="1" l="1"/>
  <c r="N493" i="1"/>
  <c r="P492" i="1" s="1"/>
  <c r="K493" i="1"/>
  <c r="L493" i="1"/>
  <c r="F494" i="1" s="1"/>
  <c r="C964" i="1"/>
  <c r="E963" i="1" s="1"/>
  <c r="D963" i="1" s="1"/>
  <c r="A965" i="1"/>
  <c r="B963" i="1" l="1"/>
  <c r="O492" i="1"/>
  <c r="M492" i="1"/>
  <c r="H494" i="1"/>
  <c r="J494" i="1" s="1"/>
  <c r="G494" i="1"/>
  <c r="I494" i="1" s="1"/>
  <c r="A966" i="1"/>
  <c r="C965" i="1"/>
  <c r="E964" i="1" s="1"/>
  <c r="D964" i="1" s="1"/>
  <c r="B964" i="1" l="1"/>
  <c r="K494" i="1"/>
  <c r="N494" i="1"/>
  <c r="P493" i="1" s="1"/>
  <c r="L494" i="1"/>
  <c r="F495" i="1" s="1"/>
  <c r="C966" i="1"/>
  <c r="E965" i="1" s="1"/>
  <c r="D965" i="1" s="1"/>
  <c r="A967" i="1"/>
  <c r="B965" i="1" l="1"/>
  <c r="O493" i="1"/>
  <c r="M493" i="1"/>
  <c r="H495" i="1"/>
  <c r="J495" i="1" s="1"/>
  <c r="G495" i="1"/>
  <c r="I495" i="1" s="1"/>
  <c r="C967" i="1"/>
  <c r="E966" i="1" s="1"/>
  <c r="D966" i="1" s="1"/>
  <c r="A968" i="1"/>
  <c r="B966" i="1" l="1"/>
  <c r="K495" i="1"/>
  <c r="N495" i="1"/>
  <c r="P494" i="1" s="1"/>
  <c r="L495" i="1"/>
  <c r="F496" i="1" s="1"/>
  <c r="A969" i="1"/>
  <c r="C968" i="1"/>
  <c r="E967" i="1" s="1"/>
  <c r="D967" i="1" s="1"/>
  <c r="B967" i="1" l="1"/>
  <c r="O494" i="1"/>
  <c r="M494" i="1"/>
  <c r="H496" i="1"/>
  <c r="J496" i="1" s="1"/>
  <c r="G496" i="1"/>
  <c r="I496" i="1" s="1"/>
  <c r="C969" i="1"/>
  <c r="E968" i="1" s="1"/>
  <c r="D968" i="1" s="1"/>
  <c r="A970" i="1"/>
  <c r="B968" i="1" l="1"/>
  <c r="K496" i="1"/>
  <c r="N496" i="1"/>
  <c r="P495" i="1" s="1"/>
  <c r="L496" i="1"/>
  <c r="F497" i="1" s="1"/>
  <c r="A971" i="1"/>
  <c r="C970" i="1"/>
  <c r="E969" i="1" s="1"/>
  <c r="D969" i="1" s="1"/>
  <c r="B969" i="1" l="1"/>
  <c r="O495" i="1"/>
  <c r="M495" i="1"/>
  <c r="G497" i="1"/>
  <c r="I497" i="1" s="1"/>
  <c r="H497" i="1"/>
  <c r="J497" i="1" s="1"/>
  <c r="A972" i="1"/>
  <c r="C971" i="1"/>
  <c r="E970" i="1" s="1"/>
  <c r="D970" i="1" s="1"/>
  <c r="B970" i="1" l="1"/>
  <c r="K497" i="1"/>
  <c r="N497" i="1"/>
  <c r="P496" i="1" s="1"/>
  <c r="L497" i="1"/>
  <c r="F498" i="1" s="1"/>
  <c r="C972" i="1"/>
  <c r="E971" i="1" s="1"/>
  <c r="D971" i="1" s="1"/>
  <c r="A973" i="1"/>
  <c r="B971" i="1" l="1"/>
  <c r="O496" i="1"/>
  <c r="M496" i="1"/>
  <c r="H498" i="1"/>
  <c r="J498" i="1" s="1"/>
  <c r="G498" i="1"/>
  <c r="I498" i="1" s="1"/>
  <c r="C973" i="1"/>
  <c r="E972" i="1" s="1"/>
  <c r="D972" i="1" s="1"/>
  <c r="A974" i="1"/>
  <c r="B972" i="1" l="1"/>
  <c r="N498" i="1"/>
  <c r="P497" i="1" s="1"/>
  <c r="K498" i="1"/>
  <c r="L498" i="1"/>
  <c r="F499" i="1" s="1"/>
  <c r="A975" i="1"/>
  <c r="C974" i="1"/>
  <c r="E973" i="1" s="1"/>
  <c r="D973" i="1" s="1"/>
  <c r="B973" i="1" l="1"/>
  <c r="O497" i="1"/>
  <c r="M497" i="1"/>
  <c r="G499" i="1"/>
  <c r="I499" i="1" s="1"/>
  <c r="H499" i="1"/>
  <c r="J499" i="1" s="1"/>
  <c r="A976" i="1"/>
  <c r="C975" i="1"/>
  <c r="E974" i="1" s="1"/>
  <c r="D974" i="1" s="1"/>
  <c r="B974" i="1" l="1"/>
  <c r="K499" i="1"/>
  <c r="N499" i="1"/>
  <c r="P498" i="1" s="1"/>
  <c r="L499" i="1"/>
  <c r="F500" i="1" s="1"/>
  <c r="C976" i="1"/>
  <c r="E975" i="1" s="1"/>
  <c r="D975" i="1" s="1"/>
  <c r="A977" i="1"/>
  <c r="B975" i="1" l="1"/>
  <c r="O498" i="1"/>
  <c r="M498" i="1"/>
  <c r="G500" i="1"/>
  <c r="I500" i="1" s="1"/>
  <c r="H500" i="1"/>
  <c r="J500" i="1" s="1"/>
  <c r="C977" i="1"/>
  <c r="E976" i="1" s="1"/>
  <c r="D976" i="1" s="1"/>
  <c r="A978" i="1"/>
  <c r="B976" i="1" l="1"/>
  <c r="K500" i="1"/>
  <c r="N500" i="1"/>
  <c r="P499" i="1" s="1"/>
  <c r="L500" i="1"/>
  <c r="F501" i="1" s="1"/>
  <c r="A979" i="1"/>
  <c r="C978" i="1"/>
  <c r="E977" i="1" s="1"/>
  <c r="D977" i="1" s="1"/>
  <c r="B977" i="1" l="1"/>
  <c r="O499" i="1"/>
  <c r="M499" i="1"/>
  <c r="G501" i="1"/>
  <c r="I501" i="1" s="1"/>
  <c r="H501" i="1"/>
  <c r="J501" i="1" s="1"/>
  <c r="A980" i="1"/>
  <c r="C979" i="1"/>
  <c r="E978" i="1" s="1"/>
  <c r="D978" i="1" s="1"/>
  <c r="B978" i="1" l="1"/>
  <c r="K501" i="1"/>
  <c r="N501" i="1"/>
  <c r="P500" i="1" s="1"/>
  <c r="L501" i="1"/>
  <c r="F502" i="1" s="1"/>
  <c r="A981" i="1"/>
  <c r="C980" i="1"/>
  <c r="E979" i="1" s="1"/>
  <c r="D979" i="1" s="1"/>
  <c r="B979" i="1" l="1"/>
  <c r="O500" i="1"/>
  <c r="M500" i="1"/>
  <c r="G502" i="1"/>
  <c r="I502" i="1" s="1"/>
  <c r="H502" i="1"/>
  <c r="J502" i="1" s="1"/>
  <c r="C981" i="1"/>
  <c r="E980" i="1" s="1"/>
  <c r="D980" i="1" s="1"/>
  <c r="A982" i="1"/>
  <c r="B980" i="1" l="1"/>
  <c r="K502" i="1"/>
  <c r="N502" i="1"/>
  <c r="P501" i="1" s="1"/>
  <c r="L502" i="1"/>
  <c r="F503" i="1" s="1"/>
  <c r="A983" i="1"/>
  <c r="C982" i="1"/>
  <c r="E981" i="1" s="1"/>
  <c r="D981" i="1" s="1"/>
  <c r="B981" i="1" l="1"/>
  <c r="O501" i="1"/>
  <c r="M501" i="1"/>
  <c r="H503" i="1"/>
  <c r="J503" i="1" s="1"/>
  <c r="G503" i="1"/>
  <c r="I503" i="1" s="1"/>
  <c r="C983" i="1"/>
  <c r="E982" i="1" s="1"/>
  <c r="D982" i="1" s="1"/>
  <c r="A984" i="1"/>
  <c r="B982" i="1" l="1"/>
  <c r="L503" i="1"/>
  <c r="F504" i="1" s="1"/>
  <c r="K503" i="1"/>
  <c r="N503" i="1"/>
  <c r="P502" i="1" s="1"/>
  <c r="C984" i="1"/>
  <c r="E983" i="1" s="1"/>
  <c r="D983" i="1" s="1"/>
  <c r="A985" i="1"/>
  <c r="B983" i="1" l="1"/>
  <c r="O502" i="1"/>
  <c r="M502" i="1"/>
  <c r="G504" i="1"/>
  <c r="I504" i="1" s="1"/>
  <c r="H504" i="1"/>
  <c r="J504" i="1" s="1"/>
  <c r="A986" i="1"/>
  <c r="C985" i="1"/>
  <c r="E984" i="1" s="1"/>
  <c r="D984" i="1" s="1"/>
  <c r="B984" i="1" l="1"/>
  <c r="L504" i="1"/>
  <c r="F505" i="1" s="1"/>
  <c r="K504" i="1"/>
  <c r="N504" i="1"/>
  <c r="P503" i="1" s="1"/>
  <c r="A987" i="1"/>
  <c r="C986" i="1"/>
  <c r="E985" i="1" s="1"/>
  <c r="D985" i="1" s="1"/>
  <c r="B985" i="1" l="1"/>
  <c r="O503" i="1"/>
  <c r="M503" i="1"/>
  <c r="H505" i="1"/>
  <c r="J505" i="1" s="1"/>
  <c r="N505" i="1" s="1"/>
  <c r="P504" i="1" s="1"/>
  <c r="G505" i="1"/>
  <c r="I505" i="1" s="1"/>
  <c r="A988" i="1"/>
  <c r="C987" i="1"/>
  <c r="E986" i="1" s="1"/>
  <c r="D986" i="1" s="1"/>
  <c r="B986" i="1" l="1"/>
  <c r="O504" i="1"/>
  <c r="M504" i="1"/>
  <c r="L505" i="1"/>
  <c r="F506" i="1" s="1"/>
  <c r="K505" i="1"/>
  <c r="A989" i="1"/>
  <c r="C988" i="1"/>
  <c r="E987" i="1" s="1"/>
  <c r="D987" i="1" s="1"/>
  <c r="B987" i="1" l="1"/>
  <c r="G506" i="1"/>
  <c r="I506" i="1" s="1"/>
  <c r="H506" i="1"/>
  <c r="J506" i="1" s="1"/>
  <c r="C989" i="1"/>
  <c r="E988" i="1" s="1"/>
  <c r="D988" i="1" s="1"/>
  <c r="A990" i="1"/>
  <c r="B988" i="1" l="1"/>
  <c r="N506" i="1"/>
  <c r="P505" i="1" s="1"/>
  <c r="K506" i="1"/>
  <c r="L506" i="1"/>
  <c r="F507" i="1" s="1"/>
  <c r="C990" i="1"/>
  <c r="E989" i="1" s="1"/>
  <c r="D989" i="1" s="1"/>
  <c r="A991" i="1"/>
  <c r="B989" i="1" l="1"/>
  <c r="O505" i="1"/>
  <c r="M505" i="1"/>
  <c r="H507" i="1"/>
  <c r="J507" i="1" s="1"/>
  <c r="G507" i="1"/>
  <c r="I507" i="1" s="1"/>
  <c r="A992" i="1"/>
  <c r="C991" i="1"/>
  <c r="E990" i="1" s="1"/>
  <c r="D990" i="1" s="1"/>
  <c r="B990" i="1" l="1"/>
  <c r="L507" i="1"/>
  <c r="F508" i="1" s="1"/>
  <c r="K507" i="1"/>
  <c r="N507" i="1"/>
  <c r="P506" i="1" s="1"/>
  <c r="C992" i="1"/>
  <c r="E991" i="1" s="1"/>
  <c r="D991" i="1" s="1"/>
  <c r="A993" i="1"/>
  <c r="B991" i="1" l="1"/>
  <c r="O506" i="1"/>
  <c r="M506" i="1"/>
  <c r="G508" i="1"/>
  <c r="I508" i="1" s="1"/>
  <c r="H508" i="1"/>
  <c r="J508" i="1" s="1"/>
  <c r="C993" i="1"/>
  <c r="E992" i="1" s="1"/>
  <c r="D992" i="1" s="1"/>
  <c r="A994" i="1"/>
  <c r="B992" i="1" l="1"/>
  <c r="N508" i="1"/>
  <c r="P507" i="1" s="1"/>
  <c r="K508" i="1"/>
  <c r="L508" i="1"/>
  <c r="F509" i="1" s="1"/>
  <c r="A995" i="1"/>
  <c r="C994" i="1"/>
  <c r="E993" i="1" s="1"/>
  <c r="D993" i="1" s="1"/>
  <c r="B993" i="1" l="1"/>
  <c r="O507" i="1"/>
  <c r="M507" i="1"/>
  <c r="H509" i="1"/>
  <c r="J509" i="1" s="1"/>
  <c r="G509" i="1"/>
  <c r="I509" i="1" s="1"/>
  <c r="A996" i="1"/>
  <c r="C995" i="1"/>
  <c r="E994" i="1" s="1"/>
  <c r="D994" i="1" s="1"/>
  <c r="B994" i="1" l="1"/>
  <c r="L509" i="1"/>
  <c r="F510" i="1" s="1"/>
  <c r="K509" i="1"/>
  <c r="N509" i="1"/>
  <c r="P508" i="1" s="1"/>
  <c r="C996" i="1"/>
  <c r="E995" i="1" s="1"/>
  <c r="D995" i="1" s="1"/>
  <c r="A997" i="1"/>
  <c r="B995" i="1" l="1"/>
  <c r="O508" i="1"/>
  <c r="M508" i="1"/>
  <c r="G510" i="1"/>
  <c r="I510" i="1" s="1"/>
  <c r="H510" i="1"/>
  <c r="J510" i="1" s="1"/>
  <c r="C997" i="1"/>
  <c r="E996" i="1" s="1"/>
  <c r="D996" i="1" s="1"/>
  <c r="A998" i="1"/>
  <c r="B996" i="1" l="1"/>
  <c r="K510" i="1"/>
  <c r="N510" i="1"/>
  <c r="P509" i="1" s="1"/>
  <c r="L510" i="1"/>
  <c r="F511" i="1" s="1"/>
  <c r="C998" i="1"/>
  <c r="E997" i="1" s="1"/>
  <c r="D997" i="1" s="1"/>
  <c r="A999" i="1"/>
  <c r="B997" i="1" l="1"/>
  <c r="O509" i="1"/>
  <c r="M509" i="1"/>
  <c r="H511" i="1"/>
  <c r="J511" i="1" s="1"/>
  <c r="G511" i="1"/>
  <c r="I511" i="1" s="1"/>
  <c r="A1000" i="1"/>
  <c r="C999" i="1"/>
  <c r="E998" i="1" s="1"/>
  <c r="D998" i="1" s="1"/>
  <c r="B998" i="1" l="1"/>
  <c r="L511" i="1"/>
  <c r="F512" i="1" s="1"/>
  <c r="K511" i="1"/>
  <c r="N511" i="1"/>
  <c r="P510" i="1" s="1"/>
  <c r="C1000" i="1"/>
  <c r="E999" i="1" s="1"/>
  <c r="D999" i="1" s="1"/>
  <c r="A1001" i="1"/>
  <c r="B999" i="1" l="1"/>
  <c r="O510" i="1"/>
  <c r="M510" i="1"/>
  <c r="H512" i="1"/>
  <c r="J512" i="1" s="1"/>
  <c r="G512" i="1"/>
  <c r="I512" i="1" s="1"/>
  <c r="A1002" i="1"/>
  <c r="C1001" i="1"/>
  <c r="E1000" i="1" s="1"/>
  <c r="D1000" i="1" s="1"/>
  <c r="B1000" i="1" l="1"/>
  <c r="L512" i="1"/>
  <c r="F513" i="1" s="1"/>
  <c r="K512" i="1"/>
  <c r="N512" i="1"/>
  <c r="P511" i="1" s="1"/>
  <c r="C1002" i="1"/>
  <c r="E1001" i="1" s="1"/>
  <c r="D1001" i="1" s="1"/>
  <c r="A1003" i="1"/>
  <c r="B1001" i="1" l="1"/>
  <c r="O511" i="1"/>
  <c r="M511" i="1"/>
  <c r="G513" i="1"/>
  <c r="I513" i="1" s="1"/>
  <c r="H513" i="1"/>
  <c r="J513" i="1" s="1"/>
  <c r="C1003" i="1"/>
  <c r="E1002" i="1" s="1"/>
  <c r="D1002" i="1" s="1"/>
  <c r="A1004" i="1"/>
  <c r="B1002" i="1" l="1"/>
  <c r="L513" i="1"/>
  <c r="F514" i="1" s="1"/>
  <c r="K513" i="1"/>
  <c r="N513" i="1"/>
  <c r="P512" i="1" s="1"/>
  <c r="A1005" i="1"/>
  <c r="C1004" i="1"/>
  <c r="E1003" i="1" s="1"/>
  <c r="D1003" i="1" s="1"/>
  <c r="B1003" i="1" l="1"/>
  <c r="O512" i="1"/>
  <c r="M512" i="1"/>
  <c r="G514" i="1"/>
  <c r="I514" i="1" s="1"/>
  <c r="H514" i="1"/>
  <c r="J514" i="1" s="1"/>
  <c r="A1006" i="1"/>
  <c r="C1005" i="1"/>
  <c r="E1004" i="1" s="1"/>
  <c r="D1004" i="1" s="1"/>
  <c r="B1004" i="1" l="1"/>
  <c r="K514" i="1"/>
  <c r="N514" i="1"/>
  <c r="P513" i="1" s="1"/>
  <c r="L514" i="1"/>
  <c r="F515" i="1" s="1"/>
  <c r="A1007" i="1"/>
  <c r="C1006" i="1"/>
  <c r="E1005" i="1" s="1"/>
  <c r="D1005" i="1" s="1"/>
  <c r="B1005" i="1" l="1"/>
  <c r="O513" i="1"/>
  <c r="M513" i="1"/>
  <c r="G515" i="1"/>
  <c r="I515" i="1" s="1"/>
  <c r="H515" i="1"/>
  <c r="J515" i="1" s="1"/>
  <c r="C1007" i="1"/>
  <c r="E1006" i="1" s="1"/>
  <c r="D1006" i="1" s="1"/>
  <c r="A1008" i="1"/>
  <c r="B1006" i="1" l="1"/>
  <c r="K515" i="1"/>
  <c r="L515" i="1"/>
  <c r="F516" i="1" s="1"/>
  <c r="N515" i="1"/>
  <c r="P514" i="1" s="1"/>
  <c r="A1009" i="1"/>
  <c r="C1008" i="1"/>
  <c r="E1007" i="1" s="1"/>
  <c r="D1007" i="1" s="1"/>
  <c r="B1007" i="1" l="1"/>
  <c r="O514" i="1"/>
  <c r="M514" i="1"/>
  <c r="G516" i="1"/>
  <c r="I516" i="1" s="1"/>
  <c r="H516" i="1"/>
  <c r="J516" i="1" s="1"/>
  <c r="A1010" i="1"/>
  <c r="C1009" i="1"/>
  <c r="E1008" i="1" s="1"/>
  <c r="D1008" i="1" s="1"/>
  <c r="B1008" i="1" l="1"/>
  <c r="L516" i="1"/>
  <c r="F517" i="1" s="1"/>
  <c r="N516" i="1"/>
  <c r="P515" i="1" s="1"/>
  <c r="K516" i="1"/>
  <c r="A1011" i="1"/>
  <c r="C1010" i="1"/>
  <c r="E1009" i="1" s="1"/>
  <c r="D1009" i="1" s="1"/>
  <c r="B1009" i="1" l="1"/>
  <c r="O515" i="1"/>
  <c r="M515" i="1"/>
  <c r="G517" i="1"/>
  <c r="I517" i="1" s="1"/>
  <c r="H517" i="1"/>
  <c r="J517" i="1" s="1"/>
  <c r="C1011" i="1"/>
  <c r="E1010" i="1" s="1"/>
  <c r="D1010" i="1" s="1"/>
  <c r="A1012" i="1"/>
  <c r="B1010" i="1" l="1"/>
  <c r="K517" i="1"/>
  <c r="N517" i="1"/>
  <c r="P516" i="1" s="1"/>
  <c r="L517" i="1"/>
  <c r="F518" i="1" s="1"/>
  <c r="C1012" i="1"/>
  <c r="E1011" i="1" s="1"/>
  <c r="D1011" i="1" s="1"/>
  <c r="A1013" i="1"/>
  <c r="B1011" i="1" l="1"/>
  <c r="O516" i="1"/>
  <c r="M516" i="1"/>
  <c r="H518" i="1"/>
  <c r="J518" i="1" s="1"/>
  <c r="N518" i="1" s="1"/>
  <c r="P517" i="1" s="1"/>
  <c r="G518" i="1"/>
  <c r="I518" i="1" s="1"/>
  <c r="C1013" i="1"/>
  <c r="E1012" i="1" s="1"/>
  <c r="D1012" i="1" s="1"/>
  <c r="A1014" i="1"/>
  <c r="B1012" i="1" l="1"/>
  <c r="O517" i="1"/>
  <c r="M517" i="1"/>
  <c r="K518" i="1"/>
  <c r="L518" i="1"/>
  <c r="F519" i="1" s="1"/>
  <c r="A1015" i="1"/>
  <c r="C1014" i="1"/>
  <c r="E1013" i="1" s="1"/>
  <c r="D1013" i="1" s="1"/>
  <c r="B1013" i="1" l="1"/>
  <c r="G519" i="1"/>
  <c r="I519" i="1" s="1"/>
  <c r="H519" i="1"/>
  <c r="J519" i="1" s="1"/>
  <c r="C1015" i="1"/>
  <c r="E1014" i="1" s="1"/>
  <c r="D1014" i="1" s="1"/>
  <c r="A1016" i="1"/>
  <c r="B1014" i="1" l="1"/>
  <c r="L519" i="1"/>
  <c r="F520" i="1" s="1"/>
  <c r="N519" i="1"/>
  <c r="P518" i="1" s="1"/>
  <c r="K519" i="1"/>
  <c r="C1016" i="1"/>
  <c r="E1015" i="1" s="1"/>
  <c r="D1015" i="1" s="1"/>
  <c r="A1017" i="1"/>
  <c r="B1015" i="1" l="1"/>
  <c r="O518" i="1"/>
  <c r="M518" i="1"/>
  <c r="G520" i="1"/>
  <c r="I520" i="1" s="1"/>
  <c r="H520" i="1"/>
  <c r="J520" i="1" s="1"/>
  <c r="A1018" i="1"/>
  <c r="C1017" i="1"/>
  <c r="E1016" i="1" s="1"/>
  <c r="D1016" i="1" s="1"/>
  <c r="B1016" i="1" l="1"/>
  <c r="K520" i="1"/>
  <c r="N520" i="1"/>
  <c r="P519" i="1" s="1"/>
  <c r="L520" i="1"/>
  <c r="F521" i="1" s="1"/>
  <c r="A1019" i="1"/>
  <c r="C1018" i="1"/>
  <c r="E1017" i="1" s="1"/>
  <c r="D1017" i="1" s="1"/>
  <c r="B1017" i="1" l="1"/>
  <c r="O519" i="1"/>
  <c r="M519" i="1"/>
  <c r="H521" i="1"/>
  <c r="J521" i="1" s="1"/>
  <c r="N521" i="1" s="1"/>
  <c r="P520" i="1" s="1"/>
  <c r="G521" i="1"/>
  <c r="I521" i="1" s="1"/>
  <c r="C1019" i="1"/>
  <c r="E1018" i="1" s="1"/>
  <c r="D1018" i="1" s="1"/>
  <c r="A1020" i="1"/>
  <c r="B1018" i="1" l="1"/>
  <c r="O520" i="1"/>
  <c r="M520" i="1"/>
  <c r="L521" i="1"/>
  <c r="F522" i="1" s="1"/>
  <c r="K521" i="1"/>
  <c r="A1021" i="1"/>
  <c r="C1020" i="1"/>
  <c r="E1019" i="1" s="1"/>
  <c r="D1019" i="1" s="1"/>
  <c r="B1019" i="1" l="1"/>
  <c r="H522" i="1"/>
  <c r="J522" i="1" s="1"/>
  <c r="G522" i="1"/>
  <c r="I522" i="1" s="1"/>
  <c r="A1022" i="1"/>
  <c r="C1021" i="1"/>
  <c r="E1020" i="1" s="1"/>
  <c r="D1020" i="1" s="1"/>
  <c r="B1020" i="1" l="1"/>
  <c r="L522" i="1"/>
  <c r="F523" i="1" s="1"/>
  <c r="N522" i="1"/>
  <c r="P521" i="1" s="1"/>
  <c r="K522" i="1"/>
  <c r="A1023" i="1"/>
  <c r="C1022" i="1"/>
  <c r="E1021" i="1" s="1"/>
  <c r="D1021" i="1" s="1"/>
  <c r="B1021" i="1" l="1"/>
  <c r="O521" i="1"/>
  <c r="M521" i="1"/>
  <c r="G523" i="1"/>
  <c r="I523" i="1" s="1"/>
  <c r="H523" i="1"/>
  <c r="J523" i="1" s="1"/>
  <c r="C1023" i="1"/>
  <c r="E1022" i="1" s="1"/>
  <c r="D1022" i="1" s="1"/>
  <c r="A1024" i="1"/>
  <c r="B1022" i="1" l="1"/>
  <c r="K523" i="1"/>
  <c r="N523" i="1"/>
  <c r="P522" i="1" s="1"/>
  <c r="L523" i="1"/>
  <c r="F524" i="1" s="1"/>
  <c r="C1024" i="1"/>
  <c r="E1023" i="1" s="1"/>
  <c r="D1023" i="1" s="1"/>
  <c r="B1023" i="1" l="1"/>
  <c r="O522" i="1"/>
  <c r="M522" i="1"/>
  <c r="H524" i="1"/>
  <c r="J524" i="1" s="1"/>
  <c r="G524" i="1"/>
  <c r="I524" i="1" s="1"/>
  <c r="E1024" i="1"/>
  <c r="D1024" i="1" l="1"/>
  <c r="B1024" i="1"/>
  <c r="K524" i="1"/>
  <c r="N524" i="1"/>
  <c r="P523" i="1" s="1"/>
  <c r="L524" i="1"/>
  <c r="F525" i="1" s="1"/>
  <c r="O523" i="1" l="1"/>
  <c r="M523" i="1"/>
  <c r="H525" i="1"/>
  <c r="J525" i="1" s="1"/>
  <c r="G525" i="1"/>
  <c r="I525" i="1" s="1"/>
  <c r="K525" i="1" l="1"/>
  <c r="N525" i="1"/>
  <c r="P524" i="1" s="1"/>
  <c r="L525" i="1"/>
  <c r="F526" i="1" s="1"/>
  <c r="O524" i="1" l="1"/>
  <c r="M524" i="1"/>
  <c r="G526" i="1"/>
  <c r="I526" i="1" s="1"/>
  <c r="H526" i="1"/>
  <c r="J526" i="1" s="1"/>
  <c r="K526" i="1" l="1"/>
  <c r="N526" i="1"/>
  <c r="P525" i="1" s="1"/>
  <c r="L526" i="1"/>
  <c r="F527" i="1" s="1"/>
  <c r="O525" i="1" l="1"/>
  <c r="M525" i="1"/>
  <c r="H527" i="1"/>
  <c r="J527" i="1" s="1"/>
  <c r="N527" i="1" s="1"/>
  <c r="P526" i="1" s="1"/>
  <c r="G527" i="1"/>
  <c r="I527" i="1" s="1"/>
  <c r="O526" i="1" l="1"/>
  <c r="M526" i="1"/>
  <c r="L527" i="1"/>
  <c r="F528" i="1" s="1"/>
  <c r="K527" i="1"/>
  <c r="H528" i="1" l="1"/>
  <c r="J528" i="1" s="1"/>
  <c r="G528" i="1"/>
  <c r="I528" i="1" s="1"/>
  <c r="L528" i="1" l="1"/>
  <c r="F529" i="1" s="1"/>
  <c r="K528" i="1"/>
  <c r="N528" i="1"/>
  <c r="P527" i="1" s="1"/>
  <c r="O527" i="1" l="1"/>
  <c r="M527" i="1"/>
  <c r="H529" i="1"/>
  <c r="J529" i="1" s="1"/>
  <c r="G529" i="1"/>
  <c r="I529" i="1" s="1"/>
  <c r="L529" i="1" l="1"/>
  <c r="F530" i="1" s="1"/>
  <c r="K529" i="1"/>
  <c r="N529" i="1"/>
  <c r="P528" i="1" s="1"/>
  <c r="O528" i="1" l="1"/>
  <c r="M528" i="1"/>
  <c r="H530" i="1"/>
  <c r="J530" i="1" s="1"/>
  <c r="G530" i="1"/>
  <c r="I530" i="1" s="1"/>
  <c r="L530" i="1" l="1"/>
  <c r="F531" i="1" s="1"/>
  <c r="K530" i="1"/>
  <c r="N530" i="1"/>
  <c r="P529" i="1" s="1"/>
  <c r="O529" i="1" l="1"/>
  <c r="M529" i="1"/>
  <c r="G531" i="1"/>
  <c r="I531" i="1" s="1"/>
  <c r="H531" i="1"/>
  <c r="J531" i="1" s="1"/>
  <c r="K531" i="1" l="1"/>
  <c r="N531" i="1"/>
  <c r="P530" i="1" s="1"/>
  <c r="L531" i="1"/>
  <c r="F532" i="1" s="1"/>
  <c r="O530" i="1" l="1"/>
  <c r="M530" i="1"/>
  <c r="G532" i="1"/>
  <c r="I532" i="1" s="1"/>
  <c r="H532" i="1"/>
  <c r="J532" i="1" s="1"/>
  <c r="L532" i="1" l="1"/>
  <c r="F533" i="1" s="1"/>
  <c r="K532" i="1"/>
  <c r="N532" i="1"/>
  <c r="P531" i="1" s="1"/>
  <c r="O531" i="1" l="1"/>
  <c r="M531" i="1"/>
  <c r="G533" i="1"/>
  <c r="I533" i="1" s="1"/>
  <c r="H533" i="1"/>
  <c r="J533" i="1" s="1"/>
  <c r="N533" i="1" s="1"/>
  <c r="P532" i="1" s="1"/>
  <c r="O532" i="1" l="1"/>
  <c r="M532" i="1"/>
  <c r="L533" i="1"/>
  <c r="F534" i="1" s="1"/>
  <c r="K533" i="1"/>
  <c r="G534" i="1" l="1"/>
  <c r="I534" i="1" s="1"/>
  <c r="H534" i="1"/>
  <c r="J534" i="1" s="1"/>
  <c r="N534" i="1" s="1"/>
  <c r="P533" i="1" s="1"/>
  <c r="O533" i="1" l="1"/>
  <c r="M533" i="1"/>
  <c r="L534" i="1"/>
  <c r="F535" i="1" s="1"/>
  <c r="K534" i="1"/>
  <c r="G535" i="1" l="1"/>
  <c r="I535" i="1" s="1"/>
  <c r="H535" i="1"/>
  <c r="J535" i="1" s="1"/>
  <c r="L535" i="1" l="1"/>
  <c r="F536" i="1" s="1"/>
  <c r="N535" i="1"/>
  <c r="P534" i="1" s="1"/>
  <c r="K535" i="1"/>
  <c r="O534" i="1" l="1"/>
  <c r="M534" i="1"/>
  <c r="H536" i="1"/>
  <c r="J536" i="1" s="1"/>
  <c r="N536" i="1" s="1"/>
  <c r="P535" i="1" s="1"/>
  <c r="G536" i="1"/>
  <c r="I536" i="1" s="1"/>
  <c r="O535" i="1" l="1"/>
  <c r="M535" i="1"/>
  <c r="K536" i="1"/>
  <c r="L536" i="1"/>
  <c r="F537" i="1" s="1"/>
  <c r="H537" i="1" l="1"/>
  <c r="J537" i="1" s="1"/>
  <c r="G537" i="1"/>
  <c r="I537" i="1" s="1"/>
  <c r="L537" i="1" l="1"/>
  <c r="F538" i="1" s="1"/>
  <c r="N537" i="1"/>
  <c r="P536" i="1" s="1"/>
  <c r="K537" i="1"/>
  <c r="O536" i="1" l="1"/>
  <c r="M536" i="1"/>
  <c r="H538" i="1"/>
  <c r="J538" i="1" s="1"/>
  <c r="G538" i="1"/>
  <c r="I538" i="1" s="1"/>
  <c r="L538" i="1" l="1"/>
  <c r="F539" i="1" s="1"/>
  <c r="K538" i="1"/>
  <c r="N538" i="1"/>
  <c r="P537" i="1" s="1"/>
  <c r="O537" i="1" l="1"/>
  <c r="M537" i="1"/>
  <c r="H539" i="1"/>
  <c r="J539" i="1" s="1"/>
  <c r="G539" i="1"/>
  <c r="I539" i="1" s="1"/>
  <c r="L539" i="1" l="1"/>
  <c r="F540" i="1" s="1"/>
  <c r="K539" i="1"/>
  <c r="N539" i="1"/>
  <c r="P538" i="1" s="1"/>
  <c r="O538" i="1" l="1"/>
  <c r="M538" i="1"/>
  <c r="G540" i="1"/>
  <c r="I540" i="1" s="1"/>
  <c r="H540" i="1"/>
  <c r="J540" i="1" s="1"/>
  <c r="L540" i="1" l="1"/>
  <c r="F541" i="1" s="1"/>
  <c r="K540" i="1"/>
  <c r="N540" i="1"/>
  <c r="P539" i="1" s="1"/>
  <c r="O539" i="1" l="1"/>
  <c r="M539" i="1"/>
  <c r="H541" i="1"/>
  <c r="J541" i="1" s="1"/>
  <c r="N541" i="1" s="1"/>
  <c r="P540" i="1" s="1"/>
  <c r="G541" i="1"/>
  <c r="I541" i="1" s="1"/>
  <c r="O540" i="1" l="1"/>
  <c r="M540" i="1"/>
  <c r="L541" i="1"/>
  <c r="F542" i="1" s="1"/>
  <c r="K541" i="1"/>
  <c r="H542" i="1" l="1"/>
  <c r="J542" i="1" s="1"/>
  <c r="G542" i="1"/>
  <c r="I542" i="1" s="1"/>
  <c r="N542" i="1" l="1"/>
  <c r="P541" i="1" s="1"/>
  <c r="K542" i="1"/>
  <c r="L542" i="1"/>
  <c r="F543" i="1" s="1"/>
  <c r="O541" i="1" l="1"/>
  <c r="M541" i="1"/>
  <c r="G543" i="1"/>
  <c r="I543" i="1" s="1"/>
  <c r="H543" i="1"/>
  <c r="J543" i="1" s="1"/>
  <c r="K543" i="1" l="1"/>
  <c r="N543" i="1"/>
  <c r="P542" i="1" s="1"/>
  <c r="L543" i="1"/>
  <c r="F544" i="1" s="1"/>
  <c r="O542" i="1" l="1"/>
  <c r="M542" i="1"/>
  <c r="H544" i="1"/>
  <c r="J544" i="1" s="1"/>
  <c r="G544" i="1"/>
  <c r="I544" i="1" s="1"/>
  <c r="L544" i="1" l="1"/>
  <c r="F545" i="1" s="1"/>
  <c r="N544" i="1"/>
  <c r="P543" i="1" s="1"/>
  <c r="K544" i="1"/>
  <c r="O543" i="1" l="1"/>
  <c r="M543" i="1"/>
  <c r="G545" i="1"/>
  <c r="I545" i="1" s="1"/>
  <c r="H545" i="1"/>
  <c r="J545" i="1" s="1"/>
  <c r="K545" i="1" l="1"/>
  <c r="N545" i="1"/>
  <c r="P544" i="1" s="1"/>
  <c r="L545" i="1"/>
  <c r="F546" i="1" s="1"/>
  <c r="O544" i="1" l="1"/>
  <c r="M544" i="1"/>
  <c r="H546" i="1"/>
  <c r="J546" i="1" s="1"/>
  <c r="G546" i="1"/>
  <c r="I546" i="1" s="1"/>
  <c r="L546" i="1" l="1"/>
  <c r="F547" i="1" s="1"/>
  <c r="K546" i="1"/>
  <c r="N546" i="1"/>
  <c r="P545" i="1" s="1"/>
  <c r="O545" i="1" l="1"/>
  <c r="M545" i="1"/>
  <c r="G547" i="1"/>
  <c r="I547" i="1" s="1"/>
  <c r="H547" i="1"/>
  <c r="J547" i="1" s="1"/>
  <c r="L547" i="1" l="1"/>
  <c r="F548" i="1" s="1"/>
  <c r="K547" i="1"/>
  <c r="N547" i="1"/>
  <c r="P546" i="1" s="1"/>
  <c r="O546" i="1" l="1"/>
  <c r="M546" i="1"/>
  <c r="H548" i="1"/>
  <c r="J548" i="1" s="1"/>
  <c r="N548" i="1" s="1"/>
  <c r="P547" i="1" s="1"/>
  <c r="G548" i="1"/>
  <c r="I548" i="1" s="1"/>
  <c r="O547" i="1" l="1"/>
  <c r="M547" i="1"/>
  <c r="L548" i="1"/>
  <c r="F549" i="1" s="1"/>
  <c r="K548" i="1"/>
  <c r="G549" i="1" l="1"/>
  <c r="I549" i="1" s="1"/>
  <c r="H549" i="1"/>
  <c r="J549" i="1" s="1"/>
  <c r="N549" i="1" l="1"/>
  <c r="P548" i="1" s="1"/>
  <c r="K549" i="1"/>
  <c r="L549" i="1"/>
  <c r="F550" i="1" s="1"/>
  <c r="O548" i="1" l="1"/>
  <c r="M548" i="1"/>
  <c r="G550" i="1"/>
  <c r="I550" i="1" s="1"/>
  <c r="H550" i="1"/>
  <c r="J550" i="1" s="1"/>
  <c r="L550" i="1" l="1"/>
  <c r="F551" i="1" s="1"/>
  <c r="K550" i="1"/>
  <c r="N550" i="1"/>
  <c r="P549" i="1" s="1"/>
  <c r="O549" i="1" l="1"/>
  <c r="M549" i="1"/>
  <c r="H551" i="1"/>
  <c r="J551" i="1" s="1"/>
  <c r="N551" i="1" s="1"/>
  <c r="P550" i="1" s="1"/>
  <c r="G551" i="1"/>
  <c r="I551" i="1" s="1"/>
  <c r="O550" i="1" l="1"/>
  <c r="M550" i="1"/>
  <c r="L551" i="1"/>
  <c r="F552" i="1" s="1"/>
  <c r="K551" i="1"/>
  <c r="H552" i="1" l="1"/>
  <c r="J552" i="1" s="1"/>
  <c r="N552" i="1" s="1"/>
  <c r="P551" i="1" s="1"/>
  <c r="G552" i="1"/>
  <c r="I552" i="1" s="1"/>
  <c r="O551" i="1" l="1"/>
  <c r="M551" i="1"/>
  <c r="K552" i="1"/>
  <c r="L552" i="1"/>
  <c r="F553" i="1" s="1"/>
  <c r="H553" i="1" l="1"/>
  <c r="J553" i="1" s="1"/>
  <c r="N553" i="1" s="1"/>
  <c r="P552" i="1" s="1"/>
  <c r="G553" i="1"/>
  <c r="I553" i="1" s="1"/>
  <c r="O552" i="1" l="1"/>
  <c r="K553" i="1"/>
  <c r="M552" i="1"/>
  <c r="L553" i="1"/>
  <c r="F554" i="1" s="1"/>
  <c r="H554" i="1" l="1"/>
  <c r="J554" i="1" s="1"/>
  <c r="N554" i="1" s="1"/>
  <c r="P553" i="1" s="1"/>
  <c r="O553" i="1" s="1"/>
  <c r="G554" i="1"/>
  <c r="I554" i="1" s="1"/>
  <c r="K554" i="1" l="1"/>
  <c r="M553" i="1"/>
  <c r="L554" i="1"/>
  <c r="F555" i="1" s="1"/>
  <c r="G555" i="1" l="1"/>
  <c r="I555" i="1" s="1"/>
  <c r="H555" i="1"/>
  <c r="J555" i="1" s="1"/>
  <c r="K555" i="1" l="1"/>
  <c r="N555" i="1"/>
  <c r="P554" i="1" s="1"/>
  <c r="L555" i="1"/>
  <c r="F556" i="1" s="1"/>
  <c r="O554" i="1" l="1"/>
  <c r="M554" i="1"/>
  <c r="G556" i="1"/>
  <c r="I556" i="1" s="1"/>
  <c r="H556" i="1"/>
  <c r="J556" i="1" s="1"/>
  <c r="L556" i="1" l="1"/>
  <c r="F557" i="1" s="1"/>
  <c r="K556" i="1"/>
  <c r="N556" i="1"/>
  <c r="P555" i="1" s="1"/>
  <c r="O555" i="1" l="1"/>
  <c r="M555" i="1"/>
  <c r="G557" i="1"/>
  <c r="I557" i="1" s="1"/>
  <c r="H557" i="1"/>
  <c r="J557" i="1" s="1"/>
  <c r="L557" i="1" l="1"/>
  <c r="F558" i="1" s="1"/>
  <c r="N557" i="1"/>
  <c r="P556" i="1" s="1"/>
  <c r="K557" i="1"/>
  <c r="O556" i="1" l="1"/>
  <c r="M556" i="1"/>
  <c r="H558" i="1"/>
  <c r="J558" i="1" s="1"/>
  <c r="G558" i="1"/>
  <c r="I558" i="1" s="1"/>
  <c r="N558" i="1" l="1"/>
  <c r="P557" i="1" s="1"/>
  <c r="K558" i="1"/>
  <c r="L558" i="1"/>
  <c r="F559" i="1" s="1"/>
  <c r="O557" i="1" l="1"/>
  <c r="M557" i="1"/>
  <c r="G559" i="1"/>
  <c r="I559" i="1" s="1"/>
  <c r="H559" i="1"/>
  <c r="J559" i="1" s="1"/>
  <c r="L559" i="1" l="1"/>
  <c r="F560" i="1" s="1"/>
  <c r="N559" i="1"/>
  <c r="P558" i="1" s="1"/>
  <c r="K559" i="1"/>
  <c r="O558" i="1" l="1"/>
  <c r="M558" i="1"/>
  <c r="H560" i="1"/>
  <c r="J560" i="1" s="1"/>
  <c r="G560" i="1"/>
  <c r="I560" i="1" s="1"/>
  <c r="N560" i="1" l="1"/>
  <c r="P559" i="1" s="1"/>
  <c r="K560" i="1"/>
  <c r="L560" i="1"/>
  <c r="F561" i="1" s="1"/>
  <c r="O559" i="1" l="1"/>
  <c r="M559" i="1"/>
  <c r="H561" i="1"/>
  <c r="J561" i="1" s="1"/>
  <c r="G561" i="1"/>
  <c r="I561" i="1" s="1"/>
  <c r="N561" i="1" l="1"/>
  <c r="P560" i="1" s="1"/>
  <c r="K561" i="1"/>
  <c r="L561" i="1"/>
  <c r="F562" i="1" s="1"/>
  <c r="O560" i="1" l="1"/>
  <c r="M560" i="1"/>
  <c r="H562" i="1"/>
  <c r="J562" i="1" s="1"/>
  <c r="G562" i="1"/>
  <c r="I562" i="1" s="1"/>
  <c r="K562" i="1" l="1"/>
  <c r="N562" i="1"/>
  <c r="P561" i="1" s="1"/>
  <c r="L562" i="1"/>
  <c r="F563" i="1" s="1"/>
  <c r="O561" i="1" l="1"/>
  <c r="M561" i="1"/>
  <c r="H563" i="1"/>
  <c r="J563" i="1" s="1"/>
  <c r="G563" i="1"/>
  <c r="I563" i="1" s="1"/>
  <c r="N563" i="1" l="1"/>
  <c r="P562" i="1" s="1"/>
  <c r="K563" i="1"/>
  <c r="L563" i="1"/>
  <c r="F564" i="1" s="1"/>
  <c r="O562" i="1" l="1"/>
  <c r="M562" i="1"/>
  <c r="H564" i="1"/>
  <c r="J564" i="1" s="1"/>
  <c r="G564" i="1"/>
  <c r="I564" i="1" s="1"/>
  <c r="K564" i="1" l="1"/>
  <c r="N564" i="1"/>
  <c r="P563" i="1" s="1"/>
  <c r="L564" i="1"/>
  <c r="F565" i="1" s="1"/>
  <c r="O563" i="1" l="1"/>
  <c r="M563" i="1"/>
  <c r="G565" i="1"/>
  <c r="I565" i="1" s="1"/>
  <c r="H565" i="1"/>
  <c r="J565" i="1" s="1"/>
  <c r="L565" i="1" l="1"/>
  <c r="F566" i="1" s="1"/>
  <c r="N565" i="1"/>
  <c r="P564" i="1" s="1"/>
  <c r="K565" i="1"/>
  <c r="O564" i="1" l="1"/>
  <c r="M564" i="1"/>
  <c r="H566" i="1"/>
  <c r="J566" i="1" s="1"/>
  <c r="G566" i="1"/>
  <c r="I566" i="1" s="1"/>
  <c r="K566" i="1" l="1"/>
  <c r="N566" i="1"/>
  <c r="P565" i="1" s="1"/>
  <c r="L566" i="1"/>
  <c r="F567" i="1" s="1"/>
  <c r="O565" i="1" l="1"/>
  <c r="M565" i="1"/>
  <c r="H567" i="1"/>
  <c r="J567" i="1" s="1"/>
  <c r="G567" i="1"/>
  <c r="I567" i="1" s="1"/>
  <c r="N567" i="1" l="1"/>
  <c r="P566" i="1" s="1"/>
  <c r="K567" i="1"/>
  <c r="L567" i="1"/>
  <c r="F568" i="1" s="1"/>
  <c r="O566" i="1" l="1"/>
  <c r="M566" i="1"/>
  <c r="H568" i="1"/>
  <c r="J568" i="1" s="1"/>
  <c r="G568" i="1"/>
  <c r="I568" i="1" s="1"/>
  <c r="N568" i="1" l="1"/>
  <c r="P567" i="1" s="1"/>
  <c r="K568" i="1"/>
  <c r="L568" i="1"/>
  <c r="F569" i="1" s="1"/>
  <c r="O567" i="1" l="1"/>
  <c r="M567" i="1"/>
  <c r="H569" i="1"/>
  <c r="J569" i="1" s="1"/>
  <c r="G569" i="1"/>
  <c r="I569" i="1" s="1"/>
  <c r="N569" i="1" l="1"/>
  <c r="P568" i="1" s="1"/>
  <c r="K569" i="1"/>
  <c r="L569" i="1"/>
  <c r="F570" i="1" s="1"/>
  <c r="O568" i="1" l="1"/>
  <c r="M568" i="1"/>
  <c r="G570" i="1"/>
  <c r="I570" i="1" s="1"/>
  <c r="H570" i="1"/>
  <c r="J570" i="1" s="1"/>
  <c r="L570" i="1" l="1"/>
  <c r="F571" i="1" s="1"/>
  <c r="K570" i="1"/>
  <c r="N570" i="1"/>
  <c r="P569" i="1" s="1"/>
  <c r="O569" i="1" l="1"/>
  <c r="M569" i="1"/>
  <c r="G571" i="1"/>
  <c r="I571" i="1" s="1"/>
  <c r="H571" i="1"/>
  <c r="J571" i="1" s="1"/>
  <c r="L571" i="1" l="1"/>
  <c r="F572" i="1" s="1"/>
  <c r="K571" i="1"/>
  <c r="N571" i="1"/>
  <c r="P570" i="1" s="1"/>
  <c r="O570" i="1" l="1"/>
  <c r="M570" i="1"/>
  <c r="G572" i="1"/>
  <c r="I572" i="1" s="1"/>
  <c r="H572" i="1"/>
  <c r="J572" i="1" s="1"/>
  <c r="L572" i="1" l="1"/>
  <c r="F573" i="1" s="1"/>
  <c r="K572" i="1"/>
  <c r="N572" i="1"/>
  <c r="P571" i="1" s="1"/>
  <c r="O571" i="1" l="1"/>
  <c r="M571" i="1"/>
  <c r="H573" i="1"/>
  <c r="J573" i="1" s="1"/>
  <c r="G573" i="1"/>
  <c r="I573" i="1" s="1"/>
  <c r="N573" i="1" l="1"/>
  <c r="P572" i="1" s="1"/>
  <c r="K573" i="1"/>
  <c r="L573" i="1"/>
  <c r="F574" i="1" s="1"/>
  <c r="O572" i="1" l="1"/>
  <c r="M572" i="1"/>
  <c r="H574" i="1"/>
  <c r="J574" i="1" s="1"/>
  <c r="G574" i="1"/>
  <c r="I574" i="1" s="1"/>
  <c r="N574" i="1" l="1"/>
  <c r="P573" i="1" s="1"/>
  <c r="K574" i="1"/>
  <c r="L574" i="1"/>
  <c r="F575" i="1" s="1"/>
  <c r="O573" i="1" l="1"/>
  <c r="M573" i="1"/>
  <c r="G575" i="1"/>
  <c r="I575" i="1" s="1"/>
  <c r="H575" i="1"/>
  <c r="J575" i="1" s="1"/>
  <c r="L575" i="1" l="1"/>
  <c r="F576" i="1" s="1"/>
  <c r="N575" i="1"/>
  <c r="P574" i="1" s="1"/>
  <c r="K575" i="1"/>
  <c r="O574" i="1" l="1"/>
  <c r="M574" i="1"/>
  <c r="G576" i="1"/>
  <c r="I576" i="1" s="1"/>
  <c r="H576" i="1"/>
  <c r="J576" i="1" s="1"/>
  <c r="L576" i="1" l="1"/>
  <c r="F577" i="1" s="1"/>
  <c r="N576" i="1"/>
  <c r="P575" i="1" s="1"/>
  <c r="K576" i="1"/>
  <c r="O575" i="1" l="1"/>
  <c r="M575" i="1"/>
  <c r="H577" i="1"/>
  <c r="J577" i="1" s="1"/>
  <c r="G577" i="1"/>
  <c r="I577" i="1" s="1"/>
  <c r="N577" i="1" l="1"/>
  <c r="P576" i="1" s="1"/>
  <c r="K577" i="1"/>
  <c r="L577" i="1"/>
  <c r="F578" i="1" s="1"/>
  <c r="O576" i="1" l="1"/>
  <c r="M576" i="1"/>
  <c r="H578" i="1"/>
  <c r="J578" i="1" s="1"/>
  <c r="G578" i="1"/>
  <c r="I578" i="1" s="1"/>
  <c r="N578" i="1" l="1"/>
  <c r="P577" i="1" s="1"/>
  <c r="K578" i="1"/>
  <c r="L578" i="1"/>
  <c r="F579" i="1" s="1"/>
  <c r="O577" i="1" l="1"/>
  <c r="M577" i="1"/>
  <c r="G579" i="1"/>
  <c r="I579" i="1" s="1"/>
  <c r="H579" i="1"/>
  <c r="J579" i="1" s="1"/>
  <c r="L579" i="1" l="1"/>
  <c r="F580" i="1" s="1"/>
  <c r="N579" i="1"/>
  <c r="P578" i="1" s="1"/>
  <c r="K579" i="1"/>
  <c r="O578" i="1" l="1"/>
  <c r="M578" i="1"/>
  <c r="G580" i="1"/>
  <c r="I580" i="1" s="1"/>
  <c r="H580" i="1"/>
  <c r="J580" i="1" s="1"/>
  <c r="N580" i="1" s="1"/>
  <c r="P579" i="1" s="1"/>
  <c r="O579" i="1" l="1"/>
  <c r="M579" i="1"/>
  <c r="L580" i="1"/>
  <c r="F581" i="1" s="1"/>
  <c r="K580" i="1"/>
  <c r="G581" i="1" l="1"/>
  <c r="I581" i="1" s="1"/>
  <c r="H581" i="1"/>
  <c r="J581" i="1" s="1"/>
  <c r="L581" i="1" l="1"/>
  <c r="F582" i="1" s="1"/>
  <c r="K581" i="1"/>
  <c r="N581" i="1"/>
  <c r="P580" i="1" s="1"/>
  <c r="O580" i="1" l="1"/>
  <c r="M580" i="1"/>
  <c r="G582" i="1"/>
  <c r="I582" i="1" s="1"/>
  <c r="H582" i="1"/>
  <c r="J582" i="1" s="1"/>
  <c r="L582" i="1" l="1"/>
  <c r="F583" i="1" s="1"/>
  <c r="K582" i="1"/>
  <c r="N582" i="1"/>
  <c r="P581" i="1" s="1"/>
  <c r="O581" i="1" l="1"/>
  <c r="M581" i="1"/>
  <c r="G583" i="1"/>
  <c r="I583" i="1" s="1"/>
  <c r="H583" i="1"/>
  <c r="J583" i="1" s="1"/>
  <c r="L583" i="1" l="1"/>
  <c r="F584" i="1" s="1"/>
  <c r="N583" i="1"/>
  <c r="P582" i="1" s="1"/>
  <c r="K583" i="1"/>
  <c r="O582" i="1" l="1"/>
  <c r="M582" i="1"/>
  <c r="G584" i="1"/>
  <c r="I584" i="1" s="1"/>
  <c r="H584" i="1"/>
  <c r="J584" i="1" s="1"/>
  <c r="L584" i="1" l="1"/>
  <c r="F585" i="1" s="1"/>
  <c r="N584" i="1"/>
  <c r="P583" i="1" s="1"/>
  <c r="K584" i="1"/>
  <c r="O583" i="1" l="1"/>
  <c r="M583" i="1"/>
  <c r="G585" i="1"/>
  <c r="I585" i="1" s="1"/>
  <c r="H585" i="1"/>
  <c r="J585" i="1" s="1"/>
  <c r="L585" i="1" l="1"/>
  <c r="F586" i="1" s="1"/>
  <c r="N585" i="1"/>
  <c r="P584" i="1" s="1"/>
  <c r="K585" i="1"/>
  <c r="O584" i="1" l="1"/>
  <c r="M584" i="1"/>
  <c r="H586" i="1"/>
  <c r="J586" i="1" s="1"/>
  <c r="G586" i="1"/>
  <c r="I586" i="1" s="1"/>
  <c r="N586" i="1" l="1"/>
  <c r="P585" i="1" s="1"/>
  <c r="K586" i="1"/>
  <c r="L586" i="1"/>
  <c r="F587" i="1" s="1"/>
  <c r="O585" i="1" l="1"/>
  <c r="M585" i="1"/>
  <c r="H587" i="1"/>
  <c r="J587" i="1" s="1"/>
  <c r="G587" i="1"/>
  <c r="I587" i="1" s="1"/>
  <c r="K587" i="1" l="1"/>
  <c r="N587" i="1"/>
  <c r="P586" i="1" s="1"/>
  <c r="L587" i="1"/>
  <c r="F588" i="1" s="1"/>
  <c r="O586" i="1" l="1"/>
  <c r="M586" i="1"/>
  <c r="G588" i="1"/>
  <c r="I588" i="1" s="1"/>
  <c r="H588" i="1"/>
  <c r="J588" i="1" s="1"/>
  <c r="L588" i="1" l="1"/>
  <c r="F589" i="1" s="1"/>
  <c r="K588" i="1"/>
  <c r="N588" i="1"/>
  <c r="P587" i="1" s="1"/>
  <c r="O587" i="1" l="1"/>
  <c r="M587" i="1"/>
  <c r="G589" i="1"/>
  <c r="I589" i="1" s="1"/>
  <c r="H589" i="1"/>
  <c r="J589" i="1" s="1"/>
  <c r="L589" i="1" l="1"/>
  <c r="F590" i="1" s="1"/>
  <c r="N589" i="1"/>
  <c r="P588" i="1" s="1"/>
  <c r="K589" i="1"/>
  <c r="O588" i="1" l="1"/>
  <c r="M588" i="1"/>
  <c r="G590" i="1"/>
  <c r="I590" i="1" s="1"/>
  <c r="H590" i="1"/>
  <c r="J590" i="1" s="1"/>
  <c r="L590" i="1" l="1"/>
  <c r="F591" i="1" s="1"/>
  <c r="N590" i="1"/>
  <c r="P589" i="1" s="1"/>
  <c r="K590" i="1"/>
  <c r="O589" i="1" l="1"/>
  <c r="M589" i="1"/>
  <c r="H591" i="1"/>
  <c r="J591" i="1" s="1"/>
  <c r="N591" i="1" s="1"/>
  <c r="P590" i="1" s="1"/>
  <c r="G591" i="1"/>
  <c r="I591" i="1" s="1"/>
  <c r="O590" i="1" l="1"/>
  <c r="M590" i="1"/>
  <c r="K591" i="1"/>
  <c r="L591" i="1"/>
  <c r="F592" i="1" s="1"/>
  <c r="H592" i="1" l="1"/>
  <c r="J592" i="1" s="1"/>
  <c r="N592" i="1" s="1"/>
  <c r="P591" i="1" s="1"/>
  <c r="G592" i="1"/>
  <c r="I592" i="1" s="1"/>
  <c r="O591" i="1" l="1"/>
  <c r="K592" i="1"/>
  <c r="M591" i="1"/>
  <c r="L592" i="1"/>
  <c r="F593" i="1" s="1"/>
  <c r="H593" i="1" l="1"/>
  <c r="J593" i="1" s="1"/>
  <c r="N593" i="1" s="1"/>
  <c r="P592" i="1" s="1"/>
  <c r="O592" i="1" s="1"/>
  <c r="G593" i="1"/>
  <c r="I593" i="1" s="1"/>
  <c r="M592" i="1" l="1"/>
  <c r="K593" i="1"/>
  <c r="L593" i="1"/>
  <c r="F594" i="1" s="1"/>
  <c r="H594" i="1" l="1"/>
  <c r="J594" i="1" s="1"/>
  <c r="N594" i="1" s="1"/>
  <c r="P593" i="1" s="1"/>
  <c r="O593" i="1" s="1"/>
  <c r="G594" i="1"/>
  <c r="I594" i="1" s="1"/>
  <c r="M593" i="1" l="1"/>
  <c r="K594" i="1"/>
  <c r="L594" i="1"/>
  <c r="F595" i="1" s="1"/>
  <c r="G595" i="1" l="1"/>
  <c r="I595" i="1" s="1"/>
  <c r="H595" i="1"/>
  <c r="J595" i="1" s="1"/>
  <c r="L595" i="1" l="1"/>
  <c r="F596" i="1" s="1"/>
  <c r="N595" i="1"/>
  <c r="P594" i="1" s="1"/>
  <c r="K595" i="1"/>
  <c r="G596" i="1" l="1"/>
  <c r="I596" i="1" s="1"/>
  <c r="O594" i="1"/>
  <c r="M594" i="1"/>
  <c r="H596" i="1"/>
  <c r="J596" i="1" s="1"/>
  <c r="K596" i="1" l="1"/>
  <c r="N596" i="1"/>
  <c r="P595" i="1" s="1"/>
  <c r="L596" i="1"/>
  <c r="F597" i="1" s="1"/>
  <c r="G597" i="1" l="1"/>
  <c r="I597" i="1" s="1"/>
  <c r="O595" i="1"/>
  <c r="M595" i="1"/>
  <c r="H597" i="1"/>
  <c r="J597" i="1" s="1"/>
  <c r="K597" i="1" l="1"/>
  <c r="N597" i="1"/>
  <c r="P596" i="1" s="1"/>
  <c r="L597" i="1"/>
  <c r="F598" i="1" s="1"/>
  <c r="G598" i="1" l="1"/>
  <c r="I598" i="1" s="1"/>
  <c r="O596" i="1"/>
  <c r="M596" i="1"/>
  <c r="H598" i="1"/>
  <c r="J598" i="1" s="1"/>
  <c r="K598" i="1" l="1"/>
  <c r="N598" i="1"/>
  <c r="P597" i="1" s="1"/>
  <c r="L598" i="1"/>
  <c r="F599" i="1" s="1"/>
  <c r="O597" i="1" l="1"/>
  <c r="M597" i="1"/>
  <c r="G599" i="1"/>
  <c r="I599" i="1" s="1"/>
  <c r="H599" i="1"/>
  <c r="J599" i="1" s="1"/>
  <c r="N599" i="1" l="1"/>
  <c r="P598" i="1" s="1"/>
  <c r="K599" i="1"/>
  <c r="L599" i="1"/>
  <c r="F600" i="1" s="1"/>
  <c r="O598" i="1" l="1"/>
  <c r="M598" i="1"/>
  <c r="G600" i="1"/>
  <c r="I600" i="1" s="1"/>
  <c r="H600" i="1"/>
  <c r="J600" i="1" s="1"/>
  <c r="L600" i="1" l="1"/>
  <c r="F601" i="1" s="1"/>
  <c r="K600" i="1"/>
  <c r="N600" i="1"/>
  <c r="P599" i="1" s="1"/>
  <c r="O599" i="1" l="1"/>
  <c r="M599" i="1"/>
  <c r="H601" i="1"/>
  <c r="J601" i="1" s="1"/>
  <c r="G601" i="1"/>
  <c r="I601" i="1" s="1"/>
  <c r="N601" i="1" l="1"/>
  <c r="P600" i="1" s="1"/>
  <c r="K601" i="1"/>
  <c r="L601" i="1"/>
  <c r="F602" i="1" s="1"/>
  <c r="O600" i="1" l="1"/>
  <c r="M600" i="1"/>
  <c r="G602" i="1"/>
  <c r="I602" i="1" s="1"/>
  <c r="H602" i="1"/>
  <c r="J602" i="1" s="1"/>
  <c r="N602" i="1" s="1"/>
  <c r="P601" i="1" s="1"/>
  <c r="O601" i="1" l="1"/>
  <c r="M601" i="1"/>
  <c r="L602" i="1"/>
  <c r="F603" i="1" s="1"/>
  <c r="K602" i="1"/>
  <c r="G603" i="1" l="1"/>
  <c r="I603" i="1" s="1"/>
  <c r="H603" i="1"/>
  <c r="J603" i="1" s="1"/>
  <c r="L603" i="1" l="1"/>
  <c r="F604" i="1" s="1"/>
  <c r="K603" i="1"/>
  <c r="N603" i="1"/>
  <c r="P602" i="1" s="1"/>
  <c r="O602" i="1" l="1"/>
  <c r="M602" i="1"/>
  <c r="H604" i="1"/>
  <c r="J604" i="1" s="1"/>
  <c r="G604" i="1"/>
  <c r="I604" i="1" s="1"/>
  <c r="N604" i="1" l="1"/>
  <c r="P603" i="1" s="1"/>
  <c r="K604" i="1"/>
  <c r="L604" i="1"/>
  <c r="F605" i="1" s="1"/>
  <c r="O603" i="1" l="1"/>
  <c r="M603" i="1"/>
  <c r="H605" i="1"/>
  <c r="J605" i="1" s="1"/>
  <c r="N605" i="1" s="1"/>
  <c r="P604" i="1" s="1"/>
  <c r="G605" i="1"/>
  <c r="I605" i="1" s="1"/>
  <c r="O604" i="1" l="1"/>
  <c r="M604" i="1"/>
  <c r="K605" i="1"/>
  <c r="L605" i="1"/>
  <c r="F606" i="1" s="1"/>
  <c r="H606" i="1" l="1"/>
  <c r="J606" i="1" s="1"/>
  <c r="G606" i="1"/>
  <c r="I606" i="1" s="1"/>
  <c r="N606" i="1" l="1"/>
  <c r="P605" i="1" s="1"/>
  <c r="K606" i="1"/>
  <c r="L606" i="1"/>
  <c r="F607" i="1" s="1"/>
  <c r="O605" i="1" l="1"/>
  <c r="M605" i="1"/>
  <c r="H607" i="1"/>
  <c r="J607" i="1" s="1"/>
  <c r="G607" i="1"/>
  <c r="I607" i="1" s="1"/>
  <c r="N607" i="1" l="1"/>
  <c r="P606" i="1" s="1"/>
  <c r="K607" i="1"/>
  <c r="L607" i="1"/>
  <c r="F608" i="1" s="1"/>
  <c r="O606" i="1" l="1"/>
  <c r="M606" i="1"/>
  <c r="H608" i="1"/>
  <c r="J608" i="1" s="1"/>
  <c r="G608" i="1"/>
  <c r="I608" i="1" s="1"/>
  <c r="K608" i="1" l="1"/>
  <c r="N608" i="1"/>
  <c r="P607" i="1" s="1"/>
  <c r="L608" i="1"/>
  <c r="F609" i="1" s="1"/>
  <c r="O607" i="1" l="1"/>
  <c r="M607" i="1"/>
  <c r="G609" i="1"/>
  <c r="I609" i="1" s="1"/>
  <c r="H609" i="1"/>
  <c r="J609" i="1" s="1"/>
  <c r="K609" i="1" l="1"/>
  <c r="N609" i="1"/>
  <c r="P608" i="1" s="1"/>
  <c r="L609" i="1"/>
  <c r="F610" i="1" s="1"/>
  <c r="O608" i="1" l="1"/>
  <c r="M608" i="1"/>
  <c r="H610" i="1"/>
  <c r="J610" i="1" s="1"/>
  <c r="N610" i="1" s="1"/>
  <c r="P609" i="1" s="1"/>
  <c r="G610" i="1"/>
  <c r="I610" i="1" s="1"/>
  <c r="O609" i="1" l="1"/>
  <c r="M609" i="1"/>
  <c r="L610" i="1"/>
  <c r="F611" i="1" s="1"/>
  <c r="K610" i="1"/>
  <c r="G611" i="1" l="1"/>
  <c r="I611" i="1" s="1"/>
  <c r="H611" i="1"/>
  <c r="J611" i="1" s="1"/>
  <c r="N611" i="1" l="1"/>
  <c r="P610" i="1" s="1"/>
  <c r="K611" i="1"/>
  <c r="L611" i="1"/>
  <c r="F612" i="1" s="1"/>
  <c r="O610" i="1" l="1"/>
  <c r="M610" i="1"/>
  <c r="G612" i="1"/>
  <c r="I612" i="1" s="1"/>
  <c r="H612" i="1"/>
  <c r="J612" i="1" s="1"/>
  <c r="K612" i="1" l="1"/>
  <c r="N612" i="1"/>
  <c r="P611" i="1" s="1"/>
  <c r="L612" i="1"/>
  <c r="F613" i="1" s="1"/>
  <c r="O611" i="1" l="1"/>
  <c r="M611" i="1"/>
  <c r="H613" i="1"/>
  <c r="J613" i="1" s="1"/>
  <c r="G613" i="1"/>
  <c r="I613" i="1" s="1"/>
  <c r="L613" i="1" l="1"/>
  <c r="F614" i="1" s="1"/>
  <c r="K613" i="1"/>
  <c r="N613" i="1"/>
  <c r="P612" i="1" s="1"/>
  <c r="O612" i="1" l="1"/>
  <c r="M612" i="1"/>
  <c r="H614" i="1"/>
  <c r="J614" i="1" s="1"/>
  <c r="G614" i="1"/>
  <c r="I614" i="1" s="1"/>
  <c r="L614" i="1" l="1"/>
  <c r="F615" i="1" s="1"/>
  <c r="N614" i="1"/>
  <c r="P613" i="1" s="1"/>
  <c r="K614" i="1"/>
  <c r="O613" i="1" l="1"/>
  <c r="M613" i="1"/>
  <c r="H615" i="1"/>
  <c r="J615" i="1" s="1"/>
  <c r="G615" i="1"/>
  <c r="I615" i="1" s="1"/>
  <c r="L615" i="1" l="1"/>
  <c r="F616" i="1" s="1"/>
  <c r="N615" i="1"/>
  <c r="P614" i="1" s="1"/>
  <c r="K615" i="1"/>
  <c r="O614" i="1" l="1"/>
  <c r="M614" i="1"/>
  <c r="H616" i="1"/>
  <c r="J616" i="1" s="1"/>
  <c r="G616" i="1"/>
  <c r="I616" i="1" s="1"/>
  <c r="L616" i="1" l="1"/>
  <c r="F617" i="1" s="1"/>
  <c r="N616" i="1"/>
  <c r="P615" i="1" s="1"/>
  <c r="K616" i="1"/>
  <c r="O615" i="1" l="1"/>
  <c r="M615" i="1"/>
  <c r="G617" i="1"/>
  <c r="I617" i="1" s="1"/>
  <c r="H617" i="1"/>
  <c r="J617" i="1" s="1"/>
  <c r="L617" i="1" l="1"/>
  <c r="F618" i="1" s="1"/>
  <c r="K617" i="1"/>
  <c r="N617" i="1"/>
  <c r="P616" i="1" s="1"/>
  <c r="O616" i="1" l="1"/>
  <c r="M616" i="1"/>
  <c r="G618" i="1"/>
  <c r="I618" i="1" s="1"/>
  <c r="H618" i="1"/>
  <c r="J618" i="1" s="1"/>
  <c r="L618" i="1" l="1"/>
  <c r="F619" i="1" s="1"/>
  <c r="K618" i="1"/>
  <c r="N618" i="1"/>
  <c r="P617" i="1" s="1"/>
  <c r="O617" i="1" l="1"/>
  <c r="M617" i="1"/>
  <c r="G619" i="1"/>
  <c r="I619" i="1" s="1"/>
  <c r="H619" i="1"/>
  <c r="J619" i="1" s="1"/>
  <c r="N619" i="1" l="1"/>
  <c r="P618" i="1" s="1"/>
  <c r="K619" i="1"/>
  <c r="L619" i="1"/>
  <c r="F620" i="1" s="1"/>
  <c r="O618" i="1" l="1"/>
  <c r="M618" i="1"/>
  <c r="G620" i="1"/>
  <c r="I620" i="1" s="1"/>
  <c r="H620" i="1"/>
  <c r="J620" i="1" s="1"/>
  <c r="K620" i="1" l="1"/>
  <c r="L620" i="1"/>
  <c r="F621" i="1" s="1"/>
  <c r="N620" i="1"/>
  <c r="P619" i="1" s="1"/>
  <c r="O619" i="1" l="1"/>
  <c r="M619" i="1"/>
  <c r="H621" i="1"/>
  <c r="J621" i="1" s="1"/>
  <c r="G621" i="1"/>
  <c r="I621" i="1" s="1"/>
  <c r="N621" i="1" l="1"/>
  <c r="P620" i="1" s="1"/>
  <c r="K621" i="1"/>
  <c r="L621" i="1"/>
  <c r="F622" i="1" s="1"/>
  <c r="O620" i="1" l="1"/>
  <c r="M620" i="1"/>
  <c r="H622" i="1"/>
  <c r="J622" i="1" s="1"/>
  <c r="G622" i="1"/>
  <c r="I622" i="1" s="1"/>
  <c r="K622" i="1" l="1"/>
  <c r="N622" i="1"/>
  <c r="P621" i="1" s="1"/>
  <c r="L622" i="1"/>
  <c r="F623" i="1" s="1"/>
  <c r="O621" i="1" l="1"/>
  <c r="M621" i="1"/>
  <c r="H623" i="1"/>
  <c r="J623" i="1" s="1"/>
  <c r="G623" i="1"/>
  <c r="I623" i="1" s="1"/>
  <c r="L623" i="1" l="1"/>
  <c r="F624" i="1" s="1"/>
  <c r="N623" i="1"/>
  <c r="P622" i="1" s="1"/>
  <c r="K623" i="1"/>
  <c r="O622" i="1" l="1"/>
  <c r="M622" i="1"/>
  <c r="G624" i="1"/>
  <c r="I624" i="1" s="1"/>
  <c r="H624" i="1"/>
  <c r="J624" i="1" s="1"/>
  <c r="L624" i="1" l="1"/>
  <c r="F625" i="1" s="1"/>
  <c r="N624" i="1"/>
  <c r="P623" i="1" s="1"/>
  <c r="K624" i="1"/>
  <c r="O623" i="1" l="1"/>
  <c r="M623" i="1"/>
  <c r="G625" i="1"/>
  <c r="I625" i="1" s="1"/>
  <c r="H625" i="1"/>
  <c r="J625" i="1" s="1"/>
  <c r="K625" i="1" l="1"/>
  <c r="L625" i="1"/>
  <c r="F626" i="1" s="1"/>
  <c r="N625" i="1"/>
  <c r="P624" i="1" s="1"/>
  <c r="O624" i="1" l="1"/>
  <c r="M624" i="1"/>
  <c r="H626" i="1"/>
  <c r="J626" i="1" s="1"/>
  <c r="G626" i="1"/>
  <c r="I626" i="1" s="1"/>
  <c r="L626" i="1" l="1"/>
  <c r="F627" i="1" s="1"/>
  <c r="N626" i="1"/>
  <c r="P625" i="1" s="1"/>
  <c r="K626" i="1"/>
  <c r="O625" i="1" l="1"/>
  <c r="M625" i="1"/>
  <c r="G627" i="1"/>
  <c r="I627" i="1" s="1"/>
  <c r="H627" i="1"/>
  <c r="J627" i="1" s="1"/>
  <c r="L627" i="1" l="1"/>
  <c r="F628" i="1" s="1"/>
  <c r="K627" i="1"/>
  <c r="N627" i="1"/>
  <c r="P626" i="1" s="1"/>
  <c r="O626" i="1" l="1"/>
  <c r="M626" i="1"/>
  <c r="G628" i="1"/>
  <c r="I628" i="1" s="1"/>
  <c r="H628" i="1"/>
  <c r="J628" i="1" s="1"/>
  <c r="K628" i="1" l="1"/>
  <c r="N628" i="1"/>
  <c r="P627" i="1" s="1"/>
  <c r="L628" i="1"/>
  <c r="F629" i="1" s="1"/>
  <c r="O627" i="1" l="1"/>
  <c r="M627" i="1"/>
  <c r="H629" i="1"/>
  <c r="J629" i="1" s="1"/>
  <c r="N629" i="1" s="1"/>
  <c r="P628" i="1" s="1"/>
  <c r="G629" i="1"/>
  <c r="I629" i="1" s="1"/>
  <c r="O628" i="1" l="1"/>
  <c r="M628" i="1"/>
  <c r="L629" i="1"/>
  <c r="F630" i="1" s="1"/>
  <c r="K629" i="1"/>
  <c r="H630" i="1" l="1"/>
  <c r="J630" i="1" s="1"/>
  <c r="G630" i="1"/>
  <c r="I630" i="1" s="1"/>
  <c r="L630" i="1" l="1"/>
  <c r="F631" i="1" s="1"/>
  <c r="N630" i="1"/>
  <c r="P629" i="1" s="1"/>
  <c r="K630" i="1"/>
  <c r="O629" i="1" l="1"/>
  <c r="M629" i="1"/>
  <c r="H631" i="1"/>
  <c r="J631" i="1" s="1"/>
  <c r="G631" i="1"/>
  <c r="I631" i="1" s="1"/>
  <c r="L631" i="1" l="1"/>
  <c r="F632" i="1" s="1"/>
  <c r="K631" i="1"/>
  <c r="N631" i="1"/>
  <c r="P630" i="1" s="1"/>
  <c r="O630" i="1" l="1"/>
  <c r="M630" i="1"/>
  <c r="H632" i="1"/>
  <c r="J632" i="1" s="1"/>
  <c r="G632" i="1"/>
  <c r="I632" i="1" s="1"/>
  <c r="L632" i="1" l="1"/>
  <c r="F633" i="1" s="1"/>
  <c r="K632" i="1"/>
  <c r="N632" i="1"/>
  <c r="P631" i="1" s="1"/>
  <c r="O631" i="1" l="1"/>
  <c r="M631" i="1"/>
  <c r="G633" i="1"/>
  <c r="I633" i="1" s="1"/>
  <c r="H633" i="1"/>
  <c r="J633" i="1" s="1"/>
  <c r="K633" i="1" l="1"/>
  <c r="N633" i="1"/>
  <c r="P632" i="1" s="1"/>
  <c r="L633" i="1"/>
  <c r="F634" i="1" s="1"/>
  <c r="O632" i="1" l="1"/>
  <c r="M632" i="1"/>
  <c r="G634" i="1"/>
  <c r="I634" i="1" s="1"/>
  <c r="H634" i="1"/>
  <c r="J634" i="1" s="1"/>
  <c r="K634" i="1" l="1"/>
  <c r="N634" i="1"/>
  <c r="P633" i="1" s="1"/>
  <c r="L634" i="1"/>
  <c r="F635" i="1" s="1"/>
  <c r="O633" i="1" l="1"/>
  <c r="M633" i="1"/>
  <c r="H635" i="1"/>
  <c r="J635" i="1" s="1"/>
  <c r="G635" i="1"/>
  <c r="I635" i="1" s="1"/>
  <c r="L635" i="1" l="1"/>
  <c r="F636" i="1" s="1"/>
  <c r="N635" i="1"/>
  <c r="P634" i="1" s="1"/>
  <c r="K635" i="1"/>
  <c r="O634" i="1" l="1"/>
  <c r="M634" i="1"/>
  <c r="H636" i="1"/>
  <c r="J636" i="1" s="1"/>
  <c r="G636" i="1"/>
  <c r="I636" i="1" s="1"/>
  <c r="L636" i="1" l="1"/>
  <c r="F637" i="1" s="1"/>
  <c r="K636" i="1"/>
  <c r="N636" i="1"/>
  <c r="P635" i="1" s="1"/>
  <c r="O635" i="1" l="1"/>
  <c r="M635" i="1"/>
  <c r="G637" i="1"/>
  <c r="I637" i="1" s="1"/>
  <c r="H637" i="1"/>
  <c r="J637" i="1" s="1"/>
  <c r="L637" i="1" l="1"/>
  <c r="F638" i="1" s="1"/>
  <c r="K637" i="1"/>
  <c r="N637" i="1"/>
  <c r="P636" i="1" s="1"/>
  <c r="O636" i="1" l="1"/>
  <c r="M636" i="1"/>
  <c r="G638" i="1"/>
  <c r="I638" i="1" s="1"/>
  <c r="H638" i="1"/>
  <c r="J638" i="1" s="1"/>
  <c r="L638" i="1" l="1"/>
  <c r="F639" i="1" s="1"/>
  <c r="K638" i="1"/>
  <c r="N638" i="1"/>
  <c r="P637" i="1" s="1"/>
  <c r="O637" i="1" l="1"/>
  <c r="M637" i="1"/>
  <c r="H639" i="1"/>
  <c r="J639" i="1" s="1"/>
  <c r="G639" i="1"/>
  <c r="I639" i="1" s="1"/>
  <c r="L639" i="1" l="1"/>
  <c r="F640" i="1" s="1"/>
  <c r="N639" i="1"/>
  <c r="P638" i="1" s="1"/>
  <c r="K639" i="1"/>
  <c r="O638" i="1" l="1"/>
  <c r="M638" i="1"/>
  <c r="G640" i="1"/>
  <c r="I640" i="1" s="1"/>
  <c r="H640" i="1"/>
  <c r="J640" i="1" s="1"/>
  <c r="N640" i="1" l="1"/>
  <c r="P639" i="1" s="1"/>
  <c r="K640" i="1"/>
  <c r="L640" i="1"/>
  <c r="F641" i="1" s="1"/>
  <c r="O639" i="1" l="1"/>
  <c r="M639" i="1"/>
  <c r="G641" i="1"/>
  <c r="I641" i="1" s="1"/>
  <c r="H641" i="1"/>
  <c r="J641" i="1" s="1"/>
  <c r="L641" i="1" l="1"/>
  <c r="F642" i="1" s="1"/>
  <c r="N641" i="1"/>
  <c r="P640" i="1" s="1"/>
  <c r="K641" i="1"/>
  <c r="O640" i="1" l="1"/>
  <c r="M640" i="1"/>
  <c r="G642" i="1"/>
  <c r="I642" i="1" s="1"/>
  <c r="H642" i="1"/>
  <c r="J642" i="1" s="1"/>
  <c r="L642" i="1" l="1"/>
  <c r="F643" i="1" s="1"/>
  <c r="K642" i="1"/>
  <c r="N642" i="1"/>
  <c r="P641" i="1" s="1"/>
  <c r="O641" i="1" l="1"/>
  <c r="M641" i="1"/>
  <c r="G643" i="1"/>
  <c r="I643" i="1" s="1"/>
  <c r="H643" i="1"/>
  <c r="J643" i="1" s="1"/>
  <c r="K643" i="1" l="1"/>
  <c r="N643" i="1"/>
  <c r="P642" i="1" s="1"/>
  <c r="L643" i="1"/>
  <c r="F644" i="1" s="1"/>
  <c r="O642" i="1" l="1"/>
  <c r="M642" i="1"/>
  <c r="G644" i="1"/>
  <c r="I644" i="1" s="1"/>
  <c r="H644" i="1"/>
  <c r="J644" i="1" s="1"/>
  <c r="K644" i="1" l="1"/>
  <c r="N644" i="1"/>
  <c r="P643" i="1" s="1"/>
  <c r="L644" i="1"/>
  <c r="F645" i="1" s="1"/>
  <c r="O643" i="1" l="1"/>
  <c r="M643" i="1"/>
  <c r="G645" i="1"/>
  <c r="I645" i="1" s="1"/>
  <c r="H645" i="1"/>
  <c r="J645" i="1" s="1"/>
  <c r="L645" i="1" l="1"/>
  <c r="F646" i="1" s="1"/>
  <c r="N645" i="1"/>
  <c r="P644" i="1" s="1"/>
  <c r="K645" i="1"/>
  <c r="O644" i="1" l="1"/>
  <c r="M644" i="1"/>
  <c r="G646" i="1"/>
  <c r="I646" i="1" s="1"/>
  <c r="H646" i="1"/>
  <c r="J646" i="1" s="1"/>
  <c r="N646" i="1" l="1"/>
  <c r="P645" i="1" s="1"/>
  <c r="K646" i="1"/>
  <c r="L646" i="1"/>
  <c r="F647" i="1" s="1"/>
  <c r="O645" i="1" l="1"/>
  <c r="M645" i="1"/>
  <c r="G647" i="1"/>
  <c r="I647" i="1" s="1"/>
  <c r="H647" i="1"/>
  <c r="J647" i="1" s="1"/>
  <c r="N647" i="1" l="1"/>
  <c r="P646" i="1" s="1"/>
  <c r="K647" i="1"/>
  <c r="L647" i="1"/>
  <c r="F648" i="1" s="1"/>
  <c r="O646" i="1" l="1"/>
  <c r="M646" i="1"/>
  <c r="G648" i="1"/>
  <c r="I648" i="1" s="1"/>
  <c r="H648" i="1"/>
  <c r="J648" i="1" s="1"/>
  <c r="K648" i="1" l="1"/>
  <c r="N648" i="1"/>
  <c r="P647" i="1" s="1"/>
  <c r="L648" i="1"/>
  <c r="F649" i="1" s="1"/>
  <c r="O647" i="1" l="1"/>
  <c r="M647" i="1"/>
  <c r="G649" i="1"/>
  <c r="I649" i="1" s="1"/>
  <c r="H649" i="1"/>
  <c r="J649" i="1" s="1"/>
  <c r="N649" i="1" l="1"/>
  <c r="P648" i="1" s="1"/>
  <c r="K649" i="1"/>
  <c r="L649" i="1"/>
  <c r="F650" i="1" s="1"/>
  <c r="O648" i="1" l="1"/>
  <c r="M648" i="1"/>
  <c r="H650" i="1"/>
  <c r="J650" i="1" s="1"/>
  <c r="G650" i="1"/>
  <c r="I650" i="1" s="1"/>
  <c r="K650" i="1" l="1"/>
  <c r="N650" i="1"/>
  <c r="P649" i="1" s="1"/>
  <c r="L650" i="1"/>
  <c r="F651" i="1" s="1"/>
  <c r="O649" i="1" l="1"/>
  <c r="M649" i="1"/>
  <c r="G651" i="1"/>
  <c r="I651" i="1" s="1"/>
  <c r="H651" i="1"/>
  <c r="J651" i="1" s="1"/>
  <c r="L651" i="1" l="1"/>
  <c r="F652" i="1" s="1"/>
  <c r="K651" i="1"/>
  <c r="N651" i="1"/>
  <c r="P650" i="1" s="1"/>
  <c r="O650" i="1" l="1"/>
  <c r="M650" i="1"/>
  <c r="H652" i="1"/>
  <c r="J652" i="1" s="1"/>
  <c r="N652" i="1" s="1"/>
  <c r="P651" i="1" s="1"/>
  <c r="G652" i="1"/>
  <c r="I652" i="1" s="1"/>
  <c r="O651" i="1" l="1"/>
  <c r="M651" i="1"/>
  <c r="K652" i="1"/>
  <c r="L652" i="1"/>
  <c r="F653" i="1" s="1"/>
  <c r="H653" i="1" l="1"/>
  <c r="J653" i="1" s="1"/>
  <c r="N653" i="1" s="1"/>
  <c r="P652" i="1" s="1"/>
  <c r="G653" i="1"/>
  <c r="I653" i="1" s="1"/>
  <c r="O652" i="1" l="1"/>
  <c r="M652" i="1"/>
  <c r="K653" i="1"/>
  <c r="L653" i="1"/>
  <c r="F654" i="1" s="1"/>
  <c r="H654" i="1" l="1"/>
  <c r="J654" i="1" s="1"/>
  <c r="G654" i="1"/>
  <c r="I654" i="1" s="1"/>
  <c r="L654" i="1" l="1"/>
  <c r="F655" i="1" s="1"/>
  <c r="N654" i="1"/>
  <c r="P653" i="1" s="1"/>
  <c r="K654" i="1"/>
  <c r="O653" i="1" l="1"/>
  <c r="M653" i="1"/>
  <c r="H655" i="1"/>
  <c r="J655" i="1" s="1"/>
  <c r="G655" i="1"/>
  <c r="I655" i="1" s="1"/>
  <c r="K655" i="1" l="1"/>
  <c r="N655" i="1"/>
  <c r="P654" i="1" s="1"/>
  <c r="L655" i="1"/>
  <c r="F656" i="1" s="1"/>
  <c r="O654" i="1" l="1"/>
  <c r="M654" i="1"/>
  <c r="H656" i="1"/>
  <c r="J656" i="1" s="1"/>
  <c r="G656" i="1"/>
  <c r="I656" i="1" s="1"/>
  <c r="L656" i="1" l="1"/>
  <c r="F657" i="1" s="1"/>
  <c r="N656" i="1"/>
  <c r="P655" i="1" s="1"/>
  <c r="O655" i="1" s="1"/>
  <c r="K656" i="1"/>
  <c r="M655" i="1" l="1"/>
  <c r="G657" i="1"/>
  <c r="I657" i="1" s="1"/>
  <c r="H657" i="1"/>
  <c r="J657" i="1" s="1"/>
  <c r="L657" i="1" l="1"/>
  <c r="F658" i="1" s="1"/>
  <c r="K657" i="1"/>
  <c r="N657" i="1"/>
  <c r="P656" i="1" s="1"/>
  <c r="O656" i="1" s="1"/>
  <c r="M656" i="1" l="1"/>
  <c r="G658" i="1"/>
  <c r="I658" i="1" s="1"/>
  <c r="H658" i="1"/>
  <c r="J658" i="1" s="1"/>
  <c r="K658" i="1" l="1"/>
  <c r="N658" i="1"/>
  <c r="P657" i="1" s="1"/>
  <c r="O657" i="1" s="1"/>
  <c r="L658" i="1"/>
  <c r="F659" i="1" s="1"/>
  <c r="M657" i="1" l="1"/>
  <c r="G659" i="1"/>
  <c r="I659" i="1" s="1"/>
  <c r="H659" i="1"/>
  <c r="J659" i="1" s="1"/>
  <c r="K659" i="1" l="1"/>
  <c r="L659" i="1"/>
  <c r="F660" i="1" s="1"/>
  <c r="N659" i="1"/>
  <c r="P658" i="1" s="1"/>
  <c r="O658" i="1" s="1"/>
  <c r="M658" i="1" l="1"/>
  <c r="H660" i="1"/>
  <c r="J660" i="1" s="1"/>
  <c r="G660" i="1"/>
  <c r="I660" i="1" s="1"/>
  <c r="L660" i="1" l="1"/>
  <c r="F661" i="1" s="1"/>
  <c r="K660" i="1"/>
  <c r="N660" i="1"/>
  <c r="P659" i="1" s="1"/>
  <c r="O659" i="1" s="1"/>
  <c r="M659" i="1" l="1"/>
  <c r="G661" i="1"/>
  <c r="I661" i="1" s="1"/>
  <c r="H661" i="1"/>
  <c r="J661" i="1" s="1"/>
  <c r="N661" i="1" l="1"/>
  <c r="P660" i="1" s="1"/>
  <c r="O660" i="1" s="1"/>
  <c r="K661" i="1"/>
  <c r="L661" i="1"/>
  <c r="F662" i="1" s="1"/>
  <c r="M660" i="1" l="1"/>
  <c r="G662" i="1"/>
  <c r="I662" i="1" s="1"/>
  <c r="H662" i="1"/>
  <c r="J662" i="1" s="1"/>
  <c r="L662" i="1" l="1"/>
  <c r="F663" i="1" s="1"/>
  <c r="N662" i="1"/>
  <c r="P661" i="1" s="1"/>
  <c r="O661" i="1" s="1"/>
  <c r="K662" i="1"/>
  <c r="M661" i="1" l="1"/>
  <c r="H663" i="1"/>
  <c r="J663" i="1" s="1"/>
  <c r="G663" i="1"/>
  <c r="I663" i="1" s="1"/>
  <c r="N663" i="1" l="1"/>
  <c r="P662" i="1" s="1"/>
  <c r="O662" i="1" s="1"/>
  <c r="K663" i="1"/>
  <c r="L663" i="1"/>
  <c r="F664" i="1" s="1"/>
  <c r="M662" i="1" l="1"/>
  <c r="H664" i="1"/>
  <c r="J664" i="1" s="1"/>
  <c r="G664" i="1"/>
  <c r="I664" i="1" s="1"/>
  <c r="K664" i="1" l="1"/>
  <c r="N664" i="1"/>
  <c r="P663" i="1" s="1"/>
  <c r="O663" i="1" s="1"/>
  <c r="L664" i="1"/>
  <c r="F665" i="1" s="1"/>
  <c r="M663" i="1" l="1"/>
  <c r="H665" i="1"/>
  <c r="J665" i="1" s="1"/>
  <c r="G665" i="1"/>
  <c r="I665" i="1" s="1"/>
  <c r="K665" i="1" l="1"/>
  <c r="N665" i="1"/>
  <c r="P664" i="1" s="1"/>
  <c r="O664" i="1" s="1"/>
  <c r="L665" i="1"/>
  <c r="F666" i="1" s="1"/>
  <c r="M664" i="1" l="1"/>
  <c r="H666" i="1"/>
  <c r="J666" i="1" s="1"/>
  <c r="G666" i="1"/>
  <c r="I666" i="1" s="1"/>
  <c r="L666" i="1" l="1"/>
  <c r="F667" i="1" s="1"/>
  <c r="N666" i="1"/>
  <c r="P665" i="1" s="1"/>
  <c r="O665" i="1" s="1"/>
  <c r="K666" i="1"/>
  <c r="M665" i="1" l="1"/>
  <c r="G667" i="1"/>
  <c r="I667" i="1" s="1"/>
  <c r="H667" i="1"/>
  <c r="J667" i="1" s="1"/>
  <c r="L667" i="1" l="1"/>
  <c r="F668" i="1" s="1"/>
  <c r="K667" i="1"/>
  <c r="N667" i="1"/>
  <c r="P666" i="1" s="1"/>
  <c r="O666" i="1" s="1"/>
  <c r="M666" i="1" l="1"/>
  <c r="H668" i="1"/>
  <c r="J668" i="1" s="1"/>
  <c r="N668" i="1" s="1"/>
  <c r="P667" i="1" s="1"/>
  <c r="O667" i="1" s="1"/>
  <c r="G668" i="1"/>
  <c r="I668" i="1" s="1"/>
  <c r="M667" i="1" l="1"/>
  <c r="L668" i="1"/>
  <c r="F669" i="1" s="1"/>
  <c r="K668" i="1"/>
  <c r="G669" i="1" l="1"/>
  <c r="I669" i="1" s="1"/>
  <c r="H669" i="1"/>
  <c r="J669" i="1" s="1"/>
  <c r="N669" i="1" l="1"/>
  <c r="P668" i="1" s="1"/>
  <c r="K669" i="1"/>
  <c r="L669" i="1"/>
  <c r="F670" i="1" s="1"/>
  <c r="O668" i="1" l="1"/>
  <c r="M668" i="1"/>
  <c r="H670" i="1"/>
  <c r="J670" i="1" s="1"/>
  <c r="G670" i="1"/>
  <c r="I670" i="1" s="1"/>
  <c r="L670" i="1" l="1"/>
  <c r="F671" i="1" s="1"/>
  <c r="N670" i="1"/>
  <c r="P669" i="1" s="1"/>
  <c r="K670" i="1"/>
  <c r="O669" i="1" l="1"/>
  <c r="M669" i="1"/>
  <c r="H671" i="1"/>
  <c r="J671" i="1" s="1"/>
  <c r="G671" i="1"/>
  <c r="I671" i="1" s="1"/>
  <c r="K671" i="1" l="1"/>
  <c r="N671" i="1"/>
  <c r="P670" i="1" s="1"/>
  <c r="O670" i="1" s="1"/>
  <c r="L671" i="1"/>
  <c r="F672" i="1" s="1"/>
  <c r="M670" i="1" l="1"/>
  <c r="G672" i="1"/>
  <c r="I672" i="1" s="1"/>
  <c r="H672" i="1"/>
  <c r="J672" i="1" s="1"/>
  <c r="K672" i="1" l="1"/>
  <c r="N672" i="1"/>
  <c r="P671" i="1" s="1"/>
  <c r="O671" i="1" s="1"/>
  <c r="L672" i="1"/>
  <c r="F673" i="1" s="1"/>
  <c r="M671" i="1" l="1"/>
  <c r="H673" i="1"/>
  <c r="J673" i="1" s="1"/>
  <c r="G673" i="1"/>
  <c r="I673" i="1" s="1"/>
  <c r="L673" i="1" l="1"/>
  <c r="F674" i="1" s="1"/>
  <c r="N673" i="1"/>
  <c r="P672" i="1" s="1"/>
  <c r="O672" i="1" s="1"/>
  <c r="K673" i="1"/>
  <c r="M672" i="1" l="1"/>
  <c r="H674" i="1"/>
  <c r="J674" i="1" s="1"/>
  <c r="G674" i="1"/>
  <c r="I674" i="1" s="1"/>
  <c r="L674" i="1" l="1"/>
  <c r="F675" i="1" s="1"/>
  <c r="N674" i="1"/>
  <c r="P673" i="1" s="1"/>
  <c r="O673" i="1" s="1"/>
  <c r="K674" i="1"/>
  <c r="M673" i="1" l="1"/>
  <c r="H675" i="1"/>
  <c r="J675" i="1" s="1"/>
  <c r="G675" i="1"/>
  <c r="I675" i="1" s="1"/>
  <c r="L675" i="1" l="1"/>
  <c r="F676" i="1" s="1"/>
  <c r="K675" i="1"/>
  <c r="N675" i="1"/>
  <c r="P674" i="1" s="1"/>
  <c r="O674" i="1" s="1"/>
  <c r="M674" i="1" l="1"/>
  <c r="H676" i="1"/>
  <c r="J676" i="1" s="1"/>
  <c r="G676" i="1"/>
  <c r="I676" i="1" s="1"/>
  <c r="L676" i="1" l="1"/>
  <c r="F677" i="1" s="1"/>
  <c r="K676" i="1"/>
  <c r="N676" i="1"/>
  <c r="P675" i="1" s="1"/>
  <c r="O675" i="1" s="1"/>
  <c r="M675" i="1" l="1"/>
  <c r="G677" i="1"/>
  <c r="I677" i="1" s="1"/>
  <c r="H677" i="1"/>
  <c r="J677" i="1" s="1"/>
  <c r="N677" i="1" l="1"/>
  <c r="P676" i="1" s="1"/>
  <c r="O676" i="1" s="1"/>
  <c r="K677" i="1"/>
  <c r="L677" i="1"/>
  <c r="F678" i="1" s="1"/>
  <c r="M676" i="1" l="1"/>
  <c r="G678" i="1"/>
  <c r="I678" i="1" s="1"/>
  <c r="H678" i="1"/>
  <c r="J678" i="1" s="1"/>
  <c r="K678" i="1" l="1"/>
  <c r="N678" i="1"/>
  <c r="P677" i="1" s="1"/>
  <c r="O677" i="1" s="1"/>
  <c r="L678" i="1"/>
  <c r="F679" i="1" s="1"/>
  <c r="M677" i="1" l="1"/>
  <c r="G679" i="1"/>
  <c r="I679" i="1" s="1"/>
  <c r="H679" i="1"/>
  <c r="J679" i="1" s="1"/>
  <c r="N679" i="1" l="1"/>
  <c r="P678" i="1" s="1"/>
  <c r="O678" i="1" s="1"/>
  <c r="K679" i="1"/>
  <c r="L679" i="1"/>
  <c r="F680" i="1" s="1"/>
  <c r="M678" i="1" l="1"/>
  <c r="H680" i="1"/>
  <c r="J680" i="1" s="1"/>
  <c r="G680" i="1"/>
  <c r="I680" i="1" s="1"/>
  <c r="L680" i="1" l="1"/>
  <c r="F681" i="1" s="1"/>
  <c r="K680" i="1"/>
  <c r="N680" i="1"/>
  <c r="P679" i="1" s="1"/>
  <c r="O679" i="1" s="1"/>
  <c r="M679" i="1" l="1"/>
  <c r="H681" i="1"/>
  <c r="J681" i="1" s="1"/>
  <c r="G681" i="1"/>
  <c r="I681" i="1" s="1"/>
  <c r="L681" i="1" l="1"/>
  <c r="F682" i="1" s="1"/>
  <c r="N681" i="1"/>
  <c r="P680" i="1" s="1"/>
  <c r="O680" i="1" s="1"/>
  <c r="K681" i="1"/>
  <c r="M680" i="1" l="1"/>
  <c r="G682" i="1"/>
  <c r="I682" i="1" s="1"/>
  <c r="H682" i="1"/>
  <c r="J682" i="1" s="1"/>
  <c r="L682" i="1" l="1"/>
  <c r="F683" i="1" s="1"/>
  <c r="K682" i="1"/>
  <c r="N682" i="1"/>
  <c r="P681" i="1" s="1"/>
  <c r="O681" i="1" s="1"/>
  <c r="M681" i="1" l="1"/>
  <c r="H683" i="1"/>
  <c r="J683" i="1" s="1"/>
  <c r="N683" i="1" s="1"/>
  <c r="P682" i="1" s="1"/>
  <c r="O682" i="1" s="1"/>
  <c r="G683" i="1"/>
  <c r="I683" i="1" s="1"/>
  <c r="M682" i="1" l="1"/>
  <c r="L683" i="1"/>
  <c r="F684" i="1" s="1"/>
  <c r="K683" i="1"/>
  <c r="G684" i="1" l="1"/>
  <c r="I684" i="1" s="1"/>
  <c r="H684" i="1"/>
  <c r="J684" i="1" s="1"/>
  <c r="K684" i="1" l="1"/>
  <c r="N684" i="1"/>
  <c r="P683" i="1" s="1"/>
  <c r="L684" i="1"/>
  <c r="F685" i="1" s="1"/>
  <c r="H685" i="1" l="1"/>
  <c r="J685" i="1" s="1"/>
  <c r="N685" i="1" s="1"/>
  <c r="P684" i="1" s="1"/>
  <c r="O684" i="1" s="1"/>
  <c r="O683" i="1"/>
  <c r="M683" i="1"/>
  <c r="G685" i="1"/>
  <c r="I685" i="1" s="1"/>
  <c r="M684" i="1" l="1"/>
  <c r="K685" i="1"/>
  <c r="L685" i="1"/>
  <c r="F686" i="1" s="1"/>
  <c r="H686" i="1" l="1"/>
  <c r="J686" i="1" s="1"/>
  <c r="G686" i="1"/>
  <c r="I686" i="1" s="1"/>
  <c r="L686" i="1" l="1"/>
  <c r="F687" i="1" s="1"/>
  <c r="K686" i="1"/>
  <c r="N686" i="1"/>
  <c r="P685" i="1" s="1"/>
  <c r="O685" i="1" l="1"/>
  <c r="M685" i="1"/>
  <c r="G687" i="1"/>
  <c r="I687" i="1" s="1"/>
  <c r="H687" i="1"/>
  <c r="J687" i="1" s="1"/>
  <c r="K687" i="1" l="1"/>
  <c r="N687" i="1"/>
  <c r="P686" i="1" s="1"/>
  <c r="L687" i="1"/>
  <c r="F688" i="1" s="1"/>
  <c r="O686" i="1" l="1"/>
  <c r="M686" i="1"/>
  <c r="H688" i="1"/>
  <c r="J688" i="1" s="1"/>
  <c r="G688" i="1"/>
  <c r="I688" i="1" s="1"/>
  <c r="L688" i="1" l="1"/>
  <c r="F689" i="1" s="1"/>
  <c r="N688" i="1"/>
  <c r="P687" i="1" s="1"/>
  <c r="O687" i="1" s="1"/>
  <c r="K688" i="1"/>
  <c r="M687" i="1" l="1"/>
  <c r="H689" i="1"/>
  <c r="J689" i="1" s="1"/>
  <c r="N689" i="1" s="1"/>
  <c r="P688" i="1" s="1"/>
  <c r="O688" i="1" s="1"/>
  <c r="G689" i="1"/>
  <c r="I689" i="1" s="1"/>
  <c r="M688" i="1" l="1"/>
  <c r="L689" i="1"/>
  <c r="F690" i="1" s="1"/>
  <c r="K689" i="1"/>
  <c r="G690" i="1" l="1"/>
  <c r="I690" i="1" s="1"/>
  <c r="H690" i="1"/>
  <c r="J690" i="1" s="1"/>
  <c r="K690" i="1" l="1"/>
  <c r="N690" i="1"/>
  <c r="P689" i="1" s="1"/>
  <c r="L690" i="1"/>
  <c r="F691" i="1" s="1"/>
  <c r="O689" i="1" l="1"/>
  <c r="M689" i="1"/>
  <c r="G691" i="1"/>
  <c r="I691" i="1" s="1"/>
  <c r="H691" i="1"/>
  <c r="J691" i="1" s="1"/>
  <c r="L691" i="1" l="1"/>
  <c r="F692" i="1" s="1"/>
  <c r="K691" i="1"/>
  <c r="N691" i="1"/>
  <c r="P690" i="1" s="1"/>
  <c r="O690" i="1" l="1"/>
  <c r="M690" i="1"/>
  <c r="H692" i="1"/>
  <c r="J692" i="1" s="1"/>
  <c r="N692" i="1" s="1"/>
  <c r="P691" i="1" s="1"/>
  <c r="O691" i="1" s="1"/>
  <c r="G692" i="1"/>
  <c r="I692" i="1" s="1"/>
  <c r="M691" i="1" l="1"/>
  <c r="K692" i="1"/>
  <c r="L692" i="1"/>
  <c r="F693" i="1" s="1"/>
  <c r="H693" i="1" l="1"/>
  <c r="J693" i="1" s="1"/>
  <c r="N693" i="1" s="1"/>
  <c r="P692" i="1" s="1"/>
  <c r="O692" i="1" s="1"/>
  <c r="G693" i="1"/>
  <c r="I693" i="1" s="1"/>
  <c r="M692" i="1" l="1"/>
  <c r="L693" i="1"/>
  <c r="F694" i="1" s="1"/>
  <c r="K693" i="1"/>
  <c r="H694" i="1" l="1"/>
  <c r="J694" i="1" s="1"/>
  <c r="G694" i="1"/>
  <c r="I694" i="1" s="1"/>
  <c r="L694" i="1" l="1"/>
  <c r="F695" i="1" s="1"/>
  <c r="N694" i="1"/>
  <c r="P693" i="1" s="1"/>
  <c r="K694" i="1"/>
  <c r="O693" i="1" l="1"/>
  <c r="M693" i="1"/>
  <c r="H695" i="1"/>
  <c r="J695" i="1" s="1"/>
  <c r="G695" i="1"/>
  <c r="I695" i="1" s="1"/>
  <c r="L695" i="1" l="1"/>
  <c r="F696" i="1" s="1"/>
  <c r="K695" i="1"/>
  <c r="N695" i="1"/>
  <c r="P694" i="1" s="1"/>
  <c r="O694" i="1" l="1"/>
  <c r="M694" i="1"/>
  <c r="G696" i="1"/>
  <c r="I696" i="1" s="1"/>
  <c r="H696" i="1"/>
  <c r="J696" i="1" s="1"/>
  <c r="N696" i="1" l="1"/>
  <c r="P695" i="1" s="1"/>
  <c r="O695" i="1" s="1"/>
  <c r="K696" i="1"/>
  <c r="L696" i="1"/>
  <c r="F697" i="1" s="1"/>
  <c r="M695" i="1" l="1"/>
  <c r="H697" i="1"/>
  <c r="J697" i="1" s="1"/>
  <c r="G697" i="1"/>
  <c r="I697" i="1" s="1"/>
  <c r="L697" i="1" l="1"/>
  <c r="F698" i="1" s="1"/>
  <c r="K697" i="1"/>
  <c r="N697" i="1"/>
  <c r="P696" i="1" s="1"/>
  <c r="O696" i="1" s="1"/>
  <c r="M696" i="1" l="1"/>
  <c r="G698" i="1"/>
  <c r="I698" i="1" s="1"/>
  <c r="H698" i="1"/>
  <c r="J698" i="1" s="1"/>
  <c r="L698" i="1" l="1"/>
  <c r="F699" i="1" s="1"/>
  <c r="K698" i="1"/>
  <c r="N698" i="1"/>
  <c r="P697" i="1" s="1"/>
  <c r="O697" i="1" s="1"/>
  <c r="M697" i="1" l="1"/>
  <c r="G699" i="1"/>
  <c r="I699" i="1" s="1"/>
  <c r="H699" i="1"/>
  <c r="J699" i="1" s="1"/>
  <c r="K699" i="1" l="1"/>
  <c r="N699" i="1"/>
  <c r="P698" i="1" s="1"/>
  <c r="O698" i="1" s="1"/>
  <c r="L699" i="1"/>
  <c r="F700" i="1" s="1"/>
  <c r="M698" i="1" l="1"/>
  <c r="H700" i="1"/>
  <c r="J700" i="1" s="1"/>
  <c r="N700" i="1" s="1"/>
  <c r="P699" i="1" s="1"/>
  <c r="O699" i="1" s="1"/>
  <c r="G700" i="1"/>
  <c r="I700" i="1" s="1"/>
  <c r="M699" i="1" l="1"/>
  <c r="L700" i="1"/>
  <c r="F701" i="1" s="1"/>
  <c r="K700" i="1"/>
  <c r="H701" i="1" l="1"/>
  <c r="J701" i="1" s="1"/>
  <c r="G701" i="1"/>
  <c r="I701" i="1" s="1"/>
  <c r="L701" i="1" l="1"/>
  <c r="F702" i="1" s="1"/>
  <c r="N701" i="1"/>
  <c r="P700" i="1" s="1"/>
  <c r="K701" i="1"/>
  <c r="O700" i="1" l="1"/>
  <c r="M700" i="1"/>
  <c r="G702" i="1"/>
  <c r="I702" i="1" s="1"/>
  <c r="H702" i="1"/>
  <c r="J702" i="1" s="1"/>
  <c r="L702" i="1" l="1"/>
  <c r="F703" i="1" s="1"/>
  <c r="K702" i="1"/>
  <c r="N702" i="1"/>
  <c r="P701" i="1" s="1"/>
  <c r="O701" i="1" l="1"/>
  <c r="M701" i="1"/>
  <c r="H703" i="1"/>
  <c r="J703" i="1" s="1"/>
  <c r="N703" i="1" s="1"/>
  <c r="P702" i="1" s="1"/>
  <c r="O702" i="1" s="1"/>
  <c r="G703" i="1"/>
  <c r="I703" i="1" s="1"/>
  <c r="M702" i="1" l="1"/>
  <c r="L703" i="1"/>
  <c r="F704" i="1" s="1"/>
  <c r="K703" i="1"/>
  <c r="G704" i="1" l="1"/>
  <c r="I704" i="1" s="1"/>
  <c r="H704" i="1"/>
  <c r="J704" i="1" s="1"/>
  <c r="N704" i="1" l="1"/>
  <c r="P703" i="1" s="1"/>
  <c r="K704" i="1"/>
  <c r="L704" i="1"/>
  <c r="F705" i="1" s="1"/>
  <c r="O703" i="1" l="1"/>
  <c r="M703" i="1"/>
  <c r="G705" i="1"/>
  <c r="I705" i="1" s="1"/>
  <c r="H705" i="1"/>
  <c r="J705" i="1" s="1"/>
  <c r="K705" i="1" l="1"/>
  <c r="N705" i="1"/>
  <c r="P704" i="1" s="1"/>
  <c r="L705" i="1"/>
  <c r="F706" i="1" s="1"/>
  <c r="O704" i="1" l="1"/>
  <c r="M704" i="1"/>
  <c r="G706" i="1"/>
  <c r="I706" i="1" s="1"/>
  <c r="H706" i="1"/>
  <c r="J706" i="1" s="1"/>
  <c r="L706" i="1" l="1"/>
  <c r="F707" i="1" s="1"/>
  <c r="K706" i="1"/>
  <c r="N706" i="1"/>
  <c r="P705" i="1" s="1"/>
  <c r="O705" i="1" s="1"/>
  <c r="M705" i="1" l="1"/>
  <c r="H707" i="1"/>
  <c r="J707" i="1" s="1"/>
  <c r="N707" i="1" s="1"/>
  <c r="P706" i="1" s="1"/>
  <c r="O706" i="1" s="1"/>
  <c r="G707" i="1"/>
  <c r="I707" i="1" s="1"/>
  <c r="M706" i="1" l="1"/>
  <c r="L707" i="1"/>
  <c r="F708" i="1" s="1"/>
  <c r="K707" i="1"/>
  <c r="G708" i="1" l="1"/>
  <c r="I708" i="1" s="1"/>
  <c r="H708" i="1"/>
  <c r="J708" i="1" s="1"/>
  <c r="L708" i="1" l="1"/>
  <c r="F709" i="1" s="1"/>
  <c r="N708" i="1"/>
  <c r="P707" i="1" s="1"/>
  <c r="K708" i="1"/>
  <c r="O707" i="1" l="1"/>
  <c r="M707" i="1"/>
  <c r="G709" i="1"/>
  <c r="I709" i="1" s="1"/>
  <c r="H709" i="1"/>
  <c r="J709" i="1" s="1"/>
  <c r="K709" i="1" l="1"/>
  <c r="L709" i="1"/>
  <c r="F710" i="1" s="1"/>
  <c r="N709" i="1"/>
  <c r="P708" i="1" s="1"/>
  <c r="O708" i="1" l="1"/>
  <c r="M708" i="1"/>
  <c r="H710" i="1"/>
  <c r="J710" i="1" s="1"/>
  <c r="G710" i="1"/>
  <c r="I710" i="1" s="1"/>
  <c r="L710" i="1" l="1"/>
  <c r="F711" i="1" s="1"/>
  <c r="N710" i="1"/>
  <c r="P709" i="1" s="1"/>
  <c r="O709" i="1" s="1"/>
  <c r="K710" i="1"/>
  <c r="M709" i="1" l="1"/>
  <c r="G711" i="1"/>
  <c r="I711" i="1" s="1"/>
  <c r="H711" i="1"/>
  <c r="J711" i="1" s="1"/>
  <c r="L711" i="1" l="1"/>
  <c r="F712" i="1" s="1"/>
  <c r="K711" i="1"/>
  <c r="N711" i="1"/>
  <c r="P710" i="1" s="1"/>
  <c r="O710" i="1" s="1"/>
  <c r="M710" i="1" l="1"/>
  <c r="H712" i="1"/>
  <c r="J712" i="1" s="1"/>
  <c r="G712" i="1"/>
  <c r="I712" i="1" s="1"/>
  <c r="L712" i="1" l="1"/>
  <c r="F713" i="1" s="1"/>
  <c r="K712" i="1"/>
  <c r="N712" i="1"/>
  <c r="P711" i="1" s="1"/>
  <c r="O711" i="1" s="1"/>
  <c r="M711" i="1" l="1"/>
  <c r="H713" i="1"/>
  <c r="J713" i="1" s="1"/>
  <c r="G713" i="1"/>
  <c r="I713" i="1" s="1"/>
  <c r="L713" i="1" l="1"/>
  <c r="F714" i="1" s="1"/>
  <c r="K713" i="1"/>
  <c r="N713" i="1"/>
  <c r="P712" i="1" s="1"/>
  <c r="O712" i="1" s="1"/>
  <c r="M712" i="1" l="1"/>
  <c r="G714" i="1"/>
  <c r="I714" i="1" s="1"/>
  <c r="H714" i="1"/>
  <c r="J714" i="1" s="1"/>
  <c r="L714" i="1" l="1"/>
  <c r="F715" i="1" s="1"/>
  <c r="N714" i="1"/>
  <c r="P713" i="1" s="1"/>
  <c r="O713" i="1" s="1"/>
  <c r="K714" i="1"/>
  <c r="M713" i="1" l="1"/>
  <c r="H715" i="1"/>
  <c r="J715" i="1" s="1"/>
  <c r="N715" i="1" s="1"/>
  <c r="P714" i="1" s="1"/>
  <c r="O714" i="1" s="1"/>
  <c r="G715" i="1"/>
  <c r="I715" i="1" s="1"/>
  <c r="M714" i="1" l="1"/>
  <c r="L715" i="1"/>
  <c r="F716" i="1" s="1"/>
  <c r="K715" i="1"/>
  <c r="H716" i="1" l="1"/>
  <c r="J716" i="1" s="1"/>
  <c r="N716" i="1" s="1"/>
  <c r="P715" i="1" s="1"/>
  <c r="O715" i="1" s="1"/>
  <c r="G716" i="1"/>
  <c r="I716" i="1" s="1"/>
  <c r="M715" i="1" l="1"/>
  <c r="L716" i="1"/>
  <c r="F717" i="1" s="1"/>
  <c r="K716" i="1"/>
  <c r="G717" i="1" l="1"/>
  <c r="I717" i="1" s="1"/>
  <c r="H717" i="1"/>
  <c r="J717" i="1" s="1"/>
  <c r="N717" i="1" l="1"/>
  <c r="P716" i="1" s="1"/>
  <c r="K717" i="1"/>
  <c r="L717" i="1"/>
  <c r="F718" i="1" s="1"/>
  <c r="O716" i="1" l="1"/>
  <c r="M716" i="1"/>
  <c r="H718" i="1"/>
  <c r="J718" i="1" s="1"/>
  <c r="G718" i="1"/>
  <c r="I718" i="1" s="1"/>
  <c r="L718" i="1" l="1"/>
  <c r="F719" i="1" s="1"/>
  <c r="K718" i="1"/>
  <c r="N718" i="1"/>
  <c r="P717" i="1" s="1"/>
  <c r="O717" i="1" l="1"/>
  <c r="M717" i="1"/>
  <c r="G719" i="1"/>
  <c r="I719" i="1" s="1"/>
  <c r="H719" i="1"/>
  <c r="J719" i="1" s="1"/>
  <c r="K719" i="1" l="1"/>
  <c r="N719" i="1"/>
  <c r="P718" i="1" s="1"/>
  <c r="O718" i="1" s="1"/>
  <c r="L719" i="1"/>
  <c r="F720" i="1" s="1"/>
  <c r="M718" i="1" l="1"/>
  <c r="G720" i="1"/>
  <c r="I720" i="1" s="1"/>
  <c r="H720" i="1"/>
  <c r="J720" i="1" s="1"/>
  <c r="K720" i="1" l="1"/>
  <c r="N720" i="1"/>
  <c r="P719" i="1" s="1"/>
  <c r="O719" i="1" s="1"/>
  <c r="L720" i="1"/>
  <c r="F721" i="1" s="1"/>
  <c r="M719" i="1" l="1"/>
  <c r="G721" i="1"/>
  <c r="I721" i="1" s="1"/>
  <c r="H721" i="1"/>
  <c r="J721" i="1" s="1"/>
  <c r="K721" i="1" l="1"/>
  <c r="N721" i="1"/>
  <c r="P720" i="1" s="1"/>
  <c r="O720" i="1" s="1"/>
  <c r="L721" i="1"/>
  <c r="F722" i="1" s="1"/>
  <c r="M720" i="1" l="1"/>
  <c r="H722" i="1"/>
  <c r="J722" i="1" s="1"/>
  <c r="G722" i="1"/>
  <c r="I722" i="1" s="1"/>
  <c r="L722" i="1" l="1"/>
  <c r="F723" i="1" s="1"/>
  <c r="K722" i="1"/>
  <c r="N722" i="1"/>
  <c r="P721" i="1" s="1"/>
  <c r="O721" i="1" s="1"/>
  <c r="M721" i="1" l="1"/>
  <c r="G723" i="1"/>
  <c r="I723" i="1" s="1"/>
  <c r="H723" i="1"/>
  <c r="J723" i="1" s="1"/>
  <c r="L723" i="1" l="1"/>
  <c r="F724" i="1" s="1"/>
  <c r="K723" i="1"/>
  <c r="N723" i="1"/>
  <c r="P722" i="1" s="1"/>
  <c r="O722" i="1" s="1"/>
  <c r="M722" i="1" l="1"/>
  <c r="H724" i="1"/>
  <c r="J724" i="1" s="1"/>
  <c r="N724" i="1" s="1"/>
  <c r="P723" i="1" s="1"/>
  <c r="O723" i="1" s="1"/>
  <c r="G724" i="1"/>
  <c r="I724" i="1" s="1"/>
  <c r="M723" i="1" l="1"/>
  <c r="L724" i="1"/>
  <c r="F725" i="1" s="1"/>
  <c r="K724" i="1"/>
  <c r="G725" i="1" l="1"/>
  <c r="I725" i="1" s="1"/>
  <c r="H725" i="1"/>
  <c r="J725" i="1" s="1"/>
  <c r="L725" i="1" l="1"/>
  <c r="F726" i="1" s="1"/>
  <c r="N725" i="1"/>
  <c r="P724" i="1" s="1"/>
  <c r="K725" i="1"/>
  <c r="G726" i="1" l="1"/>
  <c r="I726" i="1" s="1"/>
  <c r="O724" i="1"/>
  <c r="M724" i="1"/>
  <c r="H726" i="1"/>
  <c r="J726" i="1" s="1"/>
  <c r="K726" i="1" l="1"/>
  <c r="L726" i="1"/>
  <c r="F727" i="1" s="1"/>
  <c r="N726" i="1"/>
  <c r="P725" i="1" s="1"/>
  <c r="O725" i="1" l="1"/>
  <c r="M725" i="1"/>
  <c r="G727" i="1"/>
  <c r="I727" i="1" s="1"/>
  <c r="H727" i="1"/>
  <c r="J727" i="1" s="1"/>
  <c r="N727" i="1" l="1"/>
  <c r="P726" i="1" s="1"/>
  <c r="O726" i="1" s="1"/>
  <c r="K727" i="1"/>
  <c r="L727" i="1"/>
  <c r="F728" i="1" s="1"/>
  <c r="M726" i="1" l="1"/>
  <c r="G728" i="1"/>
  <c r="I728" i="1" s="1"/>
  <c r="H728" i="1"/>
  <c r="J728" i="1" s="1"/>
  <c r="K728" i="1" l="1"/>
  <c r="N728" i="1"/>
  <c r="P727" i="1" s="1"/>
  <c r="O727" i="1" s="1"/>
  <c r="L728" i="1"/>
  <c r="F729" i="1" s="1"/>
  <c r="M727" i="1" l="1"/>
  <c r="G729" i="1"/>
  <c r="I729" i="1" s="1"/>
  <c r="H729" i="1"/>
  <c r="J729" i="1" s="1"/>
  <c r="K729" i="1" l="1"/>
  <c r="N729" i="1"/>
  <c r="P728" i="1" s="1"/>
  <c r="O728" i="1" s="1"/>
  <c r="L729" i="1"/>
  <c r="F730" i="1" s="1"/>
  <c r="M728" i="1" l="1"/>
  <c r="G730" i="1"/>
  <c r="I730" i="1" s="1"/>
  <c r="H730" i="1"/>
  <c r="J730" i="1" s="1"/>
  <c r="K730" i="1" l="1"/>
  <c r="N730" i="1"/>
  <c r="P729" i="1" s="1"/>
  <c r="O729" i="1" s="1"/>
  <c r="L730" i="1"/>
  <c r="F731" i="1" s="1"/>
  <c r="M729" i="1" l="1"/>
  <c r="G731" i="1"/>
  <c r="I731" i="1" s="1"/>
  <c r="H731" i="1"/>
  <c r="J731" i="1" s="1"/>
  <c r="L731" i="1" l="1"/>
  <c r="F732" i="1" s="1"/>
  <c r="K731" i="1"/>
  <c r="N731" i="1"/>
  <c r="P730" i="1" s="1"/>
  <c r="O730" i="1" s="1"/>
  <c r="M730" i="1" l="1"/>
  <c r="G732" i="1"/>
  <c r="I732" i="1" s="1"/>
  <c r="H732" i="1"/>
  <c r="J732" i="1" s="1"/>
  <c r="K732" i="1" l="1"/>
  <c r="N732" i="1"/>
  <c r="P731" i="1" s="1"/>
  <c r="O731" i="1" s="1"/>
  <c r="L732" i="1"/>
  <c r="F733" i="1" s="1"/>
  <c r="M731" i="1" l="1"/>
  <c r="H733" i="1"/>
  <c r="J733" i="1" s="1"/>
  <c r="N733" i="1" s="1"/>
  <c r="P732" i="1" s="1"/>
  <c r="O732" i="1" s="1"/>
  <c r="G733" i="1"/>
  <c r="I733" i="1" s="1"/>
  <c r="M732" i="1" l="1"/>
  <c r="L733" i="1"/>
  <c r="F734" i="1" s="1"/>
  <c r="K733" i="1"/>
  <c r="H734" i="1" l="1"/>
  <c r="J734" i="1" s="1"/>
  <c r="G734" i="1"/>
  <c r="I734" i="1" s="1"/>
  <c r="L734" i="1" l="1"/>
  <c r="F735" i="1" s="1"/>
  <c r="N734" i="1"/>
  <c r="P733" i="1" s="1"/>
  <c r="K734" i="1"/>
  <c r="O733" i="1" l="1"/>
  <c r="M733" i="1"/>
  <c r="H735" i="1"/>
  <c r="J735" i="1" s="1"/>
  <c r="G735" i="1"/>
  <c r="I735" i="1" s="1"/>
  <c r="K735" i="1" l="1"/>
  <c r="N735" i="1"/>
  <c r="P734" i="1" s="1"/>
  <c r="L735" i="1"/>
  <c r="F736" i="1" s="1"/>
  <c r="O734" i="1" l="1"/>
  <c r="M734" i="1"/>
  <c r="G736" i="1"/>
  <c r="I736" i="1" s="1"/>
  <c r="H736" i="1"/>
  <c r="J736" i="1" s="1"/>
  <c r="K736" i="1" l="1"/>
  <c r="L736" i="1"/>
  <c r="F737" i="1" s="1"/>
  <c r="N736" i="1"/>
  <c r="P735" i="1" s="1"/>
  <c r="O735" i="1" s="1"/>
  <c r="M735" i="1" l="1"/>
  <c r="H737" i="1"/>
  <c r="J737" i="1" s="1"/>
  <c r="G737" i="1"/>
  <c r="I737" i="1" s="1"/>
  <c r="L737" i="1" l="1"/>
  <c r="F738" i="1" s="1"/>
  <c r="K737" i="1"/>
  <c r="N737" i="1"/>
  <c r="P736" i="1" s="1"/>
  <c r="O736" i="1" s="1"/>
  <c r="M736" i="1" l="1"/>
  <c r="H738" i="1"/>
  <c r="J738" i="1" s="1"/>
  <c r="G738" i="1"/>
  <c r="I738" i="1" s="1"/>
  <c r="L738" i="1" l="1"/>
  <c r="F739" i="1" s="1"/>
  <c r="K738" i="1"/>
  <c r="N738" i="1"/>
  <c r="P737" i="1" s="1"/>
  <c r="O737" i="1" s="1"/>
  <c r="M737" i="1" l="1"/>
  <c r="H739" i="1"/>
  <c r="J739" i="1" s="1"/>
  <c r="G739" i="1"/>
  <c r="I739" i="1" s="1"/>
  <c r="L739" i="1" l="1"/>
  <c r="F740" i="1" s="1"/>
  <c r="K739" i="1"/>
  <c r="N739" i="1"/>
  <c r="P738" i="1" s="1"/>
  <c r="O738" i="1" s="1"/>
  <c r="M738" i="1" l="1"/>
  <c r="H740" i="1"/>
  <c r="J740" i="1" s="1"/>
  <c r="G740" i="1"/>
  <c r="I740" i="1" s="1"/>
  <c r="L740" i="1" l="1"/>
  <c r="F741" i="1" s="1"/>
  <c r="K740" i="1"/>
  <c r="N740" i="1"/>
  <c r="P739" i="1" s="1"/>
  <c r="O739" i="1" s="1"/>
  <c r="M739" i="1" l="1"/>
  <c r="G741" i="1"/>
  <c r="I741" i="1" s="1"/>
  <c r="H741" i="1"/>
  <c r="J741" i="1" s="1"/>
  <c r="L741" i="1" l="1"/>
  <c r="F742" i="1" s="1"/>
  <c r="K741" i="1"/>
  <c r="N741" i="1"/>
  <c r="P740" i="1" s="1"/>
  <c r="O740" i="1" s="1"/>
  <c r="M740" i="1" l="1"/>
  <c r="G742" i="1"/>
  <c r="I742" i="1" s="1"/>
  <c r="H742" i="1"/>
  <c r="J742" i="1" s="1"/>
  <c r="K742" i="1" l="1"/>
  <c r="L742" i="1"/>
  <c r="F743" i="1" s="1"/>
  <c r="N742" i="1"/>
  <c r="P741" i="1" s="1"/>
  <c r="O741" i="1" s="1"/>
  <c r="M741" i="1" l="1"/>
  <c r="G743" i="1"/>
  <c r="I743" i="1" s="1"/>
  <c r="H743" i="1"/>
  <c r="J743" i="1" s="1"/>
  <c r="N743" i="1" l="1"/>
  <c r="P742" i="1" s="1"/>
  <c r="O742" i="1" s="1"/>
  <c r="K743" i="1"/>
  <c r="L743" i="1"/>
  <c r="F744" i="1" s="1"/>
  <c r="M742" i="1" l="1"/>
  <c r="H744" i="1"/>
  <c r="J744" i="1" s="1"/>
  <c r="G744" i="1"/>
  <c r="I744" i="1" s="1"/>
  <c r="L744" i="1" l="1"/>
  <c r="F745" i="1" s="1"/>
  <c r="K744" i="1"/>
  <c r="N744" i="1"/>
  <c r="P743" i="1" s="1"/>
  <c r="O743" i="1" s="1"/>
  <c r="M743" i="1" l="1"/>
  <c r="G745" i="1"/>
  <c r="I745" i="1" s="1"/>
  <c r="H745" i="1"/>
  <c r="J745" i="1" s="1"/>
  <c r="L745" i="1" l="1"/>
  <c r="F746" i="1" s="1"/>
  <c r="K745" i="1"/>
  <c r="N745" i="1"/>
  <c r="P744" i="1" s="1"/>
  <c r="O744" i="1" l="1"/>
  <c r="M744" i="1"/>
  <c r="H746" i="1"/>
  <c r="J746" i="1" s="1"/>
  <c r="N746" i="1" s="1"/>
  <c r="P745" i="1" s="1"/>
  <c r="O745" i="1" s="1"/>
  <c r="G746" i="1"/>
  <c r="I746" i="1" s="1"/>
  <c r="M745" i="1" l="1"/>
  <c r="L746" i="1"/>
  <c r="F747" i="1" s="1"/>
  <c r="K746" i="1"/>
  <c r="H747" i="1" l="1"/>
  <c r="J747" i="1" s="1"/>
  <c r="N747" i="1" s="1"/>
  <c r="P746" i="1" s="1"/>
  <c r="O746" i="1" s="1"/>
  <c r="G747" i="1"/>
  <c r="I747" i="1" s="1"/>
  <c r="M746" i="1" l="1"/>
  <c r="K747" i="1"/>
  <c r="L747" i="1"/>
  <c r="F748" i="1" s="1"/>
  <c r="G748" i="1" l="1"/>
  <c r="I748" i="1" s="1"/>
  <c r="H748" i="1"/>
  <c r="J748" i="1" s="1"/>
  <c r="N748" i="1" l="1"/>
  <c r="P747" i="1" s="1"/>
  <c r="K748" i="1"/>
  <c r="L748" i="1"/>
  <c r="F749" i="1" s="1"/>
  <c r="O747" i="1" l="1"/>
  <c r="M747" i="1"/>
  <c r="H749" i="1"/>
  <c r="J749" i="1" s="1"/>
  <c r="G749" i="1"/>
  <c r="I749" i="1" s="1"/>
  <c r="L749" i="1" l="1"/>
  <c r="F750" i="1" s="1"/>
  <c r="K749" i="1"/>
  <c r="N749" i="1"/>
  <c r="P748" i="1" s="1"/>
  <c r="O748" i="1" l="1"/>
  <c r="M748" i="1"/>
  <c r="H750" i="1"/>
  <c r="J750" i="1" s="1"/>
  <c r="G750" i="1"/>
  <c r="I750" i="1" s="1"/>
  <c r="K750" i="1" l="1"/>
  <c r="N750" i="1"/>
  <c r="P749" i="1" s="1"/>
  <c r="O749" i="1" s="1"/>
  <c r="L750" i="1"/>
  <c r="F751" i="1" s="1"/>
  <c r="M749" i="1" l="1"/>
  <c r="G751" i="1"/>
  <c r="I751" i="1" s="1"/>
  <c r="H751" i="1"/>
  <c r="J751" i="1" s="1"/>
  <c r="K751" i="1" l="1"/>
  <c r="N751" i="1"/>
  <c r="P750" i="1" s="1"/>
  <c r="O750" i="1" s="1"/>
  <c r="L751" i="1"/>
  <c r="F752" i="1" s="1"/>
  <c r="M750" i="1" l="1"/>
  <c r="G752" i="1"/>
  <c r="I752" i="1" s="1"/>
  <c r="H752" i="1"/>
  <c r="J752" i="1" s="1"/>
  <c r="L752" i="1" l="1"/>
  <c r="F753" i="1" s="1"/>
  <c r="K752" i="1"/>
  <c r="N752" i="1"/>
  <c r="P751" i="1" s="1"/>
  <c r="O751" i="1" s="1"/>
  <c r="M751" i="1" l="1"/>
  <c r="H753" i="1"/>
  <c r="J753" i="1" s="1"/>
  <c r="N753" i="1" s="1"/>
  <c r="P752" i="1" s="1"/>
  <c r="O752" i="1" s="1"/>
  <c r="G753" i="1"/>
  <c r="I753" i="1" s="1"/>
  <c r="M752" i="1" l="1"/>
  <c r="L753" i="1"/>
  <c r="F754" i="1" s="1"/>
  <c r="K753" i="1"/>
  <c r="G754" i="1" l="1"/>
  <c r="I754" i="1" s="1"/>
  <c r="H754" i="1"/>
  <c r="J754" i="1" s="1"/>
  <c r="K754" i="1" l="1"/>
  <c r="L754" i="1"/>
  <c r="F755" i="1" s="1"/>
  <c r="N754" i="1"/>
  <c r="P753" i="1" s="1"/>
  <c r="H755" i="1" l="1"/>
  <c r="J755" i="1" s="1"/>
  <c r="N755" i="1" s="1"/>
  <c r="P754" i="1" s="1"/>
  <c r="O754" i="1" s="1"/>
  <c r="G755" i="1"/>
  <c r="I755" i="1" s="1"/>
  <c r="O753" i="1"/>
  <c r="M753" i="1"/>
  <c r="K755" i="1" l="1"/>
  <c r="L755" i="1"/>
  <c r="F756" i="1" s="1"/>
  <c r="M754" i="1"/>
  <c r="G756" i="1" l="1"/>
  <c r="I756" i="1" s="1"/>
  <c r="H756" i="1"/>
  <c r="J756" i="1" s="1"/>
  <c r="N756" i="1" s="1"/>
  <c r="P755" i="1" s="1"/>
  <c r="O755" i="1" s="1"/>
  <c r="M755" i="1" l="1"/>
  <c r="L756" i="1"/>
  <c r="F757" i="1" s="1"/>
  <c r="K756" i="1"/>
  <c r="H757" i="1" l="1"/>
  <c r="J757" i="1" s="1"/>
  <c r="N757" i="1" s="1"/>
  <c r="P756" i="1" s="1"/>
  <c r="G757" i="1"/>
  <c r="I757" i="1" s="1"/>
  <c r="K757" i="1" l="1"/>
  <c r="L757" i="1"/>
  <c r="F758" i="1" s="1"/>
  <c r="O756" i="1"/>
  <c r="M756" i="1"/>
  <c r="H758" i="1" l="1"/>
  <c r="J758" i="1" s="1"/>
  <c r="G758" i="1"/>
  <c r="I758" i="1" s="1"/>
  <c r="L758" i="1" l="1"/>
  <c r="F759" i="1" s="1"/>
  <c r="N758" i="1"/>
  <c r="P757" i="1" s="1"/>
  <c r="K758" i="1"/>
  <c r="G759" i="1" l="1"/>
  <c r="I759" i="1" s="1"/>
  <c r="O757" i="1"/>
  <c r="M757" i="1"/>
  <c r="H759" i="1"/>
  <c r="J759" i="1" s="1"/>
  <c r="K759" i="1" l="1"/>
  <c r="L759" i="1"/>
  <c r="F760" i="1" s="1"/>
  <c r="N759" i="1"/>
  <c r="P758" i="1" s="1"/>
  <c r="H760" i="1" l="1"/>
  <c r="J760" i="1" s="1"/>
  <c r="G760" i="1"/>
  <c r="I760" i="1" s="1"/>
  <c r="O758" i="1"/>
  <c r="M758" i="1"/>
  <c r="L760" i="1" l="1"/>
  <c r="F761" i="1" s="1"/>
  <c r="K760" i="1"/>
  <c r="N760" i="1"/>
  <c r="P759" i="1" s="1"/>
  <c r="G761" i="1" l="1"/>
  <c r="I761" i="1" s="1"/>
  <c r="O759" i="1"/>
  <c r="M759" i="1"/>
  <c r="H761" i="1"/>
  <c r="J761" i="1" s="1"/>
  <c r="N761" i="1" l="1"/>
  <c r="P760" i="1" s="1"/>
  <c r="K761" i="1"/>
  <c r="L761" i="1"/>
  <c r="F762" i="1" s="1"/>
  <c r="H762" i="1" l="1"/>
  <c r="J762" i="1" s="1"/>
  <c r="G762" i="1"/>
  <c r="I762" i="1" s="1"/>
  <c r="O760" i="1"/>
  <c r="M760" i="1"/>
  <c r="L762" i="1" l="1"/>
  <c r="F763" i="1" s="1"/>
  <c r="K762" i="1"/>
  <c r="N762" i="1"/>
  <c r="P761" i="1" s="1"/>
  <c r="G763" i="1" l="1"/>
  <c r="I763" i="1" s="1"/>
  <c r="O761" i="1"/>
  <c r="M761" i="1"/>
  <c r="H763" i="1"/>
  <c r="J763" i="1" s="1"/>
  <c r="N763" i="1" l="1"/>
  <c r="P762" i="1" s="1"/>
  <c r="K763" i="1"/>
  <c r="L763" i="1"/>
  <c r="F764" i="1" s="1"/>
  <c r="G764" i="1" l="1"/>
  <c r="I764" i="1" s="1"/>
  <c r="H764" i="1"/>
  <c r="J764" i="1" s="1"/>
  <c r="O762" i="1"/>
  <c r="M762" i="1"/>
  <c r="K764" i="1" l="1"/>
  <c r="N764" i="1"/>
  <c r="P763" i="1" s="1"/>
  <c r="L764" i="1"/>
  <c r="F765" i="1" s="1"/>
  <c r="O763" i="1" l="1"/>
  <c r="M763" i="1"/>
  <c r="G765" i="1"/>
  <c r="I765" i="1" s="1"/>
  <c r="H765" i="1"/>
  <c r="J765" i="1" s="1"/>
  <c r="K765" i="1" l="1"/>
  <c r="N765" i="1"/>
  <c r="P764" i="1" s="1"/>
  <c r="L765" i="1"/>
  <c r="F766" i="1" s="1"/>
  <c r="O764" i="1" l="1"/>
  <c r="M764" i="1"/>
  <c r="H766" i="1"/>
  <c r="J766" i="1" s="1"/>
  <c r="N766" i="1" s="1"/>
  <c r="P765" i="1" s="1"/>
  <c r="O765" i="1" s="1"/>
  <c r="G766" i="1"/>
  <c r="I766" i="1" s="1"/>
  <c r="M765" i="1" l="1"/>
  <c r="L766" i="1"/>
  <c r="F767" i="1" s="1"/>
  <c r="K766" i="1"/>
  <c r="H767" i="1" l="1"/>
  <c r="J767" i="1" s="1"/>
  <c r="N767" i="1" s="1"/>
  <c r="P766" i="1" s="1"/>
  <c r="O766" i="1" s="1"/>
  <c r="G767" i="1"/>
  <c r="I767" i="1" s="1"/>
  <c r="M766" i="1" l="1"/>
  <c r="L767" i="1"/>
  <c r="F768" i="1" s="1"/>
  <c r="K767" i="1"/>
  <c r="H768" i="1" l="1"/>
  <c r="J768" i="1" s="1"/>
  <c r="N768" i="1" s="1"/>
  <c r="P767" i="1" s="1"/>
  <c r="M767" i="1" s="1"/>
  <c r="G768" i="1"/>
  <c r="I768" i="1" s="1"/>
  <c r="L768" i="1" l="1"/>
  <c r="F769" i="1" s="1"/>
  <c r="O767" i="1"/>
  <c r="K768" i="1"/>
  <c r="H769" i="1" l="1"/>
  <c r="J769" i="1" s="1"/>
  <c r="G769" i="1"/>
  <c r="I769" i="1" s="1"/>
  <c r="L769" i="1" l="1"/>
  <c r="F770" i="1" s="1"/>
  <c r="K769" i="1"/>
  <c r="N769" i="1"/>
  <c r="P768" i="1" s="1"/>
  <c r="H770" i="1" l="1"/>
  <c r="J770" i="1" s="1"/>
  <c r="N770" i="1" s="1"/>
  <c r="P769" i="1" s="1"/>
  <c r="O768" i="1"/>
  <c r="M768" i="1"/>
  <c r="G770" i="1"/>
  <c r="I770" i="1" s="1"/>
  <c r="O769" i="1" l="1"/>
  <c r="M769" i="1"/>
  <c r="L770" i="1"/>
  <c r="F771" i="1" s="1"/>
  <c r="K770" i="1"/>
  <c r="G771" i="1" l="1"/>
  <c r="I771" i="1" s="1"/>
  <c r="H771" i="1"/>
  <c r="J771" i="1" s="1"/>
  <c r="K771" i="1" l="1"/>
  <c r="N771" i="1"/>
  <c r="P770" i="1" s="1"/>
  <c r="L771" i="1"/>
  <c r="F772" i="1" s="1"/>
  <c r="O770" i="1" l="1"/>
  <c r="M770" i="1"/>
  <c r="H772" i="1"/>
  <c r="J772" i="1" s="1"/>
  <c r="N772" i="1" s="1"/>
  <c r="P771" i="1" s="1"/>
  <c r="G772" i="1"/>
  <c r="I772" i="1" s="1"/>
  <c r="O771" i="1" l="1"/>
  <c r="M771" i="1"/>
  <c r="L772" i="1"/>
  <c r="F773" i="1" s="1"/>
  <c r="K772" i="1"/>
  <c r="G773" i="1" l="1"/>
  <c r="I773" i="1" s="1"/>
  <c r="H773" i="1"/>
  <c r="J773" i="1" s="1"/>
  <c r="K773" i="1" l="1"/>
  <c r="N773" i="1"/>
  <c r="P772" i="1" s="1"/>
  <c r="L773" i="1"/>
  <c r="F774" i="1" s="1"/>
  <c r="O772" i="1" l="1"/>
  <c r="M772" i="1"/>
  <c r="G774" i="1"/>
  <c r="I774" i="1" s="1"/>
  <c r="H774" i="1"/>
  <c r="J774" i="1" s="1"/>
  <c r="K774" i="1" l="1"/>
  <c r="N774" i="1"/>
  <c r="P773" i="1" s="1"/>
  <c r="L774" i="1"/>
  <c r="F775" i="1" s="1"/>
  <c r="H775" i="1" l="1"/>
  <c r="J775" i="1" s="1"/>
  <c r="G775" i="1"/>
  <c r="I775" i="1" s="1"/>
  <c r="O773" i="1"/>
  <c r="M773" i="1"/>
  <c r="L775" i="1" l="1"/>
  <c r="F776" i="1" s="1"/>
  <c r="K775" i="1"/>
  <c r="N775" i="1"/>
  <c r="P774" i="1" s="1"/>
  <c r="G776" i="1" l="1"/>
  <c r="I776" i="1" s="1"/>
  <c r="O774" i="1"/>
  <c r="M774" i="1"/>
  <c r="H776" i="1"/>
  <c r="J776" i="1" s="1"/>
  <c r="N776" i="1" l="1"/>
  <c r="P775" i="1" s="1"/>
  <c r="K776" i="1"/>
  <c r="L776" i="1"/>
  <c r="F777" i="1" s="1"/>
  <c r="G777" i="1" l="1"/>
  <c r="I777" i="1" s="1"/>
  <c r="H777" i="1"/>
  <c r="J777" i="1" s="1"/>
  <c r="O775" i="1"/>
  <c r="M775" i="1"/>
  <c r="N777" i="1" l="1"/>
  <c r="P776" i="1" s="1"/>
  <c r="K777" i="1"/>
  <c r="L777" i="1"/>
  <c r="F778" i="1" s="1"/>
  <c r="G778" i="1" l="1"/>
  <c r="I778" i="1" s="1"/>
  <c r="H778" i="1"/>
  <c r="J778" i="1" s="1"/>
  <c r="O776" i="1"/>
  <c r="M776" i="1"/>
  <c r="N778" i="1" l="1"/>
  <c r="P777" i="1" s="1"/>
  <c r="K778" i="1"/>
  <c r="L778" i="1"/>
  <c r="F779" i="1" s="1"/>
  <c r="H779" i="1" l="1"/>
  <c r="J779" i="1" s="1"/>
  <c r="G779" i="1"/>
  <c r="I779" i="1" s="1"/>
  <c r="O777" i="1"/>
  <c r="M777" i="1"/>
  <c r="L779" i="1" l="1"/>
  <c r="F780" i="1" s="1"/>
  <c r="N779" i="1"/>
  <c r="P778" i="1" s="1"/>
  <c r="K779" i="1"/>
  <c r="H780" i="1" l="1"/>
  <c r="J780" i="1" s="1"/>
  <c r="N780" i="1" s="1"/>
  <c r="P779" i="1" s="1"/>
  <c r="O779" i="1" s="1"/>
  <c r="O778" i="1"/>
  <c r="M778" i="1"/>
  <c r="G780" i="1"/>
  <c r="I780" i="1" s="1"/>
  <c r="M779" i="1" l="1"/>
  <c r="K780" i="1"/>
  <c r="L780" i="1"/>
  <c r="F781" i="1" s="1"/>
  <c r="G781" i="1" l="1"/>
  <c r="I781" i="1" s="1"/>
  <c r="H781" i="1"/>
  <c r="J781" i="1" s="1"/>
  <c r="L781" i="1" l="1"/>
  <c r="F782" i="1" s="1"/>
  <c r="K781" i="1"/>
  <c r="N781" i="1"/>
  <c r="P780" i="1" s="1"/>
  <c r="H782" i="1" l="1"/>
  <c r="J782" i="1" s="1"/>
  <c r="N782" i="1" s="1"/>
  <c r="P781" i="1" s="1"/>
  <c r="O781" i="1" s="1"/>
  <c r="O780" i="1"/>
  <c r="M780" i="1"/>
  <c r="G782" i="1"/>
  <c r="I782" i="1" s="1"/>
  <c r="M781" i="1" l="1"/>
  <c r="K782" i="1"/>
  <c r="L782" i="1"/>
  <c r="F783" i="1" s="1"/>
  <c r="H783" i="1" l="1"/>
  <c r="J783" i="1" s="1"/>
  <c r="G783" i="1"/>
  <c r="I783" i="1" s="1"/>
  <c r="L783" i="1" l="1"/>
  <c r="F784" i="1" s="1"/>
  <c r="K783" i="1"/>
  <c r="N783" i="1"/>
  <c r="P782" i="1" s="1"/>
  <c r="H784" i="1" l="1"/>
  <c r="J784" i="1" s="1"/>
  <c r="N784" i="1" s="1"/>
  <c r="P783" i="1" s="1"/>
  <c r="O782" i="1"/>
  <c r="M782" i="1"/>
  <c r="G784" i="1"/>
  <c r="I784" i="1" s="1"/>
  <c r="O783" i="1" l="1"/>
  <c r="M783" i="1"/>
  <c r="L784" i="1"/>
  <c r="F785" i="1" s="1"/>
  <c r="K784" i="1"/>
  <c r="H785" i="1" l="1"/>
  <c r="J785" i="1" s="1"/>
  <c r="G785" i="1"/>
  <c r="I785" i="1" s="1"/>
  <c r="L785" i="1" l="1"/>
  <c r="F786" i="1" s="1"/>
  <c r="K785" i="1"/>
  <c r="N785" i="1"/>
  <c r="P784" i="1" s="1"/>
  <c r="G786" i="1" l="1"/>
  <c r="I786" i="1" s="1"/>
  <c r="O784" i="1"/>
  <c r="M784" i="1"/>
  <c r="H786" i="1"/>
  <c r="J786" i="1" s="1"/>
  <c r="N786" i="1" l="1"/>
  <c r="P785" i="1" s="1"/>
  <c r="K786" i="1"/>
  <c r="L786" i="1"/>
  <c r="F787" i="1" s="1"/>
  <c r="G787" i="1" l="1"/>
  <c r="I787" i="1" s="1"/>
  <c r="H787" i="1"/>
  <c r="J787" i="1" s="1"/>
  <c r="O785" i="1"/>
  <c r="M785" i="1"/>
  <c r="N787" i="1" l="1"/>
  <c r="P786" i="1" s="1"/>
  <c r="K787" i="1"/>
  <c r="L787" i="1"/>
  <c r="F788" i="1" s="1"/>
  <c r="H788" i="1" l="1"/>
  <c r="J788" i="1" s="1"/>
  <c r="G788" i="1"/>
  <c r="I788" i="1" s="1"/>
  <c r="O786" i="1"/>
  <c r="M786" i="1"/>
  <c r="L788" i="1" l="1"/>
  <c r="F789" i="1" s="1"/>
  <c r="N788" i="1"/>
  <c r="P787" i="1" s="1"/>
  <c r="K788" i="1"/>
  <c r="H789" i="1" l="1"/>
  <c r="J789" i="1" s="1"/>
  <c r="N789" i="1" s="1"/>
  <c r="P788" i="1" s="1"/>
  <c r="O788" i="1" s="1"/>
  <c r="O787" i="1"/>
  <c r="M787" i="1"/>
  <c r="G789" i="1"/>
  <c r="I789" i="1" s="1"/>
  <c r="M788" i="1" l="1"/>
  <c r="L789" i="1"/>
  <c r="F790" i="1" s="1"/>
  <c r="K789" i="1"/>
  <c r="G790" i="1" l="1"/>
  <c r="I790" i="1" s="1"/>
  <c r="H790" i="1"/>
  <c r="J790" i="1" s="1"/>
  <c r="K790" i="1" l="1"/>
  <c r="N790" i="1"/>
  <c r="P789" i="1" s="1"/>
  <c r="L790" i="1"/>
  <c r="F791" i="1" s="1"/>
  <c r="O789" i="1" l="1"/>
  <c r="M789" i="1"/>
  <c r="H791" i="1"/>
  <c r="J791" i="1" s="1"/>
  <c r="G791" i="1"/>
  <c r="I791" i="1" s="1"/>
  <c r="L791" i="1" l="1"/>
  <c r="F792" i="1" s="1"/>
  <c r="K791" i="1"/>
  <c r="N791" i="1"/>
  <c r="P790" i="1" s="1"/>
  <c r="H792" i="1" l="1"/>
  <c r="J792" i="1" s="1"/>
  <c r="N792" i="1" s="1"/>
  <c r="P791" i="1" s="1"/>
  <c r="O790" i="1"/>
  <c r="M790" i="1"/>
  <c r="G792" i="1"/>
  <c r="I792" i="1" s="1"/>
  <c r="O791" i="1" l="1"/>
  <c r="M791" i="1"/>
  <c r="L792" i="1"/>
  <c r="F793" i="1" s="1"/>
  <c r="K792" i="1"/>
  <c r="G793" i="1" l="1"/>
  <c r="I793" i="1" s="1"/>
  <c r="H793" i="1"/>
  <c r="J793" i="1" s="1"/>
  <c r="K793" i="1" l="1"/>
  <c r="N793" i="1"/>
  <c r="P792" i="1" s="1"/>
  <c r="L793" i="1"/>
  <c r="F794" i="1" s="1"/>
  <c r="O792" i="1" l="1"/>
  <c r="M792" i="1"/>
  <c r="H794" i="1"/>
  <c r="J794" i="1" s="1"/>
  <c r="N794" i="1" s="1"/>
  <c r="P793" i="1" s="1"/>
  <c r="O793" i="1" s="1"/>
  <c r="G794" i="1"/>
  <c r="I794" i="1" s="1"/>
  <c r="M793" i="1" l="1"/>
  <c r="L794" i="1"/>
  <c r="F795" i="1" s="1"/>
  <c r="K794" i="1"/>
  <c r="H795" i="1" l="1"/>
  <c r="J795" i="1" s="1"/>
  <c r="N795" i="1" s="1"/>
  <c r="P794" i="1" s="1"/>
  <c r="O794" i="1" s="1"/>
  <c r="G795" i="1"/>
  <c r="I795" i="1" s="1"/>
  <c r="L795" i="1" l="1"/>
  <c r="F796" i="1" s="1"/>
  <c r="M794" i="1"/>
  <c r="K795" i="1"/>
  <c r="G796" i="1" l="1"/>
  <c r="I796" i="1" s="1"/>
  <c r="H796" i="1"/>
  <c r="J796" i="1" s="1"/>
  <c r="K796" i="1" l="1"/>
  <c r="N796" i="1"/>
  <c r="P795" i="1" s="1"/>
  <c r="L796" i="1"/>
  <c r="F797" i="1" s="1"/>
  <c r="O795" i="1" l="1"/>
  <c r="M795" i="1"/>
  <c r="H797" i="1"/>
  <c r="J797" i="1" s="1"/>
  <c r="N797" i="1" s="1"/>
  <c r="P796" i="1" s="1"/>
  <c r="O796" i="1" s="1"/>
  <c r="G797" i="1"/>
  <c r="I797" i="1" s="1"/>
  <c r="L797" i="1" l="1"/>
  <c r="F798" i="1" s="1"/>
  <c r="M796" i="1"/>
  <c r="K797" i="1"/>
  <c r="G798" i="1" l="1"/>
  <c r="I798" i="1" s="1"/>
  <c r="H798" i="1"/>
  <c r="J798" i="1" s="1"/>
  <c r="K798" i="1" l="1"/>
  <c r="N798" i="1"/>
  <c r="P797" i="1" s="1"/>
  <c r="L798" i="1"/>
  <c r="F799" i="1" s="1"/>
  <c r="O797" i="1" l="1"/>
  <c r="M797" i="1"/>
  <c r="G799" i="1"/>
  <c r="I799" i="1" s="1"/>
  <c r="H799" i="1"/>
  <c r="J799" i="1" s="1"/>
  <c r="K799" i="1" l="1"/>
  <c r="N799" i="1"/>
  <c r="P798" i="1" s="1"/>
  <c r="L799" i="1"/>
  <c r="F800" i="1" s="1"/>
  <c r="H800" i="1" l="1"/>
  <c r="J800" i="1" s="1"/>
  <c r="G800" i="1"/>
  <c r="I800" i="1" s="1"/>
  <c r="O798" i="1"/>
  <c r="M798" i="1"/>
  <c r="L800" i="1" l="1"/>
  <c r="F801" i="1" s="1"/>
  <c r="K800" i="1"/>
  <c r="N800" i="1"/>
  <c r="P799" i="1" s="1"/>
  <c r="G801" i="1" l="1"/>
  <c r="I801" i="1" s="1"/>
  <c r="O799" i="1"/>
  <c r="M799" i="1"/>
  <c r="H801" i="1"/>
  <c r="J801" i="1" s="1"/>
  <c r="K801" i="1" l="1"/>
  <c r="N801" i="1"/>
  <c r="P800" i="1" s="1"/>
  <c r="L801" i="1"/>
  <c r="F802" i="1" s="1"/>
  <c r="O800" i="1" l="1"/>
  <c r="M800" i="1"/>
  <c r="H802" i="1"/>
  <c r="J802" i="1" s="1"/>
  <c r="N802" i="1" s="1"/>
  <c r="P801" i="1" s="1"/>
  <c r="O801" i="1" s="1"/>
  <c r="G802" i="1"/>
  <c r="I802" i="1" s="1"/>
  <c r="M801" i="1" l="1"/>
  <c r="L802" i="1"/>
  <c r="F803" i="1" s="1"/>
  <c r="K802" i="1"/>
  <c r="H803" i="1" l="1"/>
  <c r="J803" i="1" s="1"/>
  <c r="N803" i="1" s="1"/>
  <c r="P802" i="1" s="1"/>
  <c r="O802" i="1" s="1"/>
  <c r="G803" i="1"/>
  <c r="I803" i="1" s="1"/>
  <c r="K803" i="1" l="1"/>
  <c r="L803" i="1"/>
  <c r="F804" i="1" s="1"/>
  <c r="M802" i="1"/>
  <c r="H804" i="1" l="1"/>
  <c r="J804" i="1" s="1"/>
  <c r="N804" i="1" s="1"/>
  <c r="P803" i="1" s="1"/>
  <c r="O803" i="1" s="1"/>
  <c r="G804" i="1"/>
  <c r="I804" i="1" s="1"/>
  <c r="M803" i="1" l="1"/>
  <c r="K804" i="1"/>
  <c r="L804" i="1"/>
  <c r="F805" i="1" s="1"/>
  <c r="G805" i="1" l="1"/>
  <c r="I805" i="1" s="1"/>
  <c r="H805" i="1"/>
  <c r="J805" i="1" s="1"/>
  <c r="K805" i="1" l="1"/>
  <c r="N805" i="1"/>
  <c r="P804" i="1" s="1"/>
  <c r="O804" i="1" s="1"/>
  <c r="L805" i="1"/>
  <c r="F806" i="1" s="1"/>
  <c r="G806" i="1" l="1"/>
  <c r="I806" i="1" s="1"/>
  <c r="M804" i="1"/>
  <c r="H806" i="1"/>
  <c r="J806" i="1" s="1"/>
  <c r="K806" i="1" l="1"/>
  <c r="L806" i="1"/>
  <c r="F807" i="1" s="1"/>
  <c r="N806" i="1"/>
  <c r="P805" i="1" s="1"/>
  <c r="O805" i="1" s="1"/>
  <c r="G807" i="1" l="1"/>
  <c r="I807" i="1" s="1"/>
  <c r="H807" i="1"/>
  <c r="J807" i="1" s="1"/>
  <c r="N807" i="1" s="1"/>
  <c r="P806" i="1" s="1"/>
  <c r="O806" i="1" s="1"/>
  <c r="M805" i="1"/>
  <c r="L807" i="1" l="1"/>
  <c r="F808" i="1" s="1"/>
  <c r="K807" i="1"/>
  <c r="M806" i="1"/>
  <c r="G808" i="1" l="1"/>
  <c r="I808" i="1" s="1"/>
  <c r="H808" i="1"/>
  <c r="J808" i="1" s="1"/>
  <c r="N808" i="1" l="1"/>
  <c r="P807" i="1" s="1"/>
  <c r="K808" i="1"/>
  <c r="L808" i="1"/>
  <c r="F809" i="1" s="1"/>
  <c r="H809" i="1" l="1"/>
  <c r="J809" i="1" s="1"/>
  <c r="G809" i="1"/>
  <c r="I809" i="1" s="1"/>
  <c r="O807" i="1"/>
  <c r="M807" i="1"/>
  <c r="L809" i="1" l="1"/>
  <c r="F810" i="1" s="1"/>
  <c r="K809" i="1"/>
  <c r="N809" i="1"/>
  <c r="P808" i="1" s="1"/>
  <c r="H810" i="1" l="1"/>
  <c r="J810" i="1" s="1"/>
  <c r="N810" i="1" s="1"/>
  <c r="P809" i="1" s="1"/>
  <c r="O809" i="1" s="1"/>
  <c r="O808" i="1"/>
  <c r="M808" i="1"/>
  <c r="G810" i="1"/>
  <c r="I810" i="1" s="1"/>
  <c r="M809" i="1" l="1"/>
  <c r="L810" i="1"/>
  <c r="F811" i="1" s="1"/>
  <c r="K810" i="1"/>
  <c r="G811" i="1" l="1"/>
  <c r="I811" i="1" s="1"/>
  <c r="H811" i="1"/>
  <c r="J811" i="1" s="1"/>
  <c r="K811" i="1" l="1"/>
  <c r="N811" i="1"/>
  <c r="P810" i="1" s="1"/>
  <c r="L811" i="1"/>
  <c r="F812" i="1" s="1"/>
  <c r="O810" i="1" l="1"/>
  <c r="M810" i="1"/>
  <c r="G812" i="1"/>
  <c r="I812" i="1" s="1"/>
  <c r="H812" i="1"/>
  <c r="J812" i="1" s="1"/>
  <c r="K812" i="1" l="1"/>
  <c r="N812" i="1"/>
  <c r="P811" i="1" s="1"/>
  <c r="L812" i="1"/>
  <c r="F813" i="1" s="1"/>
  <c r="G813" i="1" l="1"/>
  <c r="I813" i="1" s="1"/>
  <c r="H813" i="1"/>
  <c r="J813" i="1" s="1"/>
  <c r="O811" i="1"/>
  <c r="M811" i="1"/>
  <c r="K813" i="1" l="1"/>
  <c r="N813" i="1"/>
  <c r="P812" i="1" s="1"/>
  <c r="L813" i="1"/>
  <c r="F814" i="1" s="1"/>
  <c r="O812" i="1" l="1"/>
  <c r="M812" i="1"/>
  <c r="G814" i="1"/>
  <c r="I814" i="1" s="1"/>
  <c r="H814" i="1"/>
  <c r="J814" i="1" s="1"/>
  <c r="K814" i="1" l="1"/>
  <c r="N814" i="1"/>
  <c r="P813" i="1" s="1"/>
  <c r="L814" i="1"/>
  <c r="F815" i="1" s="1"/>
  <c r="G815" i="1" l="1"/>
  <c r="I815" i="1" s="1"/>
  <c r="H815" i="1"/>
  <c r="J815" i="1" s="1"/>
  <c r="O813" i="1"/>
  <c r="M813" i="1"/>
  <c r="K815" i="1" l="1"/>
  <c r="N815" i="1"/>
  <c r="P814" i="1" s="1"/>
  <c r="L815" i="1"/>
  <c r="F816" i="1" s="1"/>
  <c r="O814" i="1" l="1"/>
  <c r="M814" i="1"/>
  <c r="G816" i="1"/>
  <c r="I816" i="1" s="1"/>
  <c r="H816" i="1"/>
  <c r="J816" i="1" s="1"/>
  <c r="K816" i="1" l="1"/>
  <c r="N816" i="1"/>
  <c r="P815" i="1" s="1"/>
  <c r="L816" i="1"/>
  <c r="F817" i="1" s="1"/>
  <c r="O815" i="1" l="1"/>
  <c r="M815" i="1"/>
  <c r="H817" i="1"/>
  <c r="J817" i="1" s="1"/>
  <c r="G817" i="1"/>
  <c r="I817" i="1" s="1"/>
  <c r="L817" i="1" l="1"/>
  <c r="F818" i="1" s="1"/>
  <c r="N817" i="1"/>
  <c r="P816" i="1" s="1"/>
  <c r="K817" i="1"/>
  <c r="H818" i="1" l="1"/>
  <c r="J818" i="1" s="1"/>
  <c r="N818" i="1" s="1"/>
  <c r="P817" i="1" s="1"/>
  <c r="O817" i="1" s="1"/>
  <c r="O816" i="1"/>
  <c r="M816" i="1"/>
  <c r="G818" i="1"/>
  <c r="I818" i="1" s="1"/>
  <c r="M817" i="1" l="1"/>
  <c r="L818" i="1"/>
  <c r="F819" i="1" s="1"/>
  <c r="K818" i="1"/>
  <c r="H819" i="1" l="1"/>
  <c r="J819" i="1" s="1"/>
  <c r="G819" i="1"/>
  <c r="I819" i="1" s="1"/>
  <c r="L819" i="1" l="1"/>
  <c r="F820" i="1" s="1"/>
  <c r="K819" i="1"/>
  <c r="N819" i="1"/>
  <c r="P818" i="1" s="1"/>
  <c r="H820" i="1" l="1"/>
  <c r="J820" i="1" s="1"/>
  <c r="N820" i="1" s="1"/>
  <c r="P819" i="1" s="1"/>
  <c r="O818" i="1"/>
  <c r="M818" i="1"/>
  <c r="G820" i="1"/>
  <c r="I820" i="1" s="1"/>
  <c r="O819" i="1" l="1"/>
  <c r="M819" i="1"/>
  <c r="K820" i="1"/>
  <c r="L820" i="1"/>
  <c r="F821" i="1" s="1"/>
  <c r="H821" i="1" l="1"/>
  <c r="J821" i="1" s="1"/>
  <c r="G821" i="1"/>
  <c r="I821" i="1" s="1"/>
  <c r="L821" i="1" l="1"/>
  <c r="F822" i="1" s="1"/>
  <c r="K821" i="1"/>
  <c r="N821" i="1"/>
  <c r="P820" i="1" s="1"/>
  <c r="G822" i="1" l="1"/>
  <c r="I822" i="1" s="1"/>
  <c r="O820" i="1"/>
  <c r="M820" i="1"/>
  <c r="H822" i="1"/>
  <c r="J822" i="1" s="1"/>
  <c r="L822" i="1" l="1"/>
  <c r="F823" i="1" s="1"/>
  <c r="N822" i="1"/>
  <c r="P821" i="1" s="1"/>
  <c r="K822" i="1"/>
  <c r="O821" i="1" l="1"/>
  <c r="M821" i="1"/>
  <c r="G823" i="1"/>
  <c r="I823" i="1" s="1"/>
  <c r="H823" i="1"/>
  <c r="J823" i="1" s="1"/>
  <c r="K823" i="1" l="1"/>
  <c r="N823" i="1"/>
  <c r="P822" i="1" s="1"/>
  <c r="L823" i="1"/>
  <c r="F824" i="1" s="1"/>
  <c r="H824" i="1" l="1"/>
  <c r="J824" i="1" s="1"/>
  <c r="G824" i="1"/>
  <c r="I824" i="1" s="1"/>
  <c r="O822" i="1"/>
  <c r="M822" i="1"/>
  <c r="L824" i="1" l="1"/>
  <c r="F825" i="1" s="1"/>
  <c r="K824" i="1"/>
  <c r="N824" i="1"/>
  <c r="P823" i="1" s="1"/>
  <c r="H825" i="1" l="1"/>
  <c r="J825" i="1" s="1"/>
  <c r="N825" i="1" s="1"/>
  <c r="P824" i="1" s="1"/>
  <c r="O824" i="1" s="1"/>
  <c r="O823" i="1"/>
  <c r="M823" i="1"/>
  <c r="G825" i="1"/>
  <c r="I825" i="1" s="1"/>
  <c r="M824" i="1" l="1"/>
  <c r="L825" i="1"/>
  <c r="F826" i="1" s="1"/>
  <c r="K825" i="1"/>
  <c r="H826" i="1" l="1"/>
  <c r="J826" i="1" s="1"/>
  <c r="G826" i="1"/>
  <c r="I826" i="1" s="1"/>
  <c r="L826" i="1" l="1"/>
  <c r="F827" i="1" s="1"/>
  <c r="K826" i="1"/>
  <c r="N826" i="1"/>
  <c r="P825" i="1" s="1"/>
  <c r="G827" i="1" l="1"/>
  <c r="I827" i="1" s="1"/>
  <c r="O825" i="1"/>
  <c r="M825" i="1"/>
  <c r="H827" i="1"/>
  <c r="J827" i="1" s="1"/>
  <c r="K827" i="1" l="1"/>
  <c r="N827" i="1"/>
  <c r="P826" i="1" s="1"/>
  <c r="L827" i="1"/>
  <c r="F828" i="1" s="1"/>
  <c r="O826" i="1" l="1"/>
  <c r="M826" i="1"/>
  <c r="G828" i="1"/>
  <c r="I828" i="1" s="1"/>
  <c r="H828" i="1"/>
  <c r="J828" i="1" s="1"/>
  <c r="K828" i="1" l="1"/>
  <c r="N828" i="1"/>
  <c r="P827" i="1" s="1"/>
  <c r="L828" i="1"/>
  <c r="F829" i="1" s="1"/>
  <c r="O827" i="1" l="1"/>
  <c r="M827" i="1"/>
  <c r="G829" i="1"/>
  <c r="I829" i="1" s="1"/>
  <c r="H829" i="1"/>
  <c r="J829" i="1" s="1"/>
  <c r="K829" i="1" l="1"/>
  <c r="N829" i="1"/>
  <c r="P828" i="1" s="1"/>
  <c r="L829" i="1"/>
  <c r="F830" i="1" s="1"/>
  <c r="O828" i="1" l="1"/>
  <c r="M828" i="1"/>
  <c r="G830" i="1"/>
  <c r="I830" i="1" s="1"/>
  <c r="H830" i="1"/>
  <c r="J830" i="1" s="1"/>
  <c r="K830" i="1" l="1"/>
  <c r="N830" i="1"/>
  <c r="P829" i="1" s="1"/>
  <c r="L830" i="1"/>
  <c r="F831" i="1" s="1"/>
  <c r="O829" i="1" l="1"/>
  <c r="M829" i="1"/>
  <c r="H831" i="1"/>
  <c r="J831" i="1" s="1"/>
  <c r="N831" i="1" s="1"/>
  <c r="P830" i="1" s="1"/>
  <c r="O830" i="1" s="1"/>
  <c r="G831" i="1"/>
  <c r="I831" i="1" s="1"/>
  <c r="M830" i="1" l="1"/>
  <c r="L831" i="1"/>
  <c r="F832" i="1" s="1"/>
  <c r="K831" i="1"/>
  <c r="G832" i="1" l="1"/>
  <c r="I832" i="1" s="1"/>
  <c r="H832" i="1"/>
  <c r="J832" i="1" s="1"/>
  <c r="K832" i="1" l="1"/>
  <c r="N832" i="1"/>
  <c r="P831" i="1" s="1"/>
  <c r="L832" i="1"/>
  <c r="F833" i="1" s="1"/>
  <c r="O831" i="1" l="1"/>
  <c r="M831" i="1"/>
  <c r="G833" i="1"/>
  <c r="I833" i="1" s="1"/>
  <c r="H833" i="1"/>
  <c r="J833" i="1" s="1"/>
  <c r="K833" i="1" l="1"/>
  <c r="N833" i="1"/>
  <c r="P832" i="1" s="1"/>
  <c r="L833" i="1"/>
  <c r="F834" i="1" s="1"/>
  <c r="G834" i="1" l="1"/>
  <c r="I834" i="1" s="1"/>
  <c r="H834" i="1"/>
  <c r="J834" i="1" s="1"/>
  <c r="O832" i="1"/>
  <c r="M832" i="1"/>
  <c r="K834" i="1" l="1"/>
  <c r="N834" i="1"/>
  <c r="P833" i="1" s="1"/>
  <c r="L834" i="1"/>
  <c r="F835" i="1" s="1"/>
  <c r="O833" i="1" l="1"/>
  <c r="M833" i="1"/>
  <c r="G835" i="1"/>
  <c r="I835" i="1" s="1"/>
  <c r="H835" i="1"/>
  <c r="J835" i="1" s="1"/>
  <c r="K835" i="1" l="1"/>
  <c r="N835" i="1"/>
  <c r="P834" i="1" s="1"/>
  <c r="L835" i="1"/>
  <c r="F836" i="1" s="1"/>
  <c r="O834" i="1" l="1"/>
  <c r="M834" i="1"/>
  <c r="H836" i="1"/>
  <c r="J836" i="1" s="1"/>
  <c r="N836" i="1" s="1"/>
  <c r="P835" i="1" s="1"/>
  <c r="O835" i="1" s="1"/>
  <c r="G836" i="1"/>
  <c r="I836" i="1" s="1"/>
  <c r="M835" i="1" l="1"/>
  <c r="L836" i="1"/>
  <c r="F837" i="1" s="1"/>
  <c r="K836" i="1"/>
  <c r="H837" i="1" l="1"/>
  <c r="J837" i="1" s="1"/>
  <c r="N837" i="1" s="1"/>
  <c r="P836" i="1" s="1"/>
  <c r="O836" i="1" s="1"/>
  <c r="G837" i="1"/>
  <c r="I837" i="1" s="1"/>
  <c r="K837" i="1" l="1"/>
  <c r="L837" i="1"/>
  <c r="F838" i="1" s="1"/>
  <c r="M836" i="1"/>
  <c r="H838" i="1" l="1"/>
  <c r="J838" i="1" s="1"/>
  <c r="N838" i="1" s="1"/>
  <c r="P837" i="1" s="1"/>
  <c r="O837" i="1" s="1"/>
  <c r="G838" i="1"/>
  <c r="I838" i="1" s="1"/>
  <c r="K838" i="1" l="1"/>
  <c r="L838" i="1"/>
  <c r="F839" i="1" s="1"/>
  <c r="M837" i="1"/>
  <c r="H839" i="1" l="1"/>
  <c r="J839" i="1" s="1"/>
  <c r="N839" i="1" s="1"/>
  <c r="P838" i="1" s="1"/>
  <c r="O838" i="1" s="1"/>
  <c r="G839" i="1"/>
  <c r="I839" i="1" s="1"/>
  <c r="M838" i="1" l="1"/>
  <c r="L839" i="1"/>
  <c r="F840" i="1" s="1"/>
  <c r="K839" i="1"/>
  <c r="H840" i="1" l="1"/>
  <c r="J840" i="1" s="1"/>
  <c r="G840" i="1"/>
  <c r="I840" i="1" s="1"/>
  <c r="L840" i="1" l="1"/>
  <c r="F841" i="1" s="1"/>
  <c r="N840" i="1"/>
  <c r="P839" i="1" s="1"/>
  <c r="K840" i="1"/>
  <c r="G841" i="1" l="1"/>
  <c r="I841" i="1" s="1"/>
  <c r="O839" i="1"/>
  <c r="M839" i="1"/>
  <c r="H841" i="1"/>
  <c r="J841" i="1" s="1"/>
  <c r="L841" i="1" l="1"/>
  <c r="F842" i="1" s="1"/>
  <c r="K841" i="1"/>
  <c r="N841" i="1"/>
  <c r="P840" i="1" s="1"/>
  <c r="O840" i="1" l="1"/>
  <c r="M840" i="1"/>
  <c r="G842" i="1"/>
  <c r="I842" i="1" s="1"/>
  <c r="H842" i="1"/>
  <c r="J842" i="1" s="1"/>
  <c r="L842" i="1" l="1"/>
  <c r="F843" i="1" s="1"/>
  <c r="K842" i="1"/>
  <c r="N842" i="1"/>
  <c r="P841" i="1" s="1"/>
  <c r="O841" i="1" l="1"/>
  <c r="M841" i="1"/>
  <c r="G843" i="1"/>
  <c r="I843" i="1" s="1"/>
  <c r="H843" i="1"/>
  <c r="J843" i="1" s="1"/>
  <c r="N843" i="1" l="1"/>
  <c r="P842" i="1" s="1"/>
  <c r="K843" i="1"/>
  <c r="L843" i="1"/>
  <c r="F844" i="1" s="1"/>
  <c r="H844" i="1" l="1"/>
  <c r="J844" i="1" s="1"/>
  <c r="G844" i="1"/>
  <c r="I844" i="1" s="1"/>
  <c r="O842" i="1"/>
  <c r="M842" i="1"/>
  <c r="L844" i="1" l="1"/>
  <c r="F845" i="1" s="1"/>
  <c r="N844" i="1"/>
  <c r="P843" i="1" s="1"/>
  <c r="K844" i="1"/>
  <c r="G845" i="1" l="1"/>
  <c r="I845" i="1" s="1"/>
  <c r="O843" i="1"/>
  <c r="M843" i="1"/>
  <c r="H845" i="1"/>
  <c r="J845" i="1" s="1"/>
  <c r="K845" i="1" l="1"/>
  <c r="N845" i="1"/>
  <c r="P844" i="1" s="1"/>
  <c r="L845" i="1"/>
  <c r="F846" i="1" s="1"/>
  <c r="O844" i="1" l="1"/>
  <c r="M844" i="1"/>
  <c r="G846" i="1"/>
  <c r="I846" i="1" s="1"/>
  <c r="H846" i="1"/>
  <c r="J846" i="1" s="1"/>
  <c r="K846" i="1" l="1"/>
  <c r="N846" i="1"/>
  <c r="P845" i="1" s="1"/>
  <c r="L846" i="1"/>
  <c r="F847" i="1" s="1"/>
  <c r="H847" i="1" l="1"/>
  <c r="J847" i="1" s="1"/>
  <c r="G847" i="1"/>
  <c r="I847" i="1" s="1"/>
  <c r="O845" i="1"/>
  <c r="M845" i="1"/>
  <c r="L847" i="1" l="1"/>
  <c r="F848" i="1" s="1"/>
  <c r="K847" i="1"/>
  <c r="N847" i="1"/>
  <c r="P846" i="1" s="1"/>
  <c r="G848" i="1" l="1"/>
  <c r="I848" i="1" s="1"/>
  <c r="O846" i="1"/>
  <c r="M846" i="1"/>
  <c r="H848" i="1"/>
  <c r="J848" i="1" s="1"/>
  <c r="N848" i="1" l="1"/>
  <c r="P847" i="1" s="1"/>
  <c r="K848" i="1"/>
  <c r="L848" i="1"/>
  <c r="F849" i="1" s="1"/>
  <c r="G849" i="1" l="1"/>
  <c r="I849" i="1" s="1"/>
  <c r="H849" i="1"/>
  <c r="J849" i="1" s="1"/>
  <c r="O847" i="1"/>
  <c r="M847" i="1"/>
  <c r="N849" i="1" l="1"/>
  <c r="P848" i="1" s="1"/>
  <c r="K849" i="1"/>
  <c r="L849" i="1"/>
  <c r="F850" i="1" s="1"/>
  <c r="G850" i="1" l="1"/>
  <c r="I850" i="1" s="1"/>
  <c r="H850" i="1"/>
  <c r="J850" i="1" s="1"/>
  <c r="O848" i="1"/>
  <c r="M848" i="1"/>
  <c r="K850" i="1" l="1"/>
  <c r="N850" i="1"/>
  <c r="P849" i="1" s="1"/>
  <c r="L850" i="1"/>
  <c r="F851" i="1" s="1"/>
  <c r="O849" i="1" l="1"/>
  <c r="M849" i="1"/>
  <c r="G851" i="1"/>
  <c r="I851" i="1" s="1"/>
  <c r="H851" i="1"/>
  <c r="J851" i="1" s="1"/>
  <c r="K851" i="1" l="1"/>
  <c r="N851" i="1"/>
  <c r="P850" i="1" s="1"/>
  <c r="L851" i="1"/>
  <c r="F852" i="1" s="1"/>
  <c r="O850" i="1" l="1"/>
  <c r="M850" i="1"/>
  <c r="G852" i="1"/>
  <c r="I852" i="1" s="1"/>
  <c r="H852" i="1"/>
  <c r="J852" i="1" s="1"/>
  <c r="K852" i="1" l="1"/>
  <c r="N852" i="1"/>
  <c r="P851" i="1" s="1"/>
  <c r="L852" i="1"/>
  <c r="F853" i="1" s="1"/>
  <c r="G853" i="1" l="1"/>
  <c r="I853" i="1" s="1"/>
  <c r="H853" i="1"/>
  <c r="J853" i="1" s="1"/>
  <c r="O851" i="1"/>
  <c r="M851" i="1"/>
  <c r="K853" i="1" l="1"/>
  <c r="N853" i="1"/>
  <c r="P852" i="1" s="1"/>
  <c r="L853" i="1"/>
  <c r="F854" i="1" s="1"/>
  <c r="O852" i="1" l="1"/>
  <c r="M852" i="1"/>
  <c r="G854" i="1"/>
  <c r="I854" i="1" s="1"/>
  <c r="H854" i="1"/>
  <c r="J854" i="1" s="1"/>
  <c r="K854" i="1" l="1"/>
  <c r="N854" i="1"/>
  <c r="P853" i="1" s="1"/>
  <c r="L854" i="1"/>
  <c r="F855" i="1" s="1"/>
  <c r="O853" i="1" l="1"/>
  <c r="M853" i="1"/>
  <c r="H855" i="1"/>
  <c r="J855" i="1" s="1"/>
  <c r="N855" i="1" s="1"/>
  <c r="P854" i="1" s="1"/>
  <c r="O854" i="1" s="1"/>
  <c r="G855" i="1"/>
  <c r="I855" i="1" s="1"/>
  <c r="M854" i="1" l="1"/>
  <c r="L855" i="1"/>
  <c r="F856" i="1" s="1"/>
  <c r="K855" i="1"/>
  <c r="G856" i="1" l="1"/>
  <c r="I856" i="1" s="1"/>
  <c r="H856" i="1"/>
  <c r="J856" i="1" s="1"/>
  <c r="N856" i="1" s="1"/>
  <c r="P855" i="1" s="1"/>
  <c r="O855" i="1" s="1"/>
  <c r="K856" i="1" l="1"/>
  <c r="M855" i="1"/>
  <c r="L856" i="1"/>
  <c r="F857" i="1" s="1"/>
  <c r="H857" i="1" l="1"/>
  <c r="J857" i="1" s="1"/>
  <c r="N857" i="1" s="1"/>
  <c r="P856" i="1" s="1"/>
  <c r="O856" i="1" s="1"/>
  <c r="G857" i="1"/>
  <c r="I857" i="1" s="1"/>
  <c r="M856" i="1" l="1"/>
  <c r="K857" i="1"/>
  <c r="L857" i="1"/>
  <c r="F858" i="1" s="1"/>
  <c r="H858" i="1" l="1"/>
  <c r="J858" i="1" s="1"/>
  <c r="G858" i="1"/>
  <c r="I858" i="1" s="1"/>
  <c r="K858" i="1" l="1"/>
  <c r="N858" i="1"/>
  <c r="P857" i="1" s="1"/>
  <c r="L858" i="1"/>
  <c r="F859" i="1" s="1"/>
  <c r="G859" i="1" l="1"/>
  <c r="I859" i="1" s="1"/>
  <c r="H859" i="1"/>
  <c r="J859" i="1" s="1"/>
  <c r="O857" i="1"/>
  <c r="M857" i="1"/>
  <c r="L859" i="1" l="1"/>
  <c r="F860" i="1" s="1"/>
  <c r="K859" i="1"/>
  <c r="N859" i="1"/>
  <c r="P858" i="1" s="1"/>
  <c r="H860" i="1" l="1"/>
  <c r="J860" i="1" s="1"/>
  <c r="N860" i="1" s="1"/>
  <c r="P859" i="1" s="1"/>
  <c r="O859" i="1" s="1"/>
  <c r="G860" i="1"/>
  <c r="I860" i="1" s="1"/>
  <c r="O858" i="1"/>
  <c r="M858" i="1"/>
  <c r="K860" i="1" l="1"/>
  <c r="L860" i="1"/>
  <c r="F861" i="1" s="1"/>
  <c r="M859" i="1"/>
  <c r="H861" i="1" l="1"/>
  <c r="J861" i="1" s="1"/>
  <c r="N861" i="1" s="1"/>
  <c r="P860" i="1" s="1"/>
  <c r="O860" i="1" s="1"/>
  <c r="G861" i="1"/>
  <c r="I861" i="1" s="1"/>
  <c r="M860" i="1" l="1"/>
  <c r="L861" i="1"/>
  <c r="F862" i="1" s="1"/>
  <c r="K861" i="1"/>
  <c r="H862" i="1" l="1"/>
  <c r="J862" i="1" s="1"/>
  <c r="N862" i="1" s="1"/>
  <c r="P861" i="1" s="1"/>
  <c r="O861" i="1" s="1"/>
  <c r="G862" i="1"/>
  <c r="I862" i="1" s="1"/>
  <c r="L862" i="1" l="1"/>
  <c r="F863" i="1" s="1"/>
  <c r="M861" i="1"/>
  <c r="K862" i="1"/>
  <c r="G863" i="1" l="1"/>
  <c r="I863" i="1" s="1"/>
  <c r="H863" i="1"/>
  <c r="J863" i="1" s="1"/>
  <c r="N863" i="1" l="1"/>
  <c r="P862" i="1" s="1"/>
  <c r="K863" i="1"/>
  <c r="L863" i="1"/>
  <c r="F864" i="1" s="1"/>
  <c r="H864" i="1" l="1"/>
  <c r="J864" i="1" s="1"/>
  <c r="G864" i="1"/>
  <c r="I864" i="1" s="1"/>
  <c r="O862" i="1"/>
  <c r="M862" i="1"/>
  <c r="L864" i="1" l="1"/>
  <c r="F865" i="1" s="1"/>
  <c r="N864" i="1"/>
  <c r="P863" i="1" s="1"/>
  <c r="K864" i="1"/>
  <c r="G865" i="1" l="1"/>
  <c r="I865" i="1" s="1"/>
  <c r="O863" i="1"/>
  <c r="M863" i="1"/>
  <c r="H865" i="1"/>
  <c r="J865" i="1" s="1"/>
  <c r="K865" i="1" l="1"/>
  <c r="L865" i="1"/>
  <c r="F866" i="1" s="1"/>
  <c r="N865" i="1"/>
  <c r="P864" i="1" s="1"/>
  <c r="G866" i="1" l="1"/>
  <c r="I866" i="1" s="1"/>
  <c r="H866" i="1"/>
  <c r="J866" i="1" s="1"/>
  <c r="O864" i="1"/>
  <c r="M864" i="1"/>
  <c r="K866" i="1" l="1"/>
  <c r="N866" i="1"/>
  <c r="P865" i="1" s="1"/>
  <c r="L866" i="1"/>
  <c r="F867" i="1" s="1"/>
  <c r="O865" i="1" l="1"/>
  <c r="M865" i="1"/>
  <c r="H867" i="1"/>
  <c r="J867" i="1" s="1"/>
  <c r="N867" i="1" s="1"/>
  <c r="P866" i="1" s="1"/>
  <c r="O866" i="1" s="1"/>
  <c r="G867" i="1"/>
  <c r="I867" i="1" s="1"/>
  <c r="M866" i="1" l="1"/>
  <c r="L867" i="1"/>
  <c r="F868" i="1" s="1"/>
  <c r="K867" i="1"/>
  <c r="H868" i="1" l="1"/>
  <c r="J868" i="1" s="1"/>
  <c r="N868" i="1" s="1"/>
  <c r="P867" i="1" s="1"/>
  <c r="O867" i="1" s="1"/>
  <c r="G868" i="1"/>
  <c r="I868" i="1" s="1"/>
  <c r="M867" i="1" l="1"/>
  <c r="L868" i="1"/>
  <c r="F869" i="1" s="1"/>
  <c r="K868" i="1"/>
  <c r="H869" i="1" l="1"/>
  <c r="J869" i="1" s="1"/>
  <c r="N869" i="1" s="1"/>
  <c r="P868" i="1" s="1"/>
  <c r="O868" i="1" s="1"/>
  <c r="G869" i="1"/>
  <c r="I869" i="1" s="1"/>
  <c r="L869" i="1" l="1"/>
  <c r="F870" i="1" s="1"/>
  <c r="M868" i="1"/>
  <c r="K869" i="1"/>
  <c r="G870" i="1" l="1"/>
  <c r="I870" i="1" s="1"/>
  <c r="H870" i="1"/>
  <c r="J870" i="1" s="1"/>
  <c r="K870" i="1" l="1"/>
  <c r="N870" i="1"/>
  <c r="P869" i="1" s="1"/>
  <c r="L870" i="1"/>
  <c r="F871" i="1" s="1"/>
  <c r="O869" i="1" l="1"/>
  <c r="M869" i="1"/>
  <c r="H871" i="1"/>
  <c r="J871" i="1" s="1"/>
  <c r="G871" i="1"/>
  <c r="I871" i="1" s="1"/>
  <c r="K871" i="1" l="1"/>
  <c r="N871" i="1"/>
  <c r="P870" i="1" s="1"/>
  <c r="L871" i="1"/>
  <c r="F872" i="1" s="1"/>
  <c r="O870" i="1" l="1"/>
  <c r="M870" i="1"/>
  <c r="H872" i="1"/>
  <c r="J872" i="1" s="1"/>
  <c r="N872" i="1" s="1"/>
  <c r="P871" i="1" s="1"/>
  <c r="O871" i="1" s="1"/>
  <c r="G872" i="1"/>
  <c r="I872" i="1" s="1"/>
  <c r="L872" i="1" l="1"/>
  <c r="F873" i="1" s="1"/>
  <c r="M871" i="1"/>
  <c r="K872" i="1"/>
  <c r="G873" i="1" l="1"/>
  <c r="I873" i="1" s="1"/>
  <c r="H873" i="1"/>
  <c r="J873" i="1" s="1"/>
  <c r="N873" i="1" s="1"/>
  <c r="P872" i="1" s="1"/>
  <c r="O872" i="1" s="1"/>
  <c r="M872" i="1" l="1"/>
  <c r="L873" i="1"/>
  <c r="F874" i="1" s="1"/>
  <c r="K873" i="1"/>
  <c r="G874" i="1" l="1"/>
  <c r="I874" i="1" s="1"/>
  <c r="H874" i="1"/>
  <c r="J874" i="1" s="1"/>
  <c r="N874" i="1" s="1"/>
  <c r="P873" i="1" s="1"/>
  <c r="O873" i="1" s="1"/>
  <c r="M873" i="1" l="1"/>
  <c r="L874" i="1"/>
  <c r="F875" i="1" s="1"/>
  <c r="K874" i="1"/>
  <c r="G875" i="1" l="1"/>
  <c r="I875" i="1" s="1"/>
  <c r="H875" i="1"/>
  <c r="J875" i="1" s="1"/>
  <c r="K875" i="1" l="1"/>
  <c r="N875" i="1"/>
  <c r="P874" i="1" s="1"/>
  <c r="L875" i="1"/>
  <c r="F876" i="1" s="1"/>
  <c r="O874" i="1" l="1"/>
  <c r="M874" i="1"/>
  <c r="H876" i="1"/>
  <c r="J876" i="1" s="1"/>
  <c r="N876" i="1" s="1"/>
  <c r="P875" i="1" s="1"/>
  <c r="G876" i="1"/>
  <c r="I876" i="1" s="1"/>
  <c r="L876" i="1" l="1"/>
  <c r="F877" i="1" s="1"/>
  <c r="O875" i="1"/>
  <c r="M875" i="1"/>
  <c r="K876" i="1"/>
  <c r="G877" i="1" l="1"/>
  <c r="I877" i="1" s="1"/>
  <c r="H877" i="1"/>
  <c r="J877" i="1" s="1"/>
  <c r="K877" i="1" l="1"/>
  <c r="N877" i="1"/>
  <c r="P876" i="1" s="1"/>
  <c r="L877" i="1"/>
  <c r="F878" i="1" s="1"/>
  <c r="O876" i="1" l="1"/>
  <c r="M876" i="1"/>
  <c r="G878" i="1"/>
  <c r="I878" i="1" s="1"/>
  <c r="H878" i="1"/>
  <c r="J878" i="1" s="1"/>
  <c r="K878" i="1" l="1"/>
  <c r="N878" i="1"/>
  <c r="P877" i="1" s="1"/>
  <c r="L878" i="1"/>
  <c r="F879" i="1" s="1"/>
  <c r="H879" i="1" l="1"/>
  <c r="J879" i="1" s="1"/>
  <c r="G879" i="1"/>
  <c r="I879" i="1" s="1"/>
  <c r="O877" i="1"/>
  <c r="M877" i="1"/>
  <c r="L879" i="1" l="1"/>
  <c r="F880" i="1" s="1"/>
  <c r="K879" i="1"/>
  <c r="N879" i="1"/>
  <c r="P878" i="1" s="1"/>
  <c r="G880" i="1" l="1"/>
  <c r="I880" i="1" s="1"/>
  <c r="O878" i="1"/>
  <c r="M878" i="1"/>
  <c r="H880" i="1"/>
  <c r="J880" i="1" s="1"/>
  <c r="N880" i="1" l="1"/>
  <c r="P879" i="1" s="1"/>
  <c r="K880" i="1"/>
  <c r="L880" i="1"/>
  <c r="F881" i="1" s="1"/>
  <c r="G881" i="1" l="1"/>
  <c r="I881" i="1" s="1"/>
  <c r="H881" i="1"/>
  <c r="J881" i="1" s="1"/>
  <c r="O879" i="1"/>
  <c r="M879" i="1"/>
  <c r="N881" i="1" l="1"/>
  <c r="P880" i="1" s="1"/>
  <c r="K881" i="1"/>
  <c r="L881" i="1"/>
  <c r="F882" i="1" s="1"/>
  <c r="H882" i="1" l="1"/>
  <c r="J882" i="1" s="1"/>
  <c r="G882" i="1"/>
  <c r="I882" i="1" s="1"/>
  <c r="O880" i="1"/>
  <c r="M880" i="1"/>
  <c r="L882" i="1" l="1"/>
  <c r="F883" i="1" s="1"/>
  <c r="N882" i="1"/>
  <c r="P881" i="1" s="1"/>
  <c r="K882" i="1"/>
  <c r="H883" i="1" l="1"/>
  <c r="J883" i="1" s="1"/>
  <c r="N883" i="1" s="1"/>
  <c r="P882" i="1" s="1"/>
  <c r="O882" i="1" s="1"/>
  <c r="O881" i="1"/>
  <c r="M881" i="1"/>
  <c r="G883" i="1"/>
  <c r="I883" i="1" s="1"/>
  <c r="M882" i="1" l="1"/>
  <c r="L883" i="1"/>
  <c r="F884" i="1" s="1"/>
  <c r="K883" i="1"/>
  <c r="H884" i="1" l="1"/>
  <c r="J884" i="1" s="1"/>
  <c r="G884" i="1"/>
  <c r="I884" i="1" s="1"/>
  <c r="L884" i="1" l="1"/>
  <c r="F885" i="1" s="1"/>
  <c r="K884" i="1"/>
  <c r="N884" i="1"/>
  <c r="P883" i="1" s="1"/>
  <c r="G885" i="1" l="1"/>
  <c r="I885" i="1" s="1"/>
  <c r="O883" i="1"/>
  <c r="M883" i="1"/>
  <c r="H885" i="1"/>
  <c r="J885" i="1" s="1"/>
  <c r="N885" i="1" l="1"/>
  <c r="P884" i="1" s="1"/>
  <c r="K885" i="1"/>
  <c r="L885" i="1"/>
  <c r="F886" i="1" s="1"/>
  <c r="G886" i="1" l="1"/>
  <c r="I886" i="1" s="1"/>
  <c r="H886" i="1"/>
  <c r="J886" i="1" s="1"/>
  <c r="O884" i="1"/>
  <c r="M884" i="1"/>
  <c r="N886" i="1" l="1"/>
  <c r="P885" i="1" s="1"/>
  <c r="K886" i="1"/>
  <c r="L886" i="1"/>
  <c r="F887" i="1" s="1"/>
  <c r="H887" i="1" l="1"/>
  <c r="J887" i="1" s="1"/>
  <c r="G887" i="1"/>
  <c r="I887" i="1" s="1"/>
  <c r="O885" i="1"/>
  <c r="M885" i="1"/>
  <c r="L887" i="1" l="1"/>
  <c r="F888" i="1" s="1"/>
  <c r="N887" i="1"/>
  <c r="P886" i="1" s="1"/>
  <c r="K887" i="1"/>
  <c r="H888" i="1" l="1"/>
  <c r="J888" i="1" s="1"/>
  <c r="N888" i="1" s="1"/>
  <c r="P887" i="1" s="1"/>
  <c r="O887" i="1" s="1"/>
  <c r="O886" i="1"/>
  <c r="M886" i="1"/>
  <c r="G888" i="1"/>
  <c r="I888" i="1" s="1"/>
  <c r="M887" i="1" l="1"/>
  <c r="L888" i="1"/>
  <c r="F889" i="1" s="1"/>
  <c r="K888" i="1"/>
  <c r="H889" i="1" l="1"/>
  <c r="J889" i="1" s="1"/>
  <c r="G889" i="1"/>
  <c r="I889" i="1" s="1"/>
  <c r="L889" i="1" l="1"/>
  <c r="F890" i="1" s="1"/>
  <c r="K889" i="1"/>
  <c r="N889" i="1"/>
  <c r="P888" i="1" s="1"/>
  <c r="H890" i="1" l="1"/>
  <c r="J890" i="1" s="1"/>
  <c r="N890" i="1" s="1"/>
  <c r="P889" i="1" s="1"/>
  <c r="O889" i="1" s="1"/>
  <c r="O888" i="1"/>
  <c r="M888" i="1"/>
  <c r="G890" i="1"/>
  <c r="I890" i="1" s="1"/>
  <c r="M889" i="1" l="1"/>
  <c r="K890" i="1"/>
  <c r="L890" i="1"/>
  <c r="F891" i="1" s="1"/>
  <c r="G891" i="1" l="1"/>
  <c r="I891" i="1" s="1"/>
  <c r="H891" i="1"/>
  <c r="J891" i="1" s="1"/>
  <c r="K891" i="1" l="1"/>
  <c r="N891" i="1"/>
  <c r="P890" i="1" s="1"/>
  <c r="L891" i="1"/>
  <c r="F892" i="1" s="1"/>
  <c r="O890" i="1" l="1"/>
  <c r="M890" i="1"/>
  <c r="H892" i="1"/>
  <c r="J892" i="1" s="1"/>
  <c r="N892" i="1" s="1"/>
  <c r="P891" i="1" s="1"/>
  <c r="G892" i="1"/>
  <c r="I892" i="1" s="1"/>
  <c r="O891" i="1" l="1"/>
  <c r="M891" i="1"/>
  <c r="L892" i="1"/>
  <c r="F893" i="1" s="1"/>
  <c r="K892" i="1"/>
  <c r="G893" i="1" l="1"/>
  <c r="I893" i="1" s="1"/>
  <c r="H893" i="1"/>
  <c r="J893" i="1" s="1"/>
  <c r="K893" i="1" l="1"/>
  <c r="N893" i="1"/>
  <c r="P892" i="1" s="1"/>
  <c r="L893" i="1"/>
  <c r="F894" i="1" s="1"/>
  <c r="O892" i="1" l="1"/>
  <c r="M892" i="1"/>
  <c r="G894" i="1"/>
  <c r="I894" i="1" s="1"/>
  <c r="H894" i="1"/>
  <c r="J894" i="1" s="1"/>
  <c r="K894" i="1" l="1"/>
  <c r="N894" i="1"/>
  <c r="P893" i="1" s="1"/>
  <c r="L894" i="1"/>
  <c r="F895" i="1" s="1"/>
  <c r="H895" i="1" l="1"/>
  <c r="J895" i="1" s="1"/>
  <c r="G895" i="1"/>
  <c r="I895" i="1" s="1"/>
  <c r="O893" i="1"/>
  <c r="M893" i="1"/>
  <c r="L895" i="1" l="1"/>
  <c r="F896" i="1" s="1"/>
  <c r="K895" i="1"/>
  <c r="N895" i="1"/>
  <c r="P894" i="1" s="1"/>
  <c r="H896" i="1" l="1"/>
  <c r="J896" i="1" s="1"/>
  <c r="N896" i="1" s="1"/>
  <c r="P895" i="1" s="1"/>
  <c r="O895" i="1" s="1"/>
  <c r="O894" i="1"/>
  <c r="M894" i="1"/>
  <c r="G896" i="1"/>
  <c r="I896" i="1" s="1"/>
  <c r="M895" i="1" l="1"/>
  <c r="L896" i="1"/>
  <c r="F897" i="1" s="1"/>
  <c r="K896" i="1"/>
  <c r="G897" i="1" l="1"/>
  <c r="I897" i="1" s="1"/>
  <c r="H897" i="1"/>
  <c r="J897" i="1" s="1"/>
  <c r="N897" i="1" l="1"/>
  <c r="P896" i="1" s="1"/>
  <c r="K897" i="1"/>
  <c r="L897" i="1"/>
  <c r="F898" i="1" s="1"/>
  <c r="G898" i="1" l="1"/>
  <c r="I898" i="1" s="1"/>
  <c r="H898" i="1"/>
  <c r="J898" i="1" s="1"/>
  <c r="O896" i="1"/>
  <c r="M896" i="1"/>
  <c r="K898" i="1" l="1"/>
  <c r="N898" i="1"/>
  <c r="P897" i="1" s="1"/>
  <c r="L898" i="1"/>
  <c r="F899" i="1" s="1"/>
  <c r="O897" i="1" l="1"/>
  <c r="M897" i="1"/>
  <c r="H899" i="1"/>
  <c r="J899" i="1" s="1"/>
  <c r="N899" i="1" s="1"/>
  <c r="P898" i="1" s="1"/>
  <c r="G899" i="1"/>
  <c r="I899" i="1" s="1"/>
  <c r="L899" i="1" l="1"/>
  <c r="F900" i="1" s="1"/>
  <c r="O898" i="1"/>
  <c r="M898" i="1"/>
  <c r="K899" i="1"/>
  <c r="H900" i="1" l="1"/>
  <c r="J900" i="1" s="1"/>
  <c r="N900" i="1" s="1"/>
  <c r="P899" i="1" s="1"/>
  <c r="O899" i="1" s="1"/>
  <c r="G900" i="1"/>
  <c r="I900" i="1" s="1"/>
  <c r="M899" i="1" l="1"/>
  <c r="L900" i="1"/>
  <c r="F901" i="1" s="1"/>
  <c r="K900" i="1"/>
  <c r="G901" i="1" l="1"/>
  <c r="I901" i="1" s="1"/>
  <c r="H901" i="1"/>
  <c r="J901" i="1" s="1"/>
  <c r="K901" i="1" l="1"/>
  <c r="N901" i="1"/>
  <c r="P900" i="1" s="1"/>
  <c r="L901" i="1"/>
  <c r="F902" i="1" s="1"/>
  <c r="O900" i="1" l="1"/>
  <c r="M900" i="1"/>
  <c r="G902" i="1"/>
  <c r="I902" i="1" s="1"/>
  <c r="H902" i="1"/>
  <c r="J902" i="1" s="1"/>
  <c r="K902" i="1" l="1"/>
  <c r="N902" i="1"/>
  <c r="P901" i="1" s="1"/>
  <c r="L902" i="1"/>
  <c r="F903" i="1" s="1"/>
  <c r="O901" i="1" l="1"/>
  <c r="M901" i="1"/>
  <c r="H903" i="1"/>
  <c r="J903" i="1" s="1"/>
  <c r="N903" i="1" s="1"/>
  <c r="P902" i="1" s="1"/>
  <c r="G903" i="1"/>
  <c r="I903" i="1" s="1"/>
  <c r="L903" i="1" l="1"/>
  <c r="F904" i="1" s="1"/>
  <c r="O902" i="1"/>
  <c r="M902" i="1"/>
  <c r="K903" i="1"/>
  <c r="G904" i="1" l="1"/>
  <c r="I904" i="1" s="1"/>
  <c r="H904" i="1"/>
  <c r="J904" i="1" s="1"/>
  <c r="K904" i="1" l="1"/>
  <c r="N904" i="1"/>
  <c r="P903" i="1" s="1"/>
  <c r="L904" i="1"/>
  <c r="F905" i="1" s="1"/>
  <c r="O903" i="1" l="1"/>
  <c r="M903" i="1"/>
  <c r="G905" i="1"/>
  <c r="I905" i="1" s="1"/>
  <c r="H905" i="1"/>
  <c r="J905" i="1" s="1"/>
  <c r="K905" i="1" l="1"/>
  <c r="N905" i="1"/>
  <c r="P904" i="1" s="1"/>
  <c r="L905" i="1"/>
  <c r="F906" i="1" s="1"/>
  <c r="H906" i="1" l="1"/>
  <c r="J906" i="1" s="1"/>
  <c r="G906" i="1"/>
  <c r="I906" i="1" s="1"/>
  <c r="O904" i="1"/>
  <c r="M904" i="1"/>
  <c r="L906" i="1" l="1"/>
  <c r="F907" i="1" s="1"/>
  <c r="K906" i="1"/>
  <c r="N906" i="1"/>
  <c r="P905" i="1" s="1"/>
  <c r="G907" i="1" l="1"/>
  <c r="I907" i="1" s="1"/>
  <c r="O905" i="1"/>
  <c r="M905" i="1"/>
  <c r="H907" i="1"/>
  <c r="J907" i="1" s="1"/>
  <c r="K907" i="1" l="1"/>
  <c r="N907" i="1"/>
  <c r="P906" i="1" s="1"/>
  <c r="L907" i="1"/>
  <c r="F908" i="1" s="1"/>
  <c r="O906" i="1" l="1"/>
  <c r="M906" i="1"/>
  <c r="G908" i="1"/>
  <c r="I908" i="1" s="1"/>
  <c r="H908" i="1"/>
  <c r="J908" i="1" s="1"/>
  <c r="K908" i="1" l="1"/>
  <c r="N908" i="1"/>
  <c r="P907" i="1" s="1"/>
  <c r="L908" i="1"/>
  <c r="F909" i="1" s="1"/>
  <c r="H909" i="1" l="1"/>
  <c r="J909" i="1" s="1"/>
  <c r="G909" i="1"/>
  <c r="I909" i="1" s="1"/>
  <c r="O907" i="1"/>
  <c r="M907" i="1"/>
  <c r="L909" i="1" l="1"/>
  <c r="F910" i="1" s="1"/>
  <c r="K909" i="1"/>
  <c r="N909" i="1"/>
  <c r="P908" i="1" s="1"/>
  <c r="H910" i="1" l="1"/>
  <c r="J910" i="1" s="1"/>
  <c r="N910" i="1" s="1"/>
  <c r="P909" i="1" s="1"/>
  <c r="O909" i="1" s="1"/>
  <c r="O908" i="1"/>
  <c r="M908" i="1"/>
  <c r="G910" i="1"/>
  <c r="I910" i="1" s="1"/>
  <c r="M909" i="1" l="1"/>
  <c r="K910" i="1"/>
  <c r="L910" i="1"/>
  <c r="F911" i="1" s="1"/>
  <c r="H911" i="1" l="1"/>
  <c r="J911" i="1" s="1"/>
  <c r="G911" i="1"/>
  <c r="I911" i="1" s="1"/>
  <c r="L911" i="1" l="1"/>
  <c r="F912" i="1" s="1"/>
  <c r="K911" i="1"/>
  <c r="N911" i="1"/>
  <c r="P910" i="1" s="1"/>
  <c r="H912" i="1" l="1"/>
  <c r="J912" i="1" s="1"/>
  <c r="N912" i="1" s="1"/>
  <c r="P911" i="1" s="1"/>
  <c r="O911" i="1" s="1"/>
  <c r="O910" i="1"/>
  <c r="M910" i="1"/>
  <c r="G912" i="1"/>
  <c r="I912" i="1" s="1"/>
  <c r="M911" i="1" l="1"/>
  <c r="L912" i="1"/>
  <c r="F913" i="1" s="1"/>
  <c r="K912" i="1"/>
  <c r="H913" i="1" l="1"/>
  <c r="J913" i="1" s="1"/>
  <c r="G913" i="1"/>
  <c r="I913" i="1" s="1"/>
  <c r="L913" i="1" l="1"/>
  <c r="F914" i="1" s="1"/>
  <c r="K913" i="1"/>
  <c r="N913" i="1"/>
  <c r="P912" i="1" s="1"/>
  <c r="G914" i="1" l="1"/>
  <c r="I914" i="1" s="1"/>
  <c r="O912" i="1"/>
  <c r="M912" i="1"/>
  <c r="H914" i="1"/>
  <c r="J914" i="1" s="1"/>
  <c r="N914" i="1" l="1"/>
  <c r="P913" i="1" s="1"/>
  <c r="K914" i="1"/>
  <c r="L914" i="1"/>
  <c r="F915" i="1" s="1"/>
  <c r="G915" i="1" l="1"/>
  <c r="I915" i="1" s="1"/>
  <c r="H915" i="1"/>
  <c r="J915" i="1" s="1"/>
  <c r="O913" i="1"/>
  <c r="M913" i="1"/>
  <c r="N915" i="1" l="1"/>
  <c r="P914" i="1" s="1"/>
  <c r="K915" i="1"/>
  <c r="L915" i="1"/>
  <c r="F916" i="1" s="1"/>
  <c r="H916" i="1" l="1"/>
  <c r="J916" i="1" s="1"/>
  <c r="G916" i="1"/>
  <c r="I916" i="1" s="1"/>
  <c r="O914" i="1"/>
  <c r="M914" i="1"/>
  <c r="L916" i="1" l="1"/>
  <c r="F917" i="1" s="1"/>
  <c r="K916" i="1"/>
  <c r="N916" i="1"/>
  <c r="P915" i="1" s="1"/>
  <c r="G917" i="1" l="1"/>
  <c r="I917" i="1" s="1"/>
  <c r="O915" i="1"/>
  <c r="M915" i="1"/>
  <c r="H917" i="1"/>
  <c r="J917" i="1" s="1"/>
  <c r="N917" i="1" l="1"/>
  <c r="P916" i="1" s="1"/>
  <c r="K917" i="1"/>
  <c r="L917" i="1"/>
  <c r="F918" i="1" s="1"/>
  <c r="G918" i="1" l="1"/>
  <c r="I918" i="1" s="1"/>
  <c r="H918" i="1"/>
  <c r="J918" i="1" s="1"/>
  <c r="O916" i="1"/>
  <c r="M916" i="1"/>
  <c r="N918" i="1" l="1"/>
  <c r="P917" i="1" s="1"/>
  <c r="K918" i="1"/>
  <c r="L918" i="1"/>
  <c r="F919" i="1" s="1"/>
  <c r="H919" i="1" l="1"/>
  <c r="J919" i="1" s="1"/>
  <c r="G919" i="1"/>
  <c r="I919" i="1" s="1"/>
  <c r="O917" i="1"/>
  <c r="M917" i="1"/>
  <c r="L919" i="1" l="1"/>
  <c r="F920" i="1" s="1"/>
  <c r="N919" i="1"/>
  <c r="P918" i="1" s="1"/>
  <c r="K919" i="1"/>
  <c r="G920" i="1" l="1"/>
  <c r="I920" i="1" s="1"/>
  <c r="O918" i="1"/>
  <c r="M918" i="1"/>
  <c r="H920" i="1"/>
  <c r="J920" i="1" s="1"/>
  <c r="L920" i="1" l="1"/>
  <c r="F921" i="1" s="1"/>
  <c r="K920" i="1"/>
  <c r="N920" i="1"/>
  <c r="P919" i="1" s="1"/>
  <c r="O919" i="1" l="1"/>
  <c r="M919" i="1"/>
  <c r="G921" i="1"/>
  <c r="I921" i="1" s="1"/>
  <c r="H921" i="1"/>
  <c r="J921" i="1" s="1"/>
  <c r="N921" i="1" l="1"/>
  <c r="P920" i="1" s="1"/>
  <c r="K921" i="1"/>
  <c r="L921" i="1"/>
  <c r="F922" i="1" s="1"/>
  <c r="G922" i="1" l="1"/>
  <c r="I922" i="1" s="1"/>
  <c r="H922" i="1"/>
  <c r="J922" i="1" s="1"/>
  <c r="O920" i="1"/>
  <c r="M920" i="1"/>
  <c r="N922" i="1" l="1"/>
  <c r="P921" i="1" s="1"/>
  <c r="K922" i="1"/>
  <c r="L922" i="1"/>
  <c r="F923" i="1" s="1"/>
  <c r="H923" i="1" l="1"/>
  <c r="J923" i="1" s="1"/>
  <c r="G923" i="1"/>
  <c r="I923" i="1" s="1"/>
  <c r="O921" i="1"/>
  <c r="M921" i="1"/>
  <c r="L923" i="1" l="1"/>
  <c r="F924" i="1" s="1"/>
  <c r="N923" i="1"/>
  <c r="P922" i="1" s="1"/>
  <c r="K923" i="1"/>
  <c r="G924" i="1" l="1"/>
  <c r="I924" i="1" s="1"/>
  <c r="O922" i="1"/>
  <c r="M922" i="1"/>
  <c r="H924" i="1"/>
  <c r="J924" i="1" s="1"/>
  <c r="L924" i="1" l="1"/>
  <c r="F925" i="1" s="1"/>
  <c r="K924" i="1"/>
  <c r="N924" i="1"/>
  <c r="P923" i="1" s="1"/>
  <c r="O923" i="1" l="1"/>
  <c r="M923" i="1"/>
  <c r="H925" i="1"/>
  <c r="J925" i="1" s="1"/>
  <c r="G925" i="1"/>
  <c r="I925" i="1" s="1"/>
  <c r="L925" i="1" l="1"/>
  <c r="F926" i="1" s="1"/>
  <c r="N925" i="1"/>
  <c r="P924" i="1" s="1"/>
  <c r="K925" i="1"/>
  <c r="H926" i="1" l="1"/>
  <c r="J926" i="1" s="1"/>
  <c r="N926" i="1" s="1"/>
  <c r="P925" i="1" s="1"/>
  <c r="O925" i="1" s="1"/>
  <c r="O924" i="1"/>
  <c r="M924" i="1"/>
  <c r="G926" i="1"/>
  <c r="I926" i="1" s="1"/>
  <c r="M925" i="1" l="1"/>
  <c r="L926" i="1"/>
  <c r="F927" i="1" s="1"/>
  <c r="K926" i="1"/>
  <c r="H927" i="1" l="1"/>
  <c r="J927" i="1" s="1"/>
  <c r="G927" i="1"/>
  <c r="I927" i="1" s="1"/>
  <c r="L927" i="1" l="1"/>
  <c r="F928" i="1" s="1"/>
  <c r="K927" i="1"/>
  <c r="N927" i="1"/>
  <c r="P926" i="1" s="1"/>
  <c r="H928" i="1" l="1"/>
  <c r="J928" i="1" s="1"/>
  <c r="N928" i="1" s="1"/>
  <c r="P927" i="1" s="1"/>
  <c r="O927" i="1" s="1"/>
  <c r="O926" i="1"/>
  <c r="M926" i="1"/>
  <c r="G928" i="1"/>
  <c r="I928" i="1" s="1"/>
  <c r="M927" i="1" l="1"/>
  <c r="L928" i="1"/>
  <c r="F929" i="1" s="1"/>
  <c r="K928" i="1"/>
  <c r="G929" i="1" l="1"/>
  <c r="I929" i="1" s="1"/>
  <c r="H929" i="1"/>
  <c r="J929" i="1" s="1"/>
  <c r="K929" i="1" l="1"/>
  <c r="N929" i="1"/>
  <c r="P928" i="1" s="1"/>
  <c r="L929" i="1"/>
  <c r="F930" i="1" s="1"/>
  <c r="O928" i="1" l="1"/>
  <c r="M928" i="1"/>
  <c r="G930" i="1"/>
  <c r="I930" i="1" s="1"/>
  <c r="H930" i="1"/>
  <c r="J930" i="1" s="1"/>
  <c r="K930" i="1" l="1"/>
  <c r="N930" i="1"/>
  <c r="P929" i="1" s="1"/>
  <c r="L930" i="1"/>
  <c r="F931" i="1" s="1"/>
  <c r="O929" i="1" l="1"/>
  <c r="M929" i="1"/>
  <c r="H931" i="1"/>
  <c r="J931" i="1" s="1"/>
  <c r="N931" i="1" s="1"/>
  <c r="P930" i="1" s="1"/>
  <c r="G931" i="1"/>
  <c r="I931" i="1" s="1"/>
  <c r="L931" i="1" l="1"/>
  <c r="F932" i="1" s="1"/>
  <c r="O930" i="1"/>
  <c r="M930" i="1"/>
  <c r="K931" i="1"/>
  <c r="H932" i="1" l="1"/>
  <c r="J932" i="1" s="1"/>
  <c r="N932" i="1" s="1"/>
  <c r="P931" i="1" s="1"/>
  <c r="O931" i="1" s="1"/>
  <c r="G932" i="1"/>
  <c r="I932" i="1" s="1"/>
  <c r="L932" i="1" l="1"/>
  <c r="F933" i="1" s="1"/>
  <c r="M931" i="1"/>
  <c r="K932" i="1"/>
  <c r="G933" i="1" l="1"/>
  <c r="I933" i="1" s="1"/>
  <c r="H933" i="1"/>
  <c r="J933" i="1" s="1"/>
  <c r="K933" i="1" l="1"/>
  <c r="N933" i="1"/>
  <c r="P932" i="1" s="1"/>
  <c r="L933" i="1"/>
  <c r="F934" i="1" s="1"/>
  <c r="O932" i="1" l="1"/>
  <c r="M932" i="1"/>
  <c r="G934" i="1"/>
  <c r="I934" i="1" s="1"/>
  <c r="H934" i="1"/>
  <c r="J934" i="1" s="1"/>
  <c r="K934" i="1" l="1"/>
  <c r="N934" i="1"/>
  <c r="P933" i="1" s="1"/>
  <c r="L934" i="1"/>
  <c r="F935" i="1" s="1"/>
  <c r="O933" i="1" l="1"/>
  <c r="M933" i="1"/>
  <c r="G935" i="1"/>
  <c r="I935" i="1" s="1"/>
  <c r="H935" i="1"/>
  <c r="J935" i="1" s="1"/>
  <c r="K935" i="1" l="1"/>
  <c r="N935" i="1"/>
  <c r="P934" i="1" s="1"/>
  <c r="L935" i="1"/>
  <c r="F936" i="1" s="1"/>
  <c r="O934" i="1" l="1"/>
  <c r="M934" i="1"/>
  <c r="G936" i="1"/>
  <c r="I936" i="1" s="1"/>
  <c r="H936" i="1"/>
  <c r="J936" i="1" s="1"/>
  <c r="K936" i="1" l="1"/>
  <c r="N936" i="1"/>
  <c r="P935" i="1" s="1"/>
  <c r="L936" i="1"/>
  <c r="F937" i="1" s="1"/>
  <c r="G937" i="1" l="1"/>
  <c r="I937" i="1" s="1"/>
  <c r="H937" i="1"/>
  <c r="J937" i="1" s="1"/>
  <c r="O935" i="1"/>
  <c r="M935" i="1"/>
  <c r="K937" i="1" l="1"/>
  <c r="N937" i="1"/>
  <c r="P936" i="1" s="1"/>
  <c r="L937" i="1"/>
  <c r="F938" i="1" s="1"/>
  <c r="O936" i="1" l="1"/>
  <c r="M936" i="1"/>
  <c r="G938" i="1"/>
  <c r="I938" i="1" s="1"/>
  <c r="H938" i="1"/>
  <c r="J938" i="1" s="1"/>
  <c r="K938" i="1" l="1"/>
  <c r="N938" i="1"/>
  <c r="P937" i="1" s="1"/>
  <c r="L938" i="1"/>
  <c r="F939" i="1" s="1"/>
  <c r="G939" i="1" l="1"/>
  <c r="I939" i="1" s="1"/>
  <c r="H939" i="1"/>
  <c r="J939" i="1" s="1"/>
  <c r="O937" i="1"/>
  <c r="M937" i="1"/>
  <c r="K939" i="1" l="1"/>
  <c r="N939" i="1"/>
  <c r="P938" i="1" s="1"/>
  <c r="L939" i="1"/>
  <c r="F940" i="1" s="1"/>
  <c r="O938" i="1" l="1"/>
  <c r="M938" i="1"/>
  <c r="G940" i="1"/>
  <c r="I940" i="1" s="1"/>
  <c r="H940" i="1"/>
  <c r="J940" i="1" s="1"/>
  <c r="K940" i="1" l="1"/>
  <c r="N940" i="1"/>
  <c r="P939" i="1" s="1"/>
  <c r="L940" i="1"/>
  <c r="F941" i="1" s="1"/>
  <c r="G941" i="1" l="1"/>
  <c r="I941" i="1" s="1"/>
  <c r="H941" i="1"/>
  <c r="J941" i="1" s="1"/>
  <c r="O939" i="1"/>
  <c r="M939" i="1"/>
  <c r="K941" i="1" l="1"/>
  <c r="N941" i="1"/>
  <c r="P940" i="1" s="1"/>
  <c r="L941" i="1"/>
  <c r="F942" i="1" s="1"/>
  <c r="O940" i="1" l="1"/>
  <c r="M940" i="1"/>
  <c r="H942" i="1"/>
  <c r="J942" i="1" s="1"/>
  <c r="G942" i="1"/>
  <c r="I942" i="1" s="1"/>
  <c r="L942" i="1" l="1"/>
  <c r="F943" i="1" s="1"/>
  <c r="K942" i="1"/>
  <c r="N942" i="1"/>
  <c r="P941" i="1" s="1"/>
  <c r="H943" i="1" l="1"/>
  <c r="J943" i="1" s="1"/>
  <c r="N943" i="1" s="1"/>
  <c r="P942" i="1" s="1"/>
  <c r="O942" i="1" s="1"/>
  <c r="O941" i="1"/>
  <c r="M941" i="1"/>
  <c r="G943" i="1"/>
  <c r="I943" i="1" s="1"/>
  <c r="M942" i="1" l="1"/>
  <c r="L943" i="1"/>
  <c r="F944" i="1" s="1"/>
  <c r="K943" i="1"/>
  <c r="G944" i="1" l="1"/>
  <c r="I944" i="1" s="1"/>
  <c r="H944" i="1"/>
  <c r="J944" i="1" s="1"/>
  <c r="K944" i="1" l="1"/>
  <c r="N944" i="1"/>
  <c r="P943" i="1" s="1"/>
  <c r="L944" i="1"/>
  <c r="F945" i="1" s="1"/>
  <c r="O943" i="1" l="1"/>
  <c r="M943" i="1"/>
  <c r="H945" i="1"/>
  <c r="J945" i="1" s="1"/>
  <c r="N945" i="1" s="1"/>
  <c r="P944" i="1" s="1"/>
  <c r="G945" i="1"/>
  <c r="I945" i="1" s="1"/>
  <c r="L945" i="1" l="1"/>
  <c r="F946" i="1" s="1"/>
  <c r="O944" i="1"/>
  <c r="M944" i="1"/>
  <c r="K945" i="1"/>
  <c r="G946" i="1" l="1"/>
  <c r="I946" i="1" s="1"/>
  <c r="H946" i="1"/>
  <c r="J946" i="1" s="1"/>
  <c r="K946" i="1" l="1"/>
  <c r="N946" i="1"/>
  <c r="P945" i="1" s="1"/>
  <c r="L946" i="1"/>
  <c r="F947" i="1" s="1"/>
  <c r="O945" i="1" l="1"/>
  <c r="M945" i="1"/>
  <c r="H947" i="1"/>
  <c r="J947" i="1" s="1"/>
  <c r="G947" i="1"/>
  <c r="I947" i="1" s="1"/>
  <c r="L947" i="1" l="1"/>
  <c r="F948" i="1" s="1"/>
  <c r="K947" i="1"/>
  <c r="N947" i="1"/>
  <c r="P946" i="1" s="1"/>
  <c r="H948" i="1" l="1"/>
  <c r="J948" i="1" s="1"/>
  <c r="N948" i="1" s="1"/>
  <c r="P947" i="1" s="1"/>
  <c r="O947" i="1" s="1"/>
  <c r="O946" i="1"/>
  <c r="M946" i="1"/>
  <c r="G948" i="1"/>
  <c r="I948" i="1" s="1"/>
  <c r="M947" i="1" l="1"/>
  <c r="K948" i="1"/>
  <c r="L948" i="1"/>
  <c r="F949" i="1" s="1"/>
  <c r="G949" i="1" l="1"/>
  <c r="I949" i="1" s="1"/>
  <c r="H949" i="1"/>
  <c r="J949" i="1" s="1"/>
  <c r="K949" i="1" l="1"/>
  <c r="N949" i="1"/>
  <c r="P948" i="1" s="1"/>
  <c r="L949" i="1"/>
  <c r="F950" i="1" s="1"/>
  <c r="O948" i="1" l="1"/>
  <c r="M948" i="1"/>
  <c r="G950" i="1"/>
  <c r="I950" i="1" s="1"/>
  <c r="H950" i="1"/>
  <c r="J950" i="1" s="1"/>
  <c r="K950" i="1" l="1"/>
  <c r="N950" i="1"/>
  <c r="P949" i="1" s="1"/>
  <c r="L950" i="1"/>
  <c r="F951" i="1" s="1"/>
  <c r="H951" i="1" l="1"/>
  <c r="J951" i="1" s="1"/>
  <c r="G951" i="1"/>
  <c r="I951" i="1" s="1"/>
  <c r="O949" i="1"/>
  <c r="M949" i="1"/>
  <c r="L951" i="1" l="1"/>
  <c r="F952" i="1" s="1"/>
  <c r="K951" i="1"/>
  <c r="N951" i="1"/>
  <c r="P950" i="1" s="1"/>
  <c r="G952" i="1" l="1"/>
  <c r="I952" i="1" s="1"/>
  <c r="H952" i="1"/>
  <c r="J952" i="1" s="1"/>
  <c r="O950" i="1"/>
  <c r="M950" i="1"/>
  <c r="K952" i="1" l="1"/>
  <c r="N952" i="1"/>
  <c r="P951" i="1" s="1"/>
  <c r="O951" i="1" s="1"/>
  <c r="L952" i="1"/>
  <c r="F953" i="1" s="1"/>
  <c r="M951" i="1" l="1"/>
  <c r="G953" i="1"/>
  <c r="I953" i="1" s="1"/>
  <c r="H953" i="1"/>
  <c r="J953" i="1" s="1"/>
  <c r="N953" i="1" l="1"/>
  <c r="P952" i="1" s="1"/>
  <c r="K953" i="1"/>
  <c r="L953" i="1"/>
  <c r="F954" i="1" s="1"/>
  <c r="H954" i="1" l="1"/>
  <c r="J954" i="1" s="1"/>
  <c r="G954" i="1"/>
  <c r="I954" i="1" s="1"/>
  <c r="O952" i="1"/>
  <c r="M952" i="1"/>
  <c r="L954" i="1" l="1"/>
  <c r="F955" i="1" s="1"/>
  <c r="K954" i="1"/>
  <c r="N954" i="1"/>
  <c r="P953" i="1" s="1"/>
  <c r="G955" i="1" l="1"/>
  <c r="I955" i="1" s="1"/>
  <c r="O953" i="1"/>
  <c r="M953" i="1"/>
  <c r="H955" i="1"/>
  <c r="J955" i="1" s="1"/>
  <c r="L955" i="1" l="1"/>
  <c r="F956" i="1" s="1"/>
  <c r="N955" i="1"/>
  <c r="P954" i="1" s="1"/>
  <c r="K955" i="1"/>
  <c r="O954" i="1" l="1"/>
  <c r="M954" i="1"/>
  <c r="G956" i="1"/>
  <c r="I956" i="1" s="1"/>
  <c r="H956" i="1"/>
  <c r="J956" i="1" s="1"/>
  <c r="K956" i="1" l="1"/>
  <c r="N956" i="1"/>
  <c r="P955" i="1" s="1"/>
  <c r="L956" i="1"/>
  <c r="F957" i="1" s="1"/>
  <c r="G957" i="1" l="1"/>
  <c r="I957" i="1" s="1"/>
  <c r="H957" i="1"/>
  <c r="J957" i="1" s="1"/>
  <c r="O955" i="1"/>
  <c r="M955" i="1"/>
  <c r="K957" i="1" l="1"/>
  <c r="N957" i="1"/>
  <c r="P956" i="1" s="1"/>
  <c r="L957" i="1"/>
  <c r="F958" i="1" s="1"/>
  <c r="O956" i="1" l="1"/>
  <c r="M956" i="1"/>
  <c r="H958" i="1"/>
  <c r="J958" i="1" s="1"/>
  <c r="N958" i="1" s="1"/>
  <c r="P957" i="1" s="1"/>
  <c r="O957" i="1" s="1"/>
  <c r="G958" i="1"/>
  <c r="I958" i="1" s="1"/>
  <c r="L958" i="1" l="1"/>
  <c r="F959" i="1" s="1"/>
  <c r="M957" i="1"/>
  <c r="K958" i="1"/>
  <c r="G959" i="1" l="1"/>
  <c r="I959" i="1" s="1"/>
  <c r="H959" i="1"/>
  <c r="J959" i="1" s="1"/>
  <c r="K959" i="1" l="1"/>
  <c r="N959" i="1"/>
  <c r="P958" i="1" s="1"/>
  <c r="L959" i="1"/>
  <c r="F960" i="1" s="1"/>
  <c r="O958" i="1" l="1"/>
  <c r="M958" i="1"/>
  <c r="G960" i="1"/>
  <c r="I960" i="1" s="1"/>
  <c r="H960" i="1"/>
  <c r="J960" i="1" s="1"/>
  <c r="K960" i="1" l="1"/>
  <c r="N960" i="1"/>
  <c r="P959" i="1" s="1"/>
  <c r="L960" i="1"/>
  <c r="F961" i="1" s="1"/>
  <c r="H961" i="1" l="1"/>
  <c r="J961" i="1" s="1"/>
  <c r="G961" i="1"/>
  <c r="I961" i="1" s="1"/>
  <c r="O959" i="1"/>
  <c r="M959" i="1"/>
  <c r="L961" i="1" l="1"/>
  <c r="F962" i="1" s="1"/>
  <c r="K961" i="1"/>
  <c r="N961" i="1"/>
  <c r="P960" i="1" s="1"/>
  <c r="G962" i="1" l="1"/>
  <c r="I962" i="1" s="1"/>
  <c r="O960" i="1"/>
  <c r="M960" i="1"/>
  <c r="H962" i="1"/>
  <c r="J962" i="1" s="1"/>
  <c r="L962" i="1" l="1"/>
  <c r="F963" i="1" s="1"/>
  <c r="N962" i="1"/>
  <c r="P961" i="1" s="1"/>
  <c r="K962" i="1"/>
  <c r="O961" i="1" l="1"/>
  <c r="M961" i="1"/>
  <c r="H963" i="1"/>
  <c r="J963" i="1" s="1"/>
  <c r="G963" i="1"/>
  <c r="I963" i="1" s="1"/>
  <c r="L963" i="1" l="1"/>
  <c r="F964" i="1" s="1"/>
  <c r="K963" i="1"/>
  <c r="N963" i="1"/>
  <c r="P962" i="1" s="1"/>
  <c r="H964" i="1" l="1"/>
  <c r="J964" i="1" s="1"/>
  <c r="N964" i="1" s="1"/>
  <c r="P963" i="1" s="1"/>
  <c r="O962" i="1"/>
  <c r="M962" i="1"/>
  <c r="G964" i="1"/>
  <c r="I964" i="1" s="1"/>
  <c r="O963" i="1" l="1"/>
  <c r="M963" i="1"/>
  <c r="L964" i="1"/>
  <c r="F965" i="1" s="1"/>
  <c r="K964" i="1"/>
  <c r="H965" i="1" l="1"/>
  <c r="J965" i="1" s="1"/>
  <c r="G965" i="1"/>
  <c r="I965" i="1" s="1"/>
  <c r="L965" i="1" l="1"/>
  <c r="F966" i="1" s="1"/>
  <c r="K965" i="1"/>
  <c r="N965" i="1"/>
  <c r="P964" i="1" s="1"/>
  <c r="H966" i="1" l="1"/>
  <c r="J966" i="1" s="1"/>
  <c r="N966" i="1" s="1"/>
  <c r="P965" i="1" s="1"/>
  <c r="O964" i="1"/>
  <c r="M964" i="1"/>
  <c r="G966" i="1"/>
  <c r="I966" i="1" s="1"/>
  <c r="O965" i="1" l="1"/>
  <c r="M965" i="1"/>
  <c r="L966" i="1"/>
  <c r="F967" i="1" s="1"/>
  <c r="K966" i="1"/>
  <c r="G967" i="1" l="1"/>
  <c r="I967" i="1" s="1"/>
  <c r="H967" i="1"/>
  <c r="J967" i="1" s="1"/>
  <c r="K967" i="1" l="1"/>
  <c r="N967" i="1"/>
  <c r="P966" i="1" s="1"/>
  <c r="L967" i="1"/>
  <c r="F968" i="1" s="1"/>
  <c r="O966" i="1" l="1"/>
  <c r="M966" i="1"/>
  <c r="H968" i="1"/>
  <c r="J968" i="1" s="1"/>
  <c r="N968" i="1" s="1"/>
  <c r="P967" i="1" s="1"/>
  <c r="O967" i="1" s="1"/>
  <c r="G968" i="1"/>
  <c r="I968" i="1" s="1"/>
  <c r="M967" i="1" l="1"/>
  <c r="L968" i="1"/>
  <c r="F969" i="1" s="1"/>
  <c r="K968" i="1"/>
  <c r="H969" i="1" l="1"/>
  <c r="J969" i="1" s="1"/>
  <c r="N969" i="1" s="1"/>
  <c r="P968" i="1" s="1"/>
  <c r="O968" i="1" s="1"/>
  <c r="G969" i="1"/>
  <c r="I969" i="1" s="1"/>
  <c r="L969" i="1" l="1"/>
  <c r="F970" i="1" s="1"/>
  <c r="K969" i="1"/>
  <c r="M968" i="1"/>
  <c r="H970" i="1" l="1"/>
  <c r="J970" i="1" s="1"/>
  <c r="N970" i="1" s="1"/>
  <c r="P969" i="1" s="1"/>
  <c r="O969" i="1" s="1"/>
  <c r="G970" i="1"/>
  <c r="I970" i="1" s="1"/>
  <c r="K970" i="1" l="1"/>
  <c r="L970" i="1"/>
  <c r="F971" i="1" s="1"/>
  <c r="M969" i="1"/>
  <c r="H971" i="1" l="1"/>
  <c r="J971" i="1" s="1"/>
  <c r="N971" i="1" s="1"/>
  <c r="P970" i="1" s="1"/>
  <c r="O970" i="1" s="1"/>
  <c r="G971" i="1"/>
  <c r="I971" i="1" s="1"/>
  <c r="K971" i="1" l="1"/>
  <c r="L971" i="1"/>
  <c r="F972" i="1" s="1"/>
  <c r="M970" i="1"/>
  <c r="G972" i="1" l="1"/>
  <c r="I972" i="1" s="1"/>
  <c r="H972" i="1"/>
  <c r="J972" i="1" s="1"/>
  <c r="K972" i="1" l="1"/>
  <c r="L972" i="1"/>
  <c r="F973" i="1" s="1"/>
  <c r="N972" i="1"/>
  <c r="P971" i="1" s="1"/>
  <c r="O971" i="1" s="1"/>
  <c r="M971" i="1" l="1"/>
  <c r="H973" i="1"/>
  <c r="J973" i="1" s="1"/>
  <c r="G973" i="1"/>
  <c r="I973" i="1" s="1"/>
  <c r="L973" i="1" l="1"/>
  <c r="F974" i="1" s="1"/>
  <c r="N973" i="1"/>
  <c r="P972" i="1" s="1"/>
  <c r="K973" i="1"/>
  <c r="H974" i="1" l="1"/>
  <c r="J974" i="1" s="1"/>
  <c r="N974" i="1" s="1"/>
  <c r="P973" i="1" s="1"/>
  <c r="O973" i="1" s="1"/>
  <c r="O972" i="1"/>
  <c r="M972" i="1"/>
  <c r="G974" i="1"/>
  <c r="I974" i="1" s="1"/>
  <c r="L974" i="1" l="1"/>
  <c r="F975" i="1" s="1"/>
  <c r="M973" i="1"/>
  <c r="K974" i="1"/>
  <c r="H975" i="1" l="1"/>
  <c r="J975" i="1" s="1"/>
  <c r="G975" i="1"/>
  <c r="I975" i="1" s="1"/>
  <c r="L975" i="1" l="1"/>
  <c r="F976" i="1" s="1"/>
  <c r="K975" i="1"/>
  <c r="N975" i="1"/>
  <c r="P974" i="1" s="1"/>
  <c r="O974" i="1" l="1"/>
  <c r="M974" i="1"/>
  <c r="G976" i="1"/>
  <c r="I976" i="1" s="1"/>
  <c r="H976" i="1"/>
  <c r="J976" i="1" s="1"/>
  <c r="N976" i="1" l="1"/>
  <c r="P975" i="1" s="1"/>
  <c r="K976" i="1"/>
  <c r="L976" i="1"/>
  <c r="F977" i="1" s="1"/>
  <c r="H977" i="1" l="1"/>
  <c r="J977" i="1" s="1"/>
  <c r="G977" i="1"/>
  <c r="I977" i="1" s="1"/>
  <c r="O975" i="1"/>
  <c r="M975" i="1"/>
  <c r="L977" i="1" l="1"/>
  <c r="F978" i="1" s="1"/>
  <c r="K977" i="1"/>
  <c r="N977" i="1"/>
  <c r="P976" i="1" s="1"/>
  <c r="O976" i="1" l="1"/>
  <c r="M976" i="1"/>
  <c r="H978" i="1"/>
  <c r="J978" i="1" s="1"/>
  <c r="G978" i="1"/>
  <c r="I978" i="1" s="1"/>
  <c r="L978" i="1" l="1"/>
  <c r="F979" i="1" s="1"/>
  <c r="N978" i="1"/>
  <c r="P977" i="1" s="1"/>
  <c r="K978" i="1"/>
  <c r="H979" i="1" l="1"/>
  <c r="J979" i="1" s="1"/>
  <c r="N979" i="1" s="1"/>
  <c r="P978" i="1" s="1"/>
  <c r="O978" i="1" s="1"/>
  <c r="G979" i="1"/>
  <c r="I979" i="1" s="1"/>
  <c r="O977" i="1"/>
  <c r="M977" i="1"/>
  <c r="L979" i="1" l="1"/>
  <c r="F980" i="1" s="1"/>
  <c r="K979" i="1"/>
  <c r="M978" i="1"/>
  <c r="G980" i="1" l="1"/>
  <c r="I980" i="1" s="1"/>
  <c r="H980" i="1"/>
  <c r="J980" i="1" s="1"/>
  <c r="K980" i="1" l="1"/>
  <c r="N980" i="1"/>
  <c r="P979" i="1" s="1"/>
  <c r="O979" i="1" s="1"/>
  <c r="L980" i="1"/>
  <c r="F981" i="1" s="1"/>
  <c r="H981" i="1" l="1"/>
  <c r="J981" i="1" s="1"/>
  <c r="N981" i="1" s="1"/>
  <c r="P980" i="1" s="1"/>
  <c r="O980" i="1" s="1"/>
  <c r="M979" i="1"/>
  <c r="G981" i="1"/>
  <c r="I981" i="1" s="1"/>
  <c r="M980" i="1" l="1"/>
  <c r="L981" i="1"/>
  <c r="F982" i="1" s="1"/>
  <c r="K981" i="1"/>
  <c r="H982" i="1" l="1"/>
  <c r="J982" i="1" s="1"/>
  <c r="G982" i="1"/>
  <c r="I982" i="1" s="1"/>
  <c r="L982" i="1" l="1"/>
  <c r="F983" i="1" s="1"/>
  <c r="N982" i="1"/>
  <c r="P981" i="1" s="1"/>
  <c r="K982" i="1"/>
  <c r="H983" i="1" l="1"/>
  <c r="J983" i="1" s="1"/>
  <c r="N983" i="1" s="1"/>
  <c r="P982" i="1" s="1"/>
  <c r="O982" i="1" s="1"/>
  <c r="O981" i="1"/>
  <c r="M981" i="1"/>
  <c r="G983" i="1"/>
  <c r="I983" i="1" s="1"/>
  <c r="L983" i="1" l="1"/>
  <c r="F984" i="1" s="1"/>
  <c r="M982" i="1"/>
  <c r="K983" i="1"/>
  <c r="G984" i="1" l="1"/>
  <c r="I984" i="1" s="1"/>
  <c r="H984" i="1"/>
  <c r="J984" i="1" s="1"/>
  <c r="K984" i="1" l="1"/>
  <c r="N984" i="1"/>
  <c r="P983" i="1" s="1"/>
  <c r="L984" i="1"/>
  <c r="F985" i="1" s="1"/>
  <c r="O983" i="1" l="1"/>
  <c r="M983" i="1"/>
  <c r="H985" i="1"/>
  <c r="J985" i="1" s="1"/>
  <c r="G985" i="1"/>
  <c r="I985" i="1" s="1"/>
  <c r="N985" i="1" l="1"/>
  <c r="P984" i="1" s="1"/>
  <c r="K985" i="1"/>
  <c r="L985" i="1"/>
  <c r="F986" i="1" s="1"/>
  <c r="G986" i="1" l="1"/>
  <c r="I986" i="1" s="1"/>
  <c r="H986" i="1"/>
  <c r="J986" i="1" s="1"/>
  <c r="O984" i="1"/>
  <c r="M984" i="1"/>
  <c r="K986" i="1" l="1"/>
  <c r="N986" i="1"/>
  <c r="P985" i="1" s="1"/>
  <c r="L986" i="1"/>
  <c r="F987" i="1" s="1"/>
  <c r="G987" i="1" l="1"/>
  <c r="I987" i="1" s="1"/>
  <c r="H987" i="1"/>
  <c r="J987" i="1" s="1"/>
  <c r="O985" i="1"/>
  <c r="M985" i="1"/>
  <c r="K987" i="1" l="1"/>
  <c r="N987" i="1"/>
  <c r="P986" i="1" s="1"/>
  <c r="L987" i="1"/>
  <c r="F988" i="1" s="1"/>
  <c r="G988" i="1" l="1"/>
  <c r="I988" i="1" s="1"/>
  <c r="H988" i="1"/>
  <c r="J988" i="1" s="1"/>
  <c r="O986" i="1"/>
  <c r="M986" i="1"/>
  <c r="L988" i="1" l="1"/>
  <c r="F989" i="1" s="1"/>
  <c r="N988" i="1"/>
  <c r="P987" i="1" s="1"/>
  <c r="K988" i="1"/>
  <c r="H989" i="1" l="1"/>
  <c r="J989" i="1" s="1"/>
  <c r="N989" i="1" s="1"/>
  <c r="P988" i="1" s="1"/>
  <c r="O988" i="1" s="1"/>
  <c r="O987" i="1"/>
  <c r="M987" i="1"/>
  <c r="G989" i="1"/>
  <c r="I989" i="1" s="1"/>
  <c r="L989" i="1" l="1"/>
  <c r="F990" i="1" s="1"/>
  <c r="M988" i="1"/>
  <c r="K989" i="1"/>
  <c r="G990" i="1" l="1"/>
  <c r="I990" i="1" s="1"/>
  <c r="H990" i="1"/>
  <c r="J990" i="1" s="1"/>
  <c r="N990" i="1" l="1"/>
  <c r="P989" i="1" s="1"/>
  <c r="K990" i="1"/>
  <c r="L990" i="1"/>
  <c r="F991" i="1" s="1"/>
  <c r="G991" i="1" l="1"/>
  <c r="I991" i="1" s="1"/>
  <c r="H991" i="1"/>
  <c r="J991" i="1" s="1"/>
  <c r="O989" i="1"/>
  <c r="M989" i="1"/>
  <c r="N991" i="1" l="1"/>
  <c r="P990" i="1" s="1"/>
  <c r="K991" i="1"/>
  <c r="L991" i="1"/>
  <c r="F992" i="1" s="1"/>
  <c r="H992" i="1" l="1"/>
  <c r="J992" i="1" s="1"/>
  <c r="N992" i="1" s="1"/>
  <c r="P991" i="1" s="1"/>
  <c r="G992" i="1"/>
  <c r="I992" i="1" s="1"/>
  <c r="O990" i="1"/>
  <c r="M990" i="1"/>
  <c r="L992" i="1" l="1"/>
  <c r="F993" i="1" s="1"/>
  <c r="O991" i="1"/>
  <c r="M991" i="1"/>
  <c r="K992" i="1"/>
  <c r="G993" i="1" l="1"/>
  <c r="I993" i="1" s="1"/>
  <c r="H993" i="1"/>
  <c r="J993" i="1" s="1"/>
  <c r="N993" i="1" l="1"/>
  <c r="P992" i="1" s="1"/>
  <c r="K993" i="1"/>
  <c r="L993" i="1"/>
  <c r="F994" i="1" s="1"/>
  <c r="G994" i="1" l="1"/>
  <c r="I994" i="1" s="1"/>
  <c r="H994" i="1"/>
  <c r="J994" i="1" s="1"/>
  <c r="O992" i="1"/>
  <c r="M992" i="1"/>
  <c r="K994" i="1" l="1"/>
  <c r="N994" i="1"/>
  <c r="P993" i="1" s="1"/>
  <c r="L994" i="1"/>
  <c r="F995" i="1" s="1"/>
  <c r="G995" i="1" l="1"/>
  <c r="I995" i="1" s="1"/>
  <c r="H995" i="1"/>
  <c r="J995" i="1" s="1"/>
  <c r="O993" i="1"/>
  <c r="M993" i="1"/>
  <c r="L995" i="1" l="1"/>
  <c r="F996" i="1" s="1"/>
  <c r="K995" i="1"/>
  <c r="N995" i="1"/>
  <c r="P994" i="1" s="1"/>
  <c r="H996" i="1" l="1"/>
  <c r="J996" i="1" s="1"/>
  <c r="N996" i="1" s="1"/>
  <c r="P995" i="1" s="1"/>
  <c r="O995" i="1" s="1"/>
  <c r="G996" i="1"/>
  <c r="I996" i="1" s="1"/>
  <c r="O994" i="1"/>
  <c r="M994" i="1"/>
  <c r="M995" i="1" l="1"/>
  <c r="K996" i="1"/>
  <c r="L996" i="1"/>
  <c r="F997" i="1" s="1"/>
  <c r="H997" i="1" l="1"/>
  <c r="J997" i="1" s="1"/>
  <c r="G997" i="1"/>
  <c r="I997" i="1" s="1"/>
  <c r="L997" i="1" l="1"/>
  <c r="F998" i="1" s="1"/>
  <c r="K997" i="1"/>
  <c r="N997" i="1"/>
  <c r="P996" i="1" s="1"/>
  <c r="O996" i="1" l="1"/>
  <c r="M996" i="1"/>
  <c r="G998" i="1"/>
  <c r="I998" i="1" s="1"/>
  <c r="H998" i="1"/>
  <c r="J998" i="1" s="1"/>
  <c r="N998" i="1" s="1"/>
  <c r="P997" i="1" s="1"/>
  <c r="L998" i="1" l="1"/>
  <c r="F999" i="1" s="1"/>
  <c r="O997" i="1"/>
  <c r="M997" i="1"/>
  <c r="K998" i="1"/>
  <c r="H999" i="1" l="1"/>
  <c r="J999" i="1" s="1"/>
  <c r="N999" i="1" s="1"/>
  <c r="P998" i="1" s="1"/>
  <c r="O998" i="1" s="1"/>
  <c r="G999" i="1"/>
  <c r="I999" i="1" s="1"/>
  <c r="L999" i="1" l="1"/>
  <c r="F1000" i="1" s="1"/>
  <c r="M998" i="1"/>
  <c r="K999" i="1"/>
  <c r="H1000" i="1" l="1"/>
  <c r="J1000" i="1" s="1"/>
  <c r="N1000" i="1" s="1"/>
  <c r="P999" i="1" s="1"/>
  <c r="O999" i="1" s="1"/>
  <c r="G1000" i="1"/>
  <c r="I1000" i="1" s="1"/>
  <c r="L1000" i="1" l="1"/>
  <c r="F1001" i="1" s="1"/>
  <c r="M999" i="1"/>
  <c r="K1000" i="1"/>
  <c r="G1001" i="1" l="1"/>
  <c r="I1001" i="1" s="1"/>
  <c r="H1001" i="1"/>
  <c r="J1001" i="1" s="1"/>
  <c r="N1001" i="1" l="1"/>
  <c r="P1000" i="1" s="1"/>
  <c r="K1001" i="1"/>
  <c r="L1001" i="1"/>
  <c r="F1002" i="1" s="1"/>
  <c r="G1002" i="1" l="1"/>
  <c r="I1002" i="1" s="1"/>
  <c r="H1002" i="1"/>
  <c r="J1002" i="1" s="1"/>
  <c r="O1000" i="1"/>
  <c r="M1000" i="1"/>
  <c r="N1002" i="1" l="1"/>
  <c r="P1001" i="1" s="1"/>
  <c r="K1002" i="1"/>
  <c r="L1002" i="1"/>
  <c r="F1003" i="1" s="1"/>
  <c r="G1003" i="1" l="1"/>
  <c r="I1003" i="1" s="1"/>
  <c r="H1003" i="1"/>
  <c r="J1003" i="1" s="1"/>
  <c r="O1001" i="1"/>
  <c r="M1001" i="1"/>
  <c r="L1003" i="1" l="1"/>
  <c r="F1004" i="1" s="1"/>
  <c r="K1003" i="1"/>
  <c r="N1003" i="1"/>
  <c r="P1002" i="1" s="1"/>
  <c r="H1004" i="1" l="1"/>
  <c r="J1004" i="1" s="1"/>
  <c r="N1004" i="1" s="1"/>
  <c r="P1003" i="1" s="1"/>
  <c r="O1003" i="1" s="1"/>
  <c r="O1002" i="1"/>
  <c r="M1002" i="1"/>
  <c r="G1004" i="1"/>
  <c r="I1004" i="1" s="1"/>
  <c r="L1004" i="1" l="1"/>
  <c r="F1005" i="1" s="1"/>
  <c r="M1003" i="1"/>
  <c r="K1004" i="1"/>
  <c r="G1005" i="1" l="1"/>
  <c r="I1005" i="1" s="1"/>
  <c r="H1005" i="1"/>
  <c r="J1005" i="1" s="1"/>
  <c r="N1005" i="1" l="1"/>
  <c r="P1004" i="1" s="1"/>
  <c r="K1005" i="1"/>
  <c r="L1005" i="1"/>
  <c r="F1006" i="1" s="1"/>
  <c r="H1006" i="1" l="1"/>
  <c r="J1006" i="1" s="1"/>
  <c r="G1006" i="1"/>
  <c r="I1006" i="1" s="1"/>
  <c r="O1004" i="1"/>
  <c r="M1004" i="1"/>
  <c r="L1006" i="1" l="1"/>
  <c r="F1007" i="1" s="1"/>
  <c r="N1006" i="1"/>
  <c r="P1005" i="1" s="1"/>
  <c r="K1006" i="1"/>
  <c r="O1005" i="1" l="1"/>
  <c r="M1005" i="1"/>
  <c r="G1007" i="1"/>
  <c r="I1007" i="1" s="1"/>
  <c r="H1007" i="1"/>
  <c r="J1007" i="1" s="1"/>
  <c r="L1007" i="1" l="1"/>
  <c r="F1008" i="1" s="1"/>
  <c r="N1007" i="1"/>
  <c r="P1006" i="1" s="1"/>
  <c r="K1007" i="1"/>
  <c r="O1006" i="1" l="1"/>
  <c r="M1006" i="1"/>
  <c r="H1008" i="1"/>
  <c r="J1008" i="1" s="1"/>
  <c r="G1008" i="1"/>
  <c r="I1008" i="1" s="1"/>
  <c r="L1008" i="1" l="1"/>
  <c r="F1009" i="1" s="1"/>
  <c r="N1008" i="1"/>
  <c r="P1007" i="1" s="1"/>
  <c r="K1008" i="1"/>
  <c r="G1009" i="1" l="1"/>
  <c r="I1009" i="1" s="1"/>
  <c r="H1009" i="1"/>
  <c r="J1009" i="1" s="1"/>
  <c r="O1007" i="1"/>
  <c r="M1007" i="1"/>
  <c r="K1009" i="1" l="1"/>
  <c r="N1009" i="1"/>
  <c r="P1008" i="1" s="1"/>
  <c r="O1008" i="1" s="1"/>
  <c r="L1009" i="1"/>
  <c r="F1010" i="1" s="1"/>
  <c r="G1010" i="1" l="1"/>
  <c r="I1010" i="1" s="1"/>
  <c r="H1010" i="1"/>
  <c r="J1010" i="1" s="1"/>
  <c r="M1008" i="1"/>
  <c r="K1010" i="1" l="1"/>
  <c r="N1010" i="1"/>
  <c r="P1009" i="1" s="1"/>
  <c r="L1010" i="1"/>
  <c r="F1011" i="1" s="1"/>
  <c r="G1011" i="1" l="1"/>
  <c r="I1011" i="1" s="1"/>
  <c r="H1011" i="1"/>
  <c r="J1011" i="1" s="1"/>
  <c r="O1009" i="1"/>
  <c r="M1009" i="1"/>
  <c r="K1011" i="1" l="1"/>
  <c r="N1011" i="1"/>
  <c r="P1010" i="1" s="1"/>
  <c r="L1011" i="1"/>
  <c r="F1012" i="1" s="1"/>
  <c r="H1012" i="1" l="1"/>
  <c r="J1012" i="1" s="1"/>
  <c r="G1012" i="1"/>
  <c r="I1012" i="1" s="1"/>
  <c r="O1010" i="1"/>
  <c r="M1010" i="1"/>
  <c r="L1012" i="1" l="1"/>
  <c r="F1013" i="1" s="1"/>
  <c r="K1012" i="1"/>
  <c r="N1012" i="1"/>
  <c r="P1011" i="1" s="1"/>
  <c r="H1013" i="1" l="1"/>
  <c r="J1013" i="1" s="1"/>
  <c r="N1013" i="1" s="1"/>
  <c r="P1012" i="1" s="1"/>
  <c r="O1012" i="1" s="1"/>
  <c r="G1013" i="1"/>
  <c r="I1013" i="1" s="1"/>
  <c r="O1011" i="1"/>
  <c r="M1011" i="1"/>
  <c r="L1013" i="1" l="1"/>
  <c r="F1014" i="1" s="1"/>
  <c r="K1013" i="1"/>
  <c r="M1012" i="1"/>
  <c r="G1014" i="1" l="1"/>
  <c r="I1014" i="1" s="1"/>
  <c r="H1014" i="1"/>
  <c r="J1014" i="1" s="1"/>
  <c r="L1014" i="1" l="1"/>
  <c r="F1015" i="1" s="1"/>
  <c r="K1014" i="1"/>
  <c r="N1014" i="1"/>
  <c r="P1013" i="1" s="1"/>
  <c r="O1013" i="1" s="1"/>
  <c r="G1015" i="1" l="1"/>
  <c r="I1015" i="1" s="1"/>
  <c r="H1015" i="1"/>
  <c r="J1015" i="1" s="1"/>
  <c r="N1015" i="1" s="1"/>
  <c r="P1014" i="1" s="1"/>
  <c r="O1014" i="1" s="1"/>
  <c r="M1013" i="1"/>
  <c r="L1015" i="1" l="1"/>
  <c r="F1016" i="1" s="1"/>
  <c r="M1014" i="1"/>
  <c r="K1015" i="1"/>
  <c r="H1016" i="1" l="1"/>
  <c r="J1016" i="1" s="1"/>
  <c r="G1016" i="1"/>
  <c r="I1016" i="1" s="1"/>
  <c r="K1016" i="1" l="1"/>
  <c r="L1016" i="1"/>
  <c r="F1017" i="1" s="1"/>
  <c r="N1016" i="1"/>
  <c r="P1015" i="1" s="1"/>
  <c r="O1015" i="1" s="1"/>
  <c r="H1017" i="1" l="1"/>
  <c r="J1017" i="1" s="1"/>
  <c r="N1017" i="1" s="1"/>
  <c r="P1016" i="1" s="1"/>
  <c r="O1016" i="1" s="1"/>
  <c r="M1015" i="1"/>
  <c r="G1017" i="1"/>
  <c r="I1017" i="1" s="1"/>
  <c r="L1017" i="1" l="1"/>
  <c r="F1018" i="1" s="1"/>
  <c r="K1017" i="1"/>
  <c r="M1016" i="1"/>
  <c r="G1018" i="1" l="1"/>
  <c r="I1018" i="1" s="1"/>
  <c r="H1018" i="1"/>
  <c r="J1018" i="1" s="1"/>
  <c r="N1018" i="1" s="1"/>
  <c r="P1017" i="1" s="1"/>
  <c r="O1017" i="1" s="1"/>
  <c r="M1017" i="1" l="1"/>
  <c r="L1018" i="1"/>
  <c r="F1019" i="1" s="1"/>
  <c r="K1018" i="1"/>
  <c r="G1019" i="1" l="1"/>
  <c r="I1019" i="1" s="1"/>
  <c r="H1019" i="1"/>
  <c r="J1019" i="1" s="1"/>
  <c r="N1019" i="1" s="1"/>
  <c r="P1018" i="1" s="1"/>
  <c r="O1018" i="1" s="1"/>
  <c r="M1018" i="1" l="1"/>
  <c r="K1019" i="1"/>
  <c r="L1019" i="1"/>
  <c r="F1020" i="1" s="1"/>
  <c r="G1020" i="1" l="1"/>
  <c r="I1020" i="1" s="1"/>
  <c r="H1020" i="1"/>
  <c r="J1020" i="1" s="1"/>
  <c r="N1020" i="1" s="1"/>
  <c r="P1019" i="1" s="1"/>
  <c r="O1019" i="1" s="1"/>
  <c r="L1020" i="1" l="1"/>
  <c r="F1021" i="1" s="1"/>
  <c r="M1019" i="1"/>
  <c r="K1020" i="1"/>
  <c r="H1021" i="1" l="1"/>
  <c r="J1021" i="1" s="1"/>
  <c r="N1021" i="1" s="1"/>
  <c r="P1020" i="1" s="1"/>
  <c r="O1020" i="1" s="1"/>
  <c r="G1021" i="1"/>
  <c r="I1021" i="1" s="1"/>
  <c r="M1020" i="1" l="1"/>
  <c r="L1021" i="1"/>
  <c r="F1022" i="1" s="1"/>
  <c r="K1021" i="1"/>
  <c r="G1022" i="1" l="1"/>
  <c r="I1022" i="1" s="1"/>
  <c r="H1022" i="1"/>
  <c r="J1022" i="1" s="1"/>
  <c r="N1022" i="1" s="1"/>
  <c r="P1021" i="1" s="1"/>
  <c r="O1021" i="1" s="1"/>
  <c r="M1021" i="1" l="1"/>
  <c r="L1022" i="1"/>
  <c r="F1023" i="1" s="1"/>
  <c r="K1022" i="1"/>
  <c r="H1023" i="1" l="1"/>
  <c r="J1023" i="1" s="1"/>
  <c r="N1023" i="1" s="1"/>
  <c r="P1022" i="1" s="1"/>
  <c r="O1022" i="1" s="1"/>
  <c r="G1023" i="1"/>
  <c r="I1023" i="1" s="1"/>
  <c r="K1023" i="1" l="1"/>
  <c r="L1023" i="1"/>
  <c r="F1024" i="1" s="1"/>
  <c r="M1022" i="1"/>
  <c r="H1024" i="1" l="1"/>
  <c r="J1024" i="1" s="1"/>
  <c r="N1024" i="1" s="1"/>
  <c r="P1023" i="1" s="1"/>
  <c r="O1023" i="1" s="1"/>
  <c r="G1024" i="1"/>
  <c r="I1024" i="1" s="1"/>
  <c r="R49" i="1"/>
  <c r="K1024" i="1" l="1"/>
  <c r="L1024" i="1"/>
  <c r="M1023" i="1"/>
  <c r="P1024" i="1"/>
  <c r="O1024" i="1" s="1"/>
  <c r="M1024" i="1" l="1"/>
</calcChain>
</file>

<file path=xl/sharedStrings.xml><?xml version="1.0" encoding="utf-8"?>
<sst xmlns="http://schemas.openxmlformats.org/spreadsheetml/2006/main" count="47" uniqueCount="42">
  <si>
    <t>time</t>
  </si>
  <si>
    <t>time inc</t>
  </si>
  <si>
    <t>u</t>
  </si>
  <si>
    <t>ɵ to horz</t>
  </si>
  <si>
    <t>let k.A/m=</t>
  </si>
  <si>
    <r>
      <t>a</t>
    </r>
    <r>
      <rPr>
        <vertAlign val="subscript"/>
        <sz val="11"/>
        <color indexed="8"/>
        <rFont val="Calibri"/>
        <family val="2"/>
      </rPr>
      <t>air</t>
    </r>
    <r>
      <rPr>
        <sz val="11"/>
        <color theme="1"/>
        <rFont val="Calibri"/>
        <family val="2"/>
        <scheme val="minor"/>
      </rPr>
      <t>=k.A.v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/m</t>
    </r>
  </si>
  <si>
    <r>
      <t>a</t>
    </r>
    <r>
      <rPr>
        <vertAlign val="subscript"/>
        <sz val="11"/>
        <color indexed="8"/>
        <rFont val="Calibri"/>
        <family val="2"/>
      </rPr>
      <t>air:x</t>
    </r>
  </si>
  <si>
    <r>
      <t>a</t>
    </r>
    <r>
      <rPr>
        <vertAlign val="subscript"/>
        <sz val="11"/>
        <color indexed="8"/>
        <rFont val="Calibri"/>
        <family val="2"/>
      </rPr>
      <t>air</t>
    </r>
  </si>
  <si>
    <r>
      <t>a</t>
    </r>
    <r>
      <rPr>
        <vertAlign val="subscript"/>
        <sz val="11"/>
        <color indexed="8"/>
        <rFont val="Calibri"/>
        <family val="2"/>
      </rPr>
      <t>air:y</t>
    </r>
  </si>
  <si>
    <t>Projectile motion with Air Resistance</t>
  </si>
  <si>
    <r>
      <t>s</t>
    </r>
    <r>
      <rPr>
        <vertAlign val="subscript"/>
        <sz val="11"/>
        <color theme="1"/>
        <rFont val="Calibri"/>
        <family val="2"/>
        <scheme val="minor"/>
      </rPr>
      <t>no air resist:</t>
    </r>
    <r>
      <rPr>
        <vertAlign val="subscript"/>
        <sz val="11"/>
        <color indexed="8"/>
        <rFont val="Calibri"/>
        <family val="2"/>
      </rPr>
      <t>x</t>
    </r>
  </si>
  <si>
    <r>
      <t>s</t>
    </r>
    <r>
      <rPr>
        <vertAlign val="subscript"/>
        <sz val="11"/>
        <color theme="1"/>
        <rFont val="Calibri"/>
        <family val="2"/>
        <scheme val="minor"/>
      </rPr>
      <t>no air resist:</t>
    </r>
    <r>
      <rPr>
        <vertAlign val="subscript"/>
        <sz val="11"/>
        <color indexed="8"/>
        <rFont val="Calibri"/>
        <family val="2"/>
      </rPr>
      <t>xy</t>
    </r>
  </si>
  <si>
    <t>truncate</t>
  </si>
  <si>
    <r>
      <t>v</t>
    </r>
    <r>
      <rPr>
        <vertAlign val="subscript"/>
        <sz val="11"/>
        <color theme="1"/>
        <rFont val="Calibri"/>
        <family val="2"/>
        <scheme val="minor"/>
      </rPr>
      <t>air resist:x</t>
    </r>
  </si>
  <si>
    <r>
      <t>v</t>
    </r>
    <r>
      <rPr>
        <vertAlign val="subscript"/>
        <sz val="11"/>
        <color theme="1"/>
        <rFont val="Calibri"/>
        <family val="2"/>
        <scheme val="minor"/>
      </rPr>
      <t>air resist:y</t>
    </r>
  </si>
  <si>
    <r>
      <t>v</t>
    </r>
    <r>
      <rPr>
        <vertAlign val="subscript"/>
        <sz val="11"/>
        <color theme="1"/>
        <rFont val="Calibri"/>
        <family val="2"/>
        <scheme val="minor"/>
      </rPr>
      <t>air resist</t>
    </r>
  </si>
  <si>
    <r>
      <t>s</t>
    </r>
    <r>
      <rPr>
        <vertAlign val="subscript"/>
        <sz val="11"/>
        <color indexed="8"/>
        <rFont val="Calibri"/>
        <family val="2"/>
      </rPr>
      <t>air resist:x</t>
    </r>
  </si>
  <si>
    <r>
      <t>s</t>
    </r>
    <r>
      <rPr>
        <vertAlign val="subscript"/>
        <sz val="11"/>
        <color indexed="8"/>
        <rFont val="Calibri"/>
        <family val="2"/>
      </rPr>
      <t>air resist:y</t>
    </r>
  </si>
  <si>
    <r>
      <t>s</t>
    </r>
    <r>
      <rPr>
        <vertAlign val="subscript"/>
        <sz val="11"/>
        <color indexed="8"/>
        <rFont val="Calibri"/>
        <family val="2"/>
      </rPr>
      <t>air resist:y:trn</t>
    </r>
  </si>
  <si>
    <r>
      <t>s</t>
    </r>
    <r>
      <rPr>
        <vertAlign val="subscript"/>
        <sz val="11"/>
        <color theme="1"/>
        <rFont val="Calibri"/>
        <family val="2"/>
        <scheme val="minor"/>
      </rPr>
      <t>no air resist:t:trn</t>
    </r>
  </si>
  <si>
    <t>lots</t>
  </si>
  <si>
    <t>none</t>
  </si>
  <si>
    <t>Set air resistance</t>
  </si>
  <si>
    <r>
      <t>u</t>
    </r>
    <r>
      <rPr>
        <vertAlign val="subscript"/>
        <sz val="11"/>
        <color theme="1"/>
        <rFont val="Calibri"/>
        <family val="2"/>
        <scheme val="minor"/>
      </rPr>
      <t>h</t>
    </r>
  </si>
  <si>
    <r>
      <t>u</t>
    </r>
    <r>
      <rPr>
        <vertAlign val="subscript"/>
        <sz val="11"/>
        <color theme="1"/>
        <rFont val="Calibri"/>
        <family val="2"/>
        <scheme val="minor"/>
      </rPr>
      <t>v</t>
    </r>
  </si>
  <si>
    <r>
      <t>a</t>
    </r>
    <r>
      <rPr>
        <vertAlign val="subscript"/>
        <sz val="11"/>
        <color theme="1"/>
        <rFont val="Calibri"/>
        <family val="2"/>
        <scheme val="minor"/>
      </rPr>
      <t>v</t>
    </r>
  </si>
  <si>
    <r>
      <t>s</t>
    </r>
    <r>
      <rPr>
        <vertAlign val="subscript"/>
        <sz val="11"/>
        <color theme="1"/>
        <rFont val="Calibri"/>
        <family val="2"/>
        <scheme val="minor"/>
      </rPr>
      <t>v:l</t>
    </r>
    <r>
      <rPr>
        <vertAlign val="subscript"/>
        <sz val="11"/>
        <color indexed="8"/>
        <rFont val="Calibri"/>
        <family val="2"/>
      </rPr>
      <t>aunch</t>
    </r>
  </si>
  <si>
    <r>
      <t>s</t>
    </r>
    <r>
      <rPr>
        <vertAlign val="subscript"/>
        <sz val="11"/>
        <color theme="1"/>
        <rFont val="Calibri"/>
        <family val="2"/>
        <scheme val="minor"/>
      </rPr>
      <t>v:l</t>
    </r>
    <r>
      <rPr>
        <vertAlign val="subscript"/>
        <sz val="11"/>
        <color indexed="8"/>
        <rFont val="Calibri"/>
        <family val="2"/>
      </rPr>
      <t>and</t>
    </r>
  </si>
  <si>
    <t>don't touch, set with slider</t>
  </si>
  <si>
    <t xml:space="preserve">Instructions: </t>
  </si>
  <si>
    <t>Set values in yellow boxes</t>
  </si>
  <si>
    <t>Avoid u=0 (try .001 instead)</t>
  </si>
  <si>
    <r>
      <t xml:space="preserve">Avoid </t>
    </r>
    <r>
      <rPr>
        <sz val="11"/>
        <color theme="1"/>
        <rFont val="Times New Roman"/>
        <family val="1"/>
      </rPr>
      <t>ɵ</t>
    </r>
    <r>
      <rPr>
        <sz val="11"/>
        <color theme="1"/>
        <rFont val="Calibri"/>
        <family val="2"/>
      </rPr>
      <t>=90 (try 89.99 instead)</t>
    </r>
  </si>
  <si>
    <t>Use slider beside graphs to set air resistance</t>
  </si>
  <si>
    <t>Use a small time increment (around 0.005)</t>
  </si>
  <si>
    <t>If RHS of graph is truncated, increase time increment</t>
  </si>
  <si>
    <t>If graph is too compressed on x-axis, decrease time increment</t>
  </si>
  <si>
    <t>don't touch, automatically calculated</t>
  </si>
  <si>
    <t>don't touch, intermediate values</t>
  </si>
  <si>
    <t>Set air launch angle</t>
  </si>
  <si>
    <t>angle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</si>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</sst>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"/>
  </numFmts>
  <fonts count="9" x14ac:knownFonts="1">
    <font>
      <sz val="11"/>
      <color theme="1"/>
      <name val="Calibri"/>
      <family val="2"/>
      <scheme val="minor"/>
    </font>
    <font>
      <vertAlign val="subscript"/>
      <sz val="11"/>
      <color indexed="8"/>
      <name val="Calibri"/>
      <family val="2"/>
    </font>
    <font>
      <vertAlign val="superscript"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2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24994659260841701"/>
        <bgColor indexed="64"/>
      </patternFill>
    </fill>
  </fills>
  <borders count="2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4" fillId="0" borderId="2" xfId="0" applyNumberFormat="1" applyFont="1" applyBorder="1"/>
    <xf numFmtId="2" fontId="0" fillId="0" borderId="2" xfId="0" applyNumberFormat="1" applyBorder="1"/>
    <xf numFmtId="2" fontId="0" fillId="0" borderId="3" xfId="0" applyNumberFormat="1" applyBorder="1"/>
    <xf numFmtId="2" fontId="0" fillId="2" borderId="2" xfId="0" applyNumberFormat="1" applyFill="1" applyBorder="1"/>
    <xf numFmtId="2" fontId="0" fillId="2" borderId="3" xfId="0" applyNumberFormat="1" applyFill="1" applyBorder="1"/>
    <xf numFmtId="2" fontId="0" fillId="0" borderId="4" xfId="0" applyNumberFormat="1" applyBorder="1"/>
    <xf numFmtId="2" fontId="0" fillId="2" borderId="4" xfId="0" applyNumberFormat="1" applyFill="1" applyBorder="1"/>
    <xf numFmtId="2" fontId="5" fillId="0" borderId="0" xfId="0" applyNumberFormat="1" applyFont="1"/>
    <xf numFmtId="165" fontId="0" fillId="2" borderId="8" xfId="0" applyNumberFormat="1" applyFill="1" applyBorder="1"/>
    <xf numFmtId="2" fontId="0" fillId="0" borderId="5" xfId="0" applyNumberFormat="1" applyBorder="1"/>
    <xf numFmtId="2" fontId="4" fillId="0" borderId="5" xfId="0" applyNumberFormat="1" applyFont="1" applyBorder="1"/>
    <xf numFmtId="2" fontId="0" fillId="0" borderId="9" xfId="0" applyNumberFormat="1" applyBorder="1"/>
    <xf numFmtId="2" fontId="7" fillId="0" borderId="5" xfId="0" applyNumberFormat="1" applyFont="1" applyBorder="1"/>
    <xf numFmtId="2" fontId="0" fillId="0" borderId="10" xfId="0" applyNumberFormat="1" applyBorder="1" applyAlignment="1">
      <alignment wrapText="1"/>
    </xf>
    <xf numFmtId="2" fontId="0" fillId="0" borderId="10" xfId="0" applyNumberFormat="1" applyBorder="1" applyAlignment="1">
      <alignment horizontal="center"/>
    </xf>
    <xf numFmtId="2" fontId="0" fillId="0" borderId="10" xfId="0" applyNumberFormat="1" applyBorder="1"/>
    <xf numFmtId="2" fontId="0" fillId="0" borderId="11" xfId="0" applyNumberFormat="1" applyBorder="1" applyAlignment="1">
      <alignment horizontal="center"/>
    </xf>
    <xf numFmtId="2" fontId="3" fillId="0" borderId="5" xfId="0" applyNumberFormat="1" applyFont="1" applyBorder="1" applyAlignment="1">
      <alignment wrapText="1"/>
    </xf>
    <xf numFmtId="2" fontId="3" fillId="0" borderId="0" xfId="0" applyNumberFormat="1" applyFont="1"/>
    <xf numFmtId="2" fontId="0" fillId="3" borderId="2" xfId="0" applyNumberFormat="1" applyFill="1" applyBorder="1"/>
    <xf numFmtId="2" fontId="0" fillId="3" borderId="5" xfId="0" applyNumberFormat="1" applyFill="1" applyBorder="1" applyAlignment="1"/>
    <xf numFmtId="2" fontId="0" fillId="3" borderId="3" xfId="0" applyNumberFormat="1" applyFill="1" applyBorder="1"/>
    <xf numFmtId="2" fontId="3" fillId="0" borderId="1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2" fontId="0" fillId="0" borderId="5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 wrapText="1"/>
    </xf>
    <xf numFmtId="2" fontId="0" fillId="0" borderId="16" xfId="0" applyNumberFormat="1" applyBorder="1" applyAlignment="1">
      <alignment horizontal="center" vertical="top" wrapText="1"/>
    </xf>
    <xf numFmtId="2" fontId="0" fillId="0" borderId="17" xfId="0" applyNumberFormat="1" applyBorder="1" applyAlignment="1">
      <alignment horizontal="center" vertical="top" wrapText="1"/>
    </xf>
    <xf numFmtId="2" fontId="0" fillId="0" borderId="18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 wrapText="1"/>
    </xf>
    <xf numFmtId="2" fontId="0" fillId="0" borderId="0" xfId="0" applyNumberFormat="1" applyBorder="1" applyAlignment="1">
      <alignment horizontal="center" vertical="top" wrapText="1"/>
    </xf>
    <xf numFmtId="2" fontId="0" fillId="0" borderId="20" xfId="0" applyNumberFormat="1" applyBorder="1" applyAlignment="1">
      <alignment horizontal="center" vertical="top" wrapText="1"/>
    </xf>
    <xf numFmtId="2" fontId="0" fillId="0" borderId="14" xfId="0" applyNumberFormat="1" applyBorder="1" applyAlignment="1">
      <alignment horizontal="center" vertical="top" wrapText="1"/>
    </xf>
    <xf numFmtId="2" fontId="0" fillId="0" borderId="19" xfId="0" applyNumberFormat="1" applyBorder="1" applyAlignment="1">
      <alignment horizontal="center" vertical="top" wrapText="1"/>
    </xf>
    <xf numFmtId="2" fontId="0" fillId="0" borderId="15" xfId="0" applyNumberFormat="1" applyBorder="1" applyAlignment="1">
      <alignment horizontal="center" vertical="top" wrapText="1"/>
    </xf>
    <xf numFmtId="2" fontId="0" fillId="0" borderId="21" xfId="0" applyNumberFormat="1" applyBorder="1" applyAlignment="1">
      <alignment wrapText="1"/>
    </xf>
    <xf numFmtId="2" fontId="0" fillId="0" borderId="0" xfId="0" applyNumberFormat="1" applyBorder="1"/>
    <xf numFmtId="2" fontId="0" fillId="0" borderId="13" xfId="0" applyNumberFormat="1" applyBorder="1" applyAlignment="1">
      <alignment horizontal="center" wrapText="1"/>
    </xf>
    <xf numFmtId="2" fontId="0" fillId="0" borderId="22" xfId="0" applyNumberFormat="1" applyBorder="1" applyAlignment="1">
      <alignment horizontal="center" wrapText="1"/>
    </xf>
    <xf numFmtId="2" fontId="0" fillId="0" borderId="23" xfId="0" applyNumberFormat="1" applyBorder="1" applyAlignment="1">
      <alignment horizontal="center" wrapText="1"/>
    </xf>
    <xf numFmtId="2" fontId="0" fillId="0" borderId="16" xfId="0" applyNumberFormat="1" applyBorder="1" applyAlignment="1">
      <alignment horizontal="center" vertical="center" wrapText="1"/>
    </xf>
    <xf numFmtId="2" fontId="0" fillId="0" borderId="17" xfId="0" applyNumberFormat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 wrapText="1"/>
    </xf>
    <xf numFmtId="2" fontId="0" fillId="0" borderId="15" xfId="0" applyNumberForma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x-displacement versus y-displacement</a:t>
            </a:r>
          </a:p>
        </c:rich>
      </c:tx>
      <c:layout>
        <c:manualLayout>
          <c:xMode val="edge"/>
          <c:yMode val="edge"/>
          <c:x val="0.1011181102362205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911329833770783"/>
          <c:y val="0.11856157786101988"/>
          <c:w val="0.52553237095363048"/>
          <c:h val="0.79822506561679785"/>
        </c:manualLayout>
      </c:layout>
      <c:scatterChart>
        <c:scatterStyle val="smoothMarker"/>
        <c:varyColors val="0"/>
        <c:ser>
          <c:idx val="0"/>
          <c:order val="0"/>
          <c:tx>
            <c:v>air resistance</c:v>
          </c:tx>
          <c:marker>
            <c:symbol val="none"/>
          </c:marker>
          <c:xVal>
            <c:numRef>
              <c:f>Sheet1!$M$24:$M$1023</c:f>
              <c:numCache>
                <c:formatCode>0.00</c:formatCode>
                <c:ptCount val="1000"/>
                <c:pt idx="0">
                  <c:v>0</c:v>
                </c:pt>
                <c:pt idx="1">
                  <c:v>5.0186947974305708E-2</c:v>
                </c:pt>
                <c:pt idx="2">
                  <c:v>0.10023458086507406</c:v>
                </c:pt>
                <c:pt idx="3">
                  <c:v>0.15014398569175957</c:v>
                </c:pt>
                <c:pt idx="4">
                  <c:v>0.19991623839124256</c:v>
                </c:pt>
                <c:pt idx="5">
                  <c:v>0.24955240396767811</c:v>
                </c:pt>
                <c:pt idx="6">
                  <c:v>0.29905353663975204</c:v>
                </c:pt>
                <c:pt idx="7">
                  <c:v>0.34842067998539616</c:v>
                </c:pt>
                <c:pt idx="8">
                  <c:v>0.39765486708401365</c:v>
                </c:pt>
                <c:pt idx="9">
                  <c:v>0.44675712065626455</c:v>
                </c:pt>
                <c:pt idx="10">
                  <c:v>0.49572845320145964</c:v>
                </c:pt>
                <c:pt idx="11">
                  <c:v>0.54456986713261046</c:v>
                </c:pt>
                <c:pt idx="12">
                  <c:v>0.59328235490918135</c:v>
                </c:pt>
                <c:pt idx="13">
                  <c:v>0.64186689916758954</c:v>
                </c:pt>
                <c:pt idx="14">
                  <c:v>0.69032447284949605</c:v>
                </c:pt>
                <c:pt idx="15">
                  <c:v>0.73865603932793222</c:v>
                </c:pt>
                <c:pt idx="16">
                  <c:v>0.78686255253130255</c:v>
                </c:pt>
                <c:pt idx="17">
                  <c:v>0.83494495706530591</c:v>
                </c:pt>
                <c:pt idx="18">
                  <c:v>0.88290418833281481</c:v>
                </c:pt>
                <c:pt idx="19">
                  <c:v>0.93074117265175205</c:v>
                </c:pt>
                <c:pt idx="20">
                  <c:v>0.97845682737100337</c:v>
                </c:pt>
                <c:pt idx="21">
                  <c:v>1.0260520609844033</c:v>
                </c:pt>
                <c:pt idx="22">
                  <c:v>1.073527773242831</c:v>
                </c:pt>
                <c:pt idx="23">
                  <c:v>1.1208848552644515</c:v>
                </c:pt>
                <c:pt idx="24">
                  <c:v>1.1681241896431378</c:v>
                </c:pt>
                <c:pt idx="25">
                  <c:v>1.2152466505551076</c:v>
                </c:pt>
                <c:pt idx="26">
                  <c:v>1.2622531038638087</c:v>
                </c:pt>
                <c:pt idx="27">
                  <c:v>1.3091444072230844</c:v>
                </c:pt>
                <c:pt idx="28">
                  <c:v>1.3559214101786516</c:v>
                </c:pt>
                <c:pt idx="29">
                  <c:v>1.4025849542679236</c:v>
                </c:pt>
                <c:pt idx="30">
                  <c:v>1.4491358731182067</c:v>
                </c:pt>
                <c:pt idx="31">
                  <c:v>1.4955749925433008</c:v>
                </c:pt>
                <c:pt idx="32">
                  <c:v>1.541903130638534</c:v>
                </c:pt>
                <c:pt idx="33">
                  <c:v>1.5881210978742573</c:v>
                </c:pt>
                <c:pt idx="34">
                  <c:v>1.634229697187831</c:v>
                </c:pt>
                <c:pt idx="35">
                  <c:v>1.6802297240741264</c:v>
                </c:pt>
                <c:pt idx="36">
                  <c:v>1.7261219666745722</c:v>
                </c:pt>
                <c:pt idx="37">
                  <c:v>1.7719072058647682</c:v>
                </c:pt>
                <c:pt idx="38">
                  <c:v>1.8175862153406974</c:v>
                </c:pt>
                <c:pt idx="39">
                  <c:v>1.8631597617035542</c:v>
                </c:pt>
                <c:pt idx="40">
                  <c:v>1.9086286045432201</c:v>
                </c:pt>
                <c:pt idx="41">
                  <c:v>1.9539934965204055</c:v>
                </c:pt>
                <c:pt idx="42">
                  <c:v>1.9992551834474832</c:v>
                </c:pt>
                <c:pt idx="43">
                  <c:v>2.044414404368037</c:v>
                </c:pt>
                <c:pt idx="44">
                  <c:v>2.0894718916351462</c:v>
                </c:pt>
                <c:pt idx="45">
                  <c:v>2.1344283709884277</c:v>
                </c:pt>
                <c:pt idx="46">
                  <c:v>2.1792845616298595</c:v>
                </c:pt>
                <c:pt idx="47">
                  <c:v>2.224041176298404</c:v>
                </c:pt>
                <c:pt idx="48">
                  <c:v>2.2686989213434514</c:v>
                </c:pt>
                <c:pt idx="49">
                  <c:v>2.3132584967971055</c:v>
                </c:pt>
                <c:pt idx="50">
                  <c:v>2.3577205964453309</c:v>
                </c:pt>
                <c:pt idx="51">
                  <c:v>2.4020859078979768</c:v>
                </c:pt>
                <c:pt idx="52">
                  <c:v>2.4463551126577037</c:v>
                </c:pt>
                <c:pt idx="53">
                  <c:v>2.4905288861878234</c:v>
                </c:pt>
                <c:pt idx="54">
                  <c:v>2.5346078979790758</c:v>
                </c:pt>
                <c:pt idx="55">
                  <c:v>2.5785928116153585</c:v>
                </c:pt>
                <c:pt idx="56">
                  <c:v>2.6224842848384249</c:v>
                </c:pt>
                <c:pt idx="57">
                  <c:v>2.6662829696115691</c:v>
                </c:pt>
                <c:pt idx="58">
                  <c:v>2.709989512182315</c:v>
                </c:pt>
                <c:pt idx="59">
                  <c:v>2.7536045531441244</c:v>
                </c:pt>
                <c:pt idx="60">
                  <c:v>2.7971287274971384</c:v>
                </c:pt>
                <c:pt idx="61">
                  <c:v>2.840562664707972</c:v>
                </c:pt>
                <c:pt idx="62">
                  <c:v>2.8839069887685729</c:v>
                </c:pt>
                <c:pt idx="63">
                  <c:v>2.9271623182541608</c:v>
                </c:pt>
                <c:pt idx="64">
                  <c:v>2.9703292663802623</c:v>
                </c:pt>
                <c:pt idx="65">
                  <c:v>3.0134084410588557</c:v>
                </c:pt>
                <c:pt idx="66">
                  <c:v>3.0564004449536375</c:v>
                </c:pt>
                <c:pt idx="67">
                  <c:v>3.0993058755344274</c:v>
                </c:pt>
                <c:pt idx="68">
                  <c:v>3.1421253251307233</c:v>
                </c:pt>
                <c:pt idx="69">
                  <c:v>3.1848593809844195</c:v>
                </c:pt>
                <c:pt idx="70">
                  <c:v>3.2275086253017014</c:v>
                </c:pt>
                <c:pt idx="71">
                  <c:v>3.2700736353041284</c:v>
                </c:pt>
                <c:pt idx="72">
                  <c:v>3.3125549832789192</c:v>
                </c:pt>
                <c:pt idx="73">
                  <c:v>3.3549532366284494</c:v>
                </c:pt>
                <c:pt idx="74">
                  <c:v>3.3972689579189743</c:v>
                </c:pt>
                <c:pt idx="75">
                  <c:v>3.4395027049285893</c:v>
                </c:pt>
                <c:pt idx="76">
                  <c:v>3.4816550306944367</c:v>
                </c:pt>
                <c:pt idx="77">
                  <c:v>3.5237264835591726</c:v>
                </c:pt>
                <c:pt idx="78">
                  <c:v>3.5657176072167043</c:v>
                </c:pt>
                <c:pt idx="79">
                  <c:v>3.6076289407572073</c:v>
                </c:pt>
                <c:pt idx="80">
                  <c:v>3.6494610187114334</c:v>
                </c:pt>
                <c:pt idx="81">
                  <c:v>3.6912143710943224</c:v>
                </c:pt>
                <c:pt idx="82">
                  <c:v>3.732889523447922</c:v>
                </c:pt>
                <c:pt idx="83">
                  <c:v>3.7744869968836321</c:v>
                </c:pt>
                <c:pt idx="84">
                  <c:v>3.8160073081237771</c:v>
                </c:pt>
                <c:pt idx="85">
                  <c:v>3.8574509695425228</c:v>
                </c:pt>
                <c:pt idx="86">
                  <c:v>3.8988184892061377</c:v>
                </c:pt>
                <c:pt idx="87">
                  <c:v>3.9401103709126182</c:v>
                </c:pt>
                <c:pt idx="88">
                  <c:v>3.9813271142306785</c:v>
                </c:pt>
                <c:pt idx="89">
                  <c:v>4.022469214538118</c:v>
                </c:pt>
                <c:pt idx="90">
                  <c:v>4.0635371630595749</c:v>
                </c:pt>
                <c:pt idx="91">
                  <c:v>4.1045314469036702</c:v>
                </c:pt>
                <c:pt idx="92">
                  <c:v>4.1454525490995593</c:v>
                </c:pt>
                <c:pt idx="93">
                  <c:v>4.1863009486328853</c:v>
                </c:pt>
                <c:pt idx="94">
                  <c:v>4.2270771204811588</c:v>
                </c:pt>
                <c:pt idx="95">
                  <c:v>4.2677815356485578</c:v>
                </c:pt>
                <c:pt idx="96">
                  <c:v>4.3084146612001639</c:v>
                </c:pt>
                <c:pt idx="97">
                  <c:v>4.3489769602956354</c:v>
                </c:pt>
                <c:pt idx="98">
                  <c:v>4.3894688922223351</c:v>
                </c:pt>
                <c:pt idx="99">
                  <c:v>4.4298909124279087</c:v>
                </c:pt>
                <c:pt idx="100">
                  <c:v>4.4702434725523252</c:v>
                </c:pt>
                <c:pt idx="101">
                  <c:v>4.5105270204593939</c:v>
                </c:pt>
                <c:pt idx="102">
                  <c:v>4.5507420002677481</c:v>
                </c:pt>
                <c:pt idx="103">
                  <c:v>4.5908888523813189</c:v>
                </c:pt>
                <c:pt idx="104">
                  <c:v>4.6309680135192997</c:v>
                </c:pt>
                <c:pt idx="105">
                  <c:v>4.6709799167456003</c:v>
                </c:pt>
                <c:pt idx="106">
                  <c:v>4.7109249914978113</c:v>
                </c:pt>
                <c:pt idx="107">
                  <c:v>4.750803663615673</c:v>
                </c:pt>
                <c:pt idx="108">
                  <c:v>4.7906163553690631</c:v>
                </c:pt>
                <c:pt idx="109">
                  <c:v>4.8303634854855009</c:v>
                </c:pt>
                <c:pt idx="110">
                  <c:v>4.8700454691771844</c:v>
                </c:pt>
                <c:pt idx="111">
                  <c:v>4.9096627181675583</c:v>
                </c:pt>
                <c:pt idx="112">
                  <c:v>4.949215640717421</c:v>
                </c:pt>
                <c:pt idx="113">
                  <c:v>4.9887046416505774</c:v>
                </c:pt>
                <c:pt idx="114">
                  <c:v>5.0281301223790393</c:v>
                </c:pt>
                <c:pt idx="115">
                  <c:v>5.0674924809277888</c:v>
                </c:pt>
                <c:pt idx="116">
                  <c:v>5.1067921119590958</c:v>
                </c:pt>
                <c:pt idx="117">
                  <c:v>5.1460294067964059</c:v>
                </c:pt>
                <c:pt idx="118">
                  <c:v>5.1852047534478016</c:v>
                </c:pt>
                <c:pt idx="119">
                  <c:v>5.2243185366290392</c:v>
                </c:pt>
                <c:pt idx="120">
                  <c:v>5.2633711377861703</c:v>
                </c:pt>
                <c:pt idx="121">
                  <c:v>5.3023629351177481</c:v>
                </c:pt>
                <c:pt idx="122">
                  <c:v>5.3412943035966309</c:v>
                </c:pt>
                <c:pt idx="123">
                  <c:v>5.3801656149913821</c:v>
                </c:pt>
                <c:pt idx="124">
                  <c:v>5.4189772378872707</c:v>
                </c:pt>
                <c:pt idx="125">
                  <c:v>5.4577295377068822</c:v>
                </c:pt>
                <c:pt idx="126">
                  <c:v>5.4964228767303434</c:v>
                </c:pt>
                <c:pt idx="127">
                  <c:v>5.5350576141151624</c:v>
                </c:pt>
                <c:pt idx="128">
                  <c:v>5.5736341059156906</c:v>
                </c:pt>
                <c:pt idx="129">
                  <c:v>5.6121527051022158</c:v>
                </c:pt>
                <c:pt idx="130">
                  <c:v>5.6506137615796792</c:v>
                </c:pt>
                <c:pt idx="131">
                  <c:v>5.6890176222060402</c:v>
                </c:pt>
                <c:pt idx="132">
                  <c:v>5.7273646308102704</c:v>
                </c:pt>
                <c:pt idx="133">
                  <c:v>5.7656551282100006</c:v>
                </c:pt>
                <c:pt idx="134">
                  <c:v>5.8038894522288178</c:v>
                </c:pt>
                <c:pt idx="135">
                  <c:v>5.8420679377132112</c:v>
                </c:pt>
                <c:pt idx="136">
                  <c:v>5.8801909165491857</c:v>
                </c:pt>
                <c:pt idx="137">
                  <c:v>5.9182587176785306</c:v>
                </c:pt>
                <c:pt idx="138">
                  <c:v>5.9562716671147635</c:v>
                </c:pt>
                <c:pt idx="139">
                  <c:v>5.9942300879587433</c:v>
                </c:pt>
                <c:pt idx="140">
                  <c:v>6.0321343004139614</c:v>
                </c:pt>
                <c:pt idx="141">
                  <c:v>6.0699846218015123</c:v>
                </c:pt>
                <c:pt idx="142">
                  <c:v>6.1077813665747565</c:v>
                </c:pt>
                <c:pt idx="143">
                  <c:v>6.1455248463336636</c:v>
                </c:pt>
                <c:pt idx="144">
                  <c:v>6.1832153698388614</c:v>
                </c:pt>
                <c:pt idx="145">
                  <c:v>6.2208532430253785</c:v>
                </c:pt>
                <c:pt idx="146">
                  <c:v>6.2584387690160881</c:v>
                </c:pt>
                <c:pt idx="147">
                  <c:v>6.2959722481348672</c:v>
                </c:pt>
                <c:pt idx="148">
                  <c:v>6.3334539779194641</c:v>
                </c:pt>
                <c:pt idx="149">
                  <c:v>6.3708842531340846</c:v>
                </c:pt>
                <c:pt idx="150">
                  <c:v>6.4082633657816981</c:v>
                </c:pt>
                <c:pt idx="151">
                  <c:v>6.4455916051160731</c:v>
                </c:pt>
                <c:pt idx="152">
                  <c:v>6.4828692576535412</c:v>
                </c:pt>
                <c:pt idx="153">
                  <c:v>6.5200966071844988</c:v>
                </c:pt>
                <c:pt idx="154">
                  <c:v>6.5572739347846456</c:v>
                </c:pt>
                <c:pt idx="155">
                  <c:v>6.594401518825971</c:v>
                </c:pt>
                <c:pt idx="156">
                  <c:v>6.6314796349874898</c:v>
                </c:pt>
                <c:pt idx="157">
                  <c:v>6.6685085562657296</c:v>
                </c:pt>
                <c:pt idx="158">
                  <c:v>6.7054885529849786</c:v>
                </c:pt>
                <c:pt idx="159">
                  <c:v>6.7424198928072974</c:v>
                </c:pt>
                <c:pt idx="160">
                  <c:v>6.7793028407422984</c:v>
                </c:pt>
                <c:pt idx="161">
                  <c:v>6.8161376591567002</c:v>
                </c:pt>
                <c:pt idx="162">
                  <c:v>6.8529246077836579</c:v>
                </c:pt>
                <c:pt idx="163">
                  <c:v>6.8896639437318781</c:v>
                </c:pt>
                <c:pt idx="164">
                  <c:v>6.9263559214945207</c:v>
                </c:pt>
                <c:pt idx="165">
                  <c:v>6.9630007929578976</c:v>
                </c:pt>
                <c:pt idx="166">
                  <c:v>6.9995988074099662</c:v>
                </c:pt>
                <c:pt idx="167">
                  <c:v>7.0361502115486259</c:v>
                </c:pt>
                <c:pt idx="168">
                  <c:v>7.0726552494898272</c:v>
                </c:pt>
                <c:pt idx="169">
                  <c:v>7.1091141627754917</c:v>
                </c:pt>
                <c:pt idx="170">
                  <c:v>7.1455271903812534</c:v>
                </c:pt>
                <c:pt idx="171">
                  <c:v>7.1818945687240232</c:v>
                </c:pt>
                <c:pt idx="172">
                  <c:v>7.2182165316693849</c:v>
                </c:pt>
                <c:pt idx="173">
                  <c:v>7.2544933105388267</c:v>
                </c:pt>
                <c:pt idx="174">
                  <c:v>7.2907251341168147</c:v>
                </c:pt>
                <c:pt idx="175">
                  <c:v>7.3269122286577089</c:v>
                </c:pt>
                <c:pt idx="176">
                  <c:v>7.3630548178925421</c:v>
                </c:pt>
                <c:pt idx="177">
                  <c:v>7.3991531230356449</c:v>
                </c:pt>
                <c:pt idx="178">
                  <c:v>7.4352073627911448</c:v>
                </c:pt>
                <c:pt idx="179">
                  <c:v>7.4712177533593316</c:v>
                </c:pt>
                <c:pt idx="180">
                  <c:v>7.5071845084428972</c:v>
                </c:pt>
                <c:pt idx="181">
                  <c:v>7.5431078392530626</c:v>
                </c:pt>
                <c:pt idx="182">
                  <c:v>7.5789879545155872</c:v>
                </c:pt>
                <c:pt idx="183">
                  <c:v>7.6148250604766794</c:v>
                </c:pt>
                <c:pt idx="184">
                  <c:v>7.6506193609088013</c:v>
                </c:pt>
                <c:pt idx="185">
                  <c:v>7.6863710571163857</c:v>
                </c:pt>
                <c:pt idx="186">
                  <c:v>7.7220803479414624</c:v>
                </c:pt>
                <c:pt idx="187">
                  <c:v>7.7577474297692071</c:v>
                </c:pt>
                <c:pt idx="188">
                  <c:v>7.793372496533415</c:v>
                </c:pt>
                <c:pt idx="189">
                  <c:v>7.8289557397219074</c:v>
                </c:pt>
                <c:pt idx="190">
                  <c:v>7.8644973483818781</c:v>
                </c:pt>
                <c:pt idx="191">
                  <c:v>7.8999975091251828</c:v>
                </c:pt>
                <c:pt idx="192">
                  <c:v>7.9354564061335866</c:v>
                </c:pt>
                <c:pt idx="193">
                  <c:v>7.9708742211639629</c:v>
                </c:pt>
                <c:pt idx="194">
                  <c:v>8.0062511335534658</c:v>
                </c:pt>
                <c:pt idx="195">
                  <c:v>8.0415873202246715</c:v>
                </c:pt>
                <c:pt idx="196">
                  <c:v>8.0768829556906958</c:v>
                </c:pt>
                <c:pt idx="197">
                  <c:v>8.1121382120603052</c:v>
                </c:pt>
                <c:pt idx="198">
                  <c:v>8.1473532590430153</c:v>
                </c:pt>
                <c:pt idx="199">
                  <c:v>8.1825282639541879</c:v>
                </c:pt>
                <c:pt idx="200">
                  <c:v>8.2176633917201443</c:v>
                </c:pt>
                <c:pt idx="201">
                  <c:v>8.2527588048832801</c:v>
                </c:pt>
                <c:pt idx="202">
                  <c:v>8.2878146636072074</c:v>
                </c:pt>
                <c:pt idx="203">
                  <c:v>8.3228311256819243</c:v>
                </c:pt>
                <c:pt idx="204">
                  <c:v>8.3578083465290156</c:v>
                </c:pt>
                <c:pt idx="205">
                  <c:v>8.3927464792068989</c:v>
                </c:pt>
                <c:pt idx="206">
                  <c:v>8.4276456744161141</c:v>
                </c:pt>
                <c:pt idx="207">
                  <c:v>8.462506080504669</c:v>
                </c:pt>
                <c:pt idx="208">
                  <c:v>8.4973278434734514</c:v>
                </c:pt>
                <c:pt idx="209">
                  <c:v>8.5321111069817004</c:v>
                </c:pt>
                <c:pt idx="210">
                  <c:v>8.5668560123525612</c:v>
                </c:pt>
                <c:pt idx="211">
                  <c:v>8.6015626985787179</c:v>
                </c:pt>
                <c:pt idx="212">
                  <c:v>8.6362313023281114</c:v>
                </c:pt>
                <c:pt idx="213">
                  <c:v>8.6708619579497608</c:v>
                </c:pt>
                <c:pt idx="214">
                  <c:v>8.7054547974796783</c:v>
                </c:pt>
                <c:pt idx="215">
                  <c:v>8.7400099506468916</c:v>
                </c:pt>
                <c:pt idx="216">
                  <c:v>8.7745275448795876</c:v>
                </c:pt>
                <c:pt idx="217">
                  <c:v>8.8090077053113678</c:v>
                </c:pt>
                <c:pt idx="218">
                  <c:v>8.8434505547876388</c:v>
                </c:pt>
                <c:pt idx="219">
                  <c:v>8.8778562138721231</c:v>
                </c:pt>
                <c:pt idx="220">
                  <c:v>8.9122248008535205</c:v>
                </c:pt>
                <c:pt idx="221">
                  <c:v>8.9465564317523043</c:v>
                </c:pt>
                <c:pt idx="222">
                  <c:v>8.9808512203276738</c:v>
                </c:pt>
                <c:pt idx="223">
                  <c:v>9.0151092780846547</c:v>
                </c:pt>
                <c:pt idx="224">
                  <c:v>9.0493307142813642</c:v>
                </c:pt>
                <c:pt idx="225">
                  <c:v>9.0835156359364415</c:v>
                </c:pt>
                <c:pt idx="226">
                  <c:v>9.1176641478366456</c:v>
                </c:pt>
                <c:pt idx="227">
                  <c:v>9.1517763525446352</c:v>
                </c:pt>
                <c:pt idx="228">
                  <c:v>9.1858523504069201</c:v>
                </c:pt>
                <c:pt idx="229">
                  <c:v>9.2198922395619984</c:v>
                </c:pt>
                <c:pt idx="230">
                  <c:v>9.2538961159486917</c:v>
                </c:pt>
                <c:pt idx="231">
                  <c:v>9.2878640733146565</c:v>
                </c:pt>
                <c:pt idx="232">
                  <c:v>9.3217962032251105</c:v>
                </c:pt>
                <c:pt idx="233">
                  <c:v>9.3556925950717442</c:v>
                </c:pt>
                <c:pt idx="234">
                  <c:v>9.3895533360818462</c:v>
                </c:pt>
                <c:pt idx="235">
                  <c:v>9.4233785113276305</c:v>
                </c:pt>
                <c:pt idx="236">
                  <c:v>9.4571682037357725</c:v>
                </c:pt>
                <c:pt idx="237">
                  <c:v>9.4909224940971644</c:v>
                </c:pt>
                <c:pt idx="238">
                  <c:v>9.5246414610768806</c:v>
                </c:pt>
                <c:pt idx="239">
                  <c:v>9.5583251812243599</c:v>
                </c:pt>
                <c:pt idx="240">
                  <c:v>9.5919737289838132</c:v>
                </c:pt>
                <c:pt idx="241">
                  <c:v>9.6255871767048475</c:v>
                </c:pt>
                <c:pt idx="242">
                  <c:v>9.659165594653313</c:v>
                </c:pt>
                <c:pt idx="243">
                  <c:v>9.6927090510223834</c:v>
                </c:pt>
                <c:pt idx="244">
                  <c:v>9.7262176119438468</c:v>
                </c:pt>
                <c:pt idx="245">
                  <c:v>9.7596913414996393</c:v>
                </c:pt>
                <c:pt idx="246">
                  <c:v>9.7931303017335924</c:v>
                </c:pt>
                <c:pt idx="247">
                  <c:v>9.8265345526634196</c:v>
                </c:pt>
                <c:pt idx="248">
                  <c:v>9.8599041522929163</c:v>
                </c:pt>
                <c:pt idx="249">
                  <c:v>9.8932391566244018</c:v>
                </c:pt>
                <c:pt idx="250">
                  <c:v>9.9265396196713809</c:v>
                </c:pt>
                <c:pt idx="251">
                  <c:v>9.9598055934714296</c:v>
                </c:pt>
                <c:pt idx="252">
                  <c:v>9.9930371280993118</c:v>
                </c:pt>
                <c:pt idx="253">
                  <c:v>10.026234271680316</c:v>
                </c:pt>
                <c:pt idx="254">
                  <c:v>10.059397070403818</c:v>
                </c:pt>
                <c:pt idx="255">
                  <c:v>10.092525568537065</c:v>
                </c:pt>
                <c:pt idx="256">
                  <c:v>10.125619808439168</c:v>
                </c:pt>
                <c:pt idx="257">
                  <c:v>10.158679830575332</c:v>
                </c:pt>
                <c:pt idx="258">
                  <c:v>10.191705673531281</c:v>
                </c:pt>
                <c:pt idx="259">
                  <c:v>10.224697374027908</c:v>
                </c:pt>
                <c:pt idx="260">
                  <c:v>10.257654966936126</c:v>
                </c:pt>
                <c:pt idx="261">
                  <c:v>10.290578485291935</c:v>
                </c:pt>
                <c:pt idx="262">
                  <c:v>10.323467960311676</c:v>
                </c:pt>
                <c:pt idx="263">
                  <c:v>10.356323421407509</c:v>
                </c:pt>
                <c:pt idx="264">
                  <c:v>10.389144896203058</c:v>
                </c:pt>
                <c:pt idx="265">
                  <c:v>10.421932410549275</c:v>
                </c:pt>
                <c:pt idx="266">
                  <c:v>10.45468598854047</c:v>
                </c:pt>
                <c:pt idx="267">
                  <c:v>10.487405652530546</c:v>
                </c:pt>
                <c:pt idx="268">
                  <c:v>10.520091423149392</c:v>
                </c:pt>
                <c:pt idx="269">
                  <c:v>10.55274331931947</c:v>
                </c:pt>
                <c:pt idx="270">
                  <c:v>10.585361358272563</c:v>
                </c:pt>
                <c:pt idx="271">
                  <c:v>10.617945555566685</c:v>
                </c:pt>
                <c:pt idx="272">
                  <c:v>10.650495925103161</c:v>
                </c:pt>
                <c:pt idx="273">
                  <c:v>10.68301247914386</c:v>
                </c:pt>
                <c:pt idx="274">
                  <c:v>10.715495228328571</c:v>
                </c:pt>
                <c:pt idx="275">
                  <c:v>10.747944181692532</c:v>
                </c:pt>
                <c:pt idx="276">
                  <c:v>10.780359346684099</c:v>
                </c:pt>
                <c:pt idx="277">
                  <c:v>10.812740729182545</c:v>
                </c:pt>
                <c:pt idx="278">
                  <c:v>10.845088333515987</c:v>
                </c:pt>
                <c:pt idx="279">
                  <c:v>10.877402162479436</c:v>
                </c:pt>
                <c:pt idx="280">
                  <c:v>10.909682217352973</c:v>
                </c:pt>
                <c:pt idx="281">
                  <c:v>10.941928497920021</c:v>
                </c:pt>
                <c:pt idx="282">
                  <c:v>10.974141002485734</c:v>
                </c:pt>
                <c:pt idx="283">
                  <c:v>11.006319727895482</c:v>
                </c:pt>
                <c:pt idx="284">
                  <c:v>11.038464669553429</c:v>
                </c:pt>
                <c:pt idx="285">
                  <c:v>11.070575821441196</c:v>
                </c:pt>
                <c:pt idx="286">
                  <c:v>11.102653176136611</c:v>
                </c:pt>
                <c:pt idx="287">
                  <c:v>11.134696724832533</c:v>
                </c:pt>
                <c:pt idx="288">
                  <c:v>11.166706457355739</c:v>
                </c:pt>
                <c:pt idx="289">
                  <c:v>11.198682362185881</c:v>
                </c:pt>
                <c:pt idx="290">
                  <c:v>11.230624426474504</c:v>
                </c:pt>
                <c:pt idx="291">
                  <c:v>11.262532636064103</c:v>
                </c:pt>
                <c:pt idx="292">
                  <c:v>11.294406975507238</c:v>
                </c:pt>
                <c:pt idx="293">
                  <c:v>11.326247428085679</c:v>
                </c:pt>
                <c:pt idx="294">
                  <c:v>11.358053975829593</c:v>
                </c:pt>
                <c:pt idx="295">
                  <c:v>11.389826599536752</c:v>
                </c:pt>
                <c:pt idx="296">
                  <c:v>11.421565278791766</c:v>
                </c:pt>
                <c:pt idx="297">
                  <c:v>11.45326999198533</c:v>
                </c:pt>
                <c:pt idx="298">
                  <c:v>11.484940716333488</c:v>
                </c:pt>
                <c:pt idx="299">
                  <c:v>11.516577427896891</c:v>
                </c:pt>
                <c:pt idx="300">
                  <c:v>11.548180101600062</c:v>
                </c:pt>
                <c:pt idx="301">
                  <c:v>11.579748711250657</c:v>
                </c:pt>
                <c:pt idx="302">
                  <c:v>11.611283229558705</c:v>
                </c:pt>
                <c:pt idx="303">
                  <c:v>11.642783628155836</c:v>
                </c:pt>
                <c:pt idx="304">
                  <c:v>11.674249877614495</c:v>
                </c:pt>
                <c:pt idx="305">
                  <c:v>11.705681947467111</c:v>
                </c:pt>
                <c:pt idx="306">
                  <c:v>11.73707980622525</c:v>
                </c:pt>
                <c:pt idx="307">
                  <c:v>11.76844342139872</c:v>
                </c:pt>
                <c:pt idx="308">
                  <c:v>11.799772759514642</c:v>
                </c:pt>
                <c:pt idx="309">
                  <c:v>11.831067786136465</c:v>
                </c:pt>
                <c:pt idx="310">
                  <c:v>11.862328465882939</c:v>
                </c:pt>
                <c:pt idx="311">
                  <c:v>11.893554762447023</c:v>
                </c:pt>
                <c:pt idx="312">
                  <c:v>11.924746638614739</c:v>
                </c:pt>
                <c:pt idx="313">
                  <c:v>11.955904056283957</c:v>
                </c:pt>
                <c:pt idx="314">
                  <c:v>11.987026976483115</c:v>
                </c:pt>
                <c:pt idx="315">
                  <c:v>12.018115359389858</c:v>
                </c:pt>
                <c:pt idx="316">
                  <c:v>12.04916916434961</c:v>
                </c:pt>
                <c:pt idx="317">
                  <c:v>12.08018834989406</c:v>
                </c:pt>
                <c:pt idx="318">
                  <c:v>12.111172873759555</c:v>
                </c:pt>
                <c:pt idx="319">
                  <c:v>12.142122692905424</c:v>
                </c:pt>
                <c:pt idx="320">
                  <c:v>12.173037763532188</c:v>
                </c:pt>
                <c:pt idx="321">
                  <c:v>12.203918041099692</c:v>
                </c:pt>
                <c:pt idx="322">
                  <c:v>12.234763480345128</c:v>
                </c:pt>
                <c:pt idx="323">
                  <c:v>12.265574035300959</c:v>
                </c:pt>
                <c:pt idx="324">
                  <c:v>12.296349659312742</c:v>
                </c:pt>
                <c:pt idx="325">
                  <c:v>12.327090305056833</c:v>
                </c:pt>
                <c:pt idx="326">
                  <c:v>12.357795924557992</c:v>
                </c:pt>
                <c:pt idx="327">
                  <c:v>12.388466469206872</c:v>
                </c:pt>
                <c:pt idx="328">
                  <c:v>12.419101889777382</c:v>
                </c:pt>
                <c:pt idx="329">
                  <c:v>12.449702136443948</c:v>
                </c:pt>
                <c:pt idx="330">
                  <c:v>12.480267158798641</c:v>
                </c:pt>
                <c:pt idx="331">
                  <c:v>12.510796905868185</c:v>
                </c:pt>
                <c:pt idx="332">
                  <c:v>12.541291326130837</c:v>
                </c:pt>
                <c:pt idx="333">
                  <c:v>12.571750367533149</c:v>
                </c:pt>
                <c:pt idx="334">
                  <c:v>12.602173977506581</c:v>
                </c:pt>
                <c:pt idx="335">
                  <c:v>12.632562102984012</c:v>
                </c:pt>
                <c:pt idx="336">
                  <c:v>12.662914690416088</c:v>
                </c:pt>
                <c:pt idx="337">
                  <c:v>12.693231685787451</c:v>
                </c:pt>
                <c:pt idx="338">
                  <c:v>12.72351303463283</c:v>
                </c:pt>
                <c:pt idx="339">
                  <c:v>12.753758682052995</c:v>
                </c:pt>
                <c:pt idx="340">
                  <c:v>12.783968572730565</c:v>
                </c:pt>
                <c:pt idx="341">
                  <c:v>12.81414265094568</c:v>
                </c:pt>
                <c:pt idx="342">
                  <c:v>12.844280860591535</c:v>
                </c:pt>
                <c:pt idx="343">
                  <c:v>12.874383145189766</c:v>
                </c:pt>
                <c:pt idx="344">
                  <c:v>12.904449447905689</c:v>
                </c:pt>
                <c:pt idx="345">
                  <c:v>12.934479711563403</c:v>
                </c:pt>
                <c:pt idx="346">
                  <c:v>12.964473878660741</c:v>
                </c:pt>
                <c:pt idx="347">
                  <c:v>12.994431891384073</c:v>
                </c:pt>
                <c:pt idx="348">
                  <c:v>13.02435369162297</c:v>
                </c:pt>
                <c:pt idx="349">
                  <c:v>13.054239220984709</c:v>
                </c:pt>
                <c:pt idx="350">
                  <c:v>13.084088420808635</c:v>
                </c:pt>
                <c:pt idx="351">
                  <c:v>13.113901232180382</c:v>
                </c:pt>
                <c:pt idx="352">
                  <c:v>13.143677595945926</c:v>
                </c:pt>
                <c:pt idx="353">
                  <c:v>13.173417452725502</c:v>
                </c:pt>
                <c:pt idx="354">
                  <c:v>13.20312074292737</c:v>
                </c:pt>
                <c:pt idx="355">
                  <c:v>13.232787406761425</c:v>
                </c:pt>
                <c:pt idx="356">
                  <c:v>13.262417384252659</c:v>
                </c:pt>
                <c:pt idx="357">
                  <c:v>13.292010615254476</c:v>
                </c:pt>
                <c:pt idx="358">
                  <c:v>13.321567039461845</c:v>
                </c:pt>
                <c:pt idx="359">
                  <c:v>13.35108659642432</c:v>
                </c:pt>
                <c:pt idx="360">
                  <c:v>13.38056922555889</c:v>
                </c:pt>
                <c:pt idx="361">
                  <c:v>13.410014866162692</c:v>
                </c:pt>
                <c:pt idx="362">
                  <c:v>13.439423457425567</c:v>
                </c:pt>
                <c:pt idx="363">
                  <c:v>13.468794938442466</c:v>
                </c:pt>
                <c:pt idx="364">
                  <c:v>13.498129248225709</c:v>
                </c:pt>
                <c:pt idx="365">
                  <c:v>13.527426325717094</c:v>
                </c:pt>
                <c:pt idx="366">
                  <c:v>13.556686109799848</c:v>
                </c:pt>
                <c:pt idx="367">
                  <c:v>13.585908539310442</c:v>
                </c:pt>
                <c:pt idx="368">
                  <c:v>13.615093553050242</c:v>
                </c:pt>
                <c:pt idx="369">
                  <c:v>13.644241089797031</c:v>
                </c:pt>
                <c:pt idx="370">
                  <c:v>13.673351088316364</c:v>
                </c:pt>
                <c:pt idx="371">
                  <c:v>13.702423487372783</c:v>
                </c:pt>
                <c:pt idx="372">
                  <c:v>13.731458225740889</c:v>
                </c:pt>
                <c:pt idx="373">
                  <c:v>13.760455242216262</c:v>
                </c:pt>
                <c:pt idx="374">
                  <c:v>13.789414475626234</c:v>
                </c:pt>
                <c:pt idx="375">
                  <c:v>13.818335864840529</c:v>
                </c:pt>
                <c:pt idx="376">
                  <c:v>13.84721934878174</c:v>
                </c:pt>
                <c:pt idx="377">
                  <c:v>13.876064866435675</c:v>
                </c:pt>
                <c:pt idx="378">
                  <c:v>13.904872356861553</c:v>
                </c:pt>
                <c:pt idx="379">
                  <c:v>13.933641759202068</c:v>
                </c:pt>
                <c:pt idx="380">
                  <c:v>13.962373012693298</c:v>
                </c:pt>
                <c:pt idx="381">
                  <c:v>13.991066056674478</c:v>
                </c:pt>
                <c:pt idx="382">
                  <c:v>14.019720830597638</c:v>
                </c:pt>
                <c:pt idx="383">
                  <c:v>14.048337274037094</c:v>
                </c:pt>
                <c:pt idx="384">
                  <c:v>14.076915326698801</c:v>
                </c:pt>
                <c:pt idx="385">
                  <c:v>14.10545492842958</c:v>
                </c:pt>
                <c:pt idx="386">
                  <c:v>14.13395601922619</c:v>
                </c:pt>
                <c:pt idx="387">
                  <c:v>14.162418539244275</c:v>
                </c:pt>
                <c:pt idx="388">
                  <c:v>14.190842428807173</c:v>
                </c:pt>
                <c:pt idx="389">
                  <c:v>14.219227628414595</c:v>
                </c:pt>
                <c:pt idx="390">
                  <c:v>14.247574078751164</c:v>
                </c:pt>
                <c:pt idx="391">
                  <c:v>14.275881720694821</c:v>
                </c:pt>
                <c:pt idx="392">
                  <c:v>14.304150495325107</c:v>
                </c:pt>
                <c:pt idx="393">
                  <c:v>14.332380343931311</c:v>
                </c:pt>
                <c:pt idx="394">
                  <c:v>14.360571208020481</c:v>
                </c:pt>
                <c:pt idx="395">
                  <c:v>14.388723029325318</c:v>
                </c:pt>
                <c:pt idx="396">
                  <c:v>14.416835749811936</c:v>
                </c:pt>
                <c:pt idx="397">
                  <c:v>14.444909311687491</c:v>
                </c:pt>
                <c:pt idx="398">
                  <c:v>14.472943657407695</c:v>
                </c:pt>
                <c:pt idx="399">
                  <c:v>14.500938729684197</c:v>
                </c:pt>
                <c:pt idx="400">
                  <c:v>14.528894471491837</c:v>
                </c:pt>
                <c:pt idx="401">
                  <c:v>14.556810826075788</c:v>
                </c:pt>
                <c:pt idx="402">
                  <c:v>14.584687736958569</c:v>
                </c:pt>
                <c:pt idx="403">
                  <c:v>14.612525147946936</c:v>
                </c:pt>
                <c:pt idx="404">
                  <c:v>14.640323003138654</c:v>
                </c:pt>
                <c:pt idx="405">
                  <c:v>14.668081246929155</c:v>
                </c:pt>
                <c:pt idx="406">
                  <c:v>14.695799824018069</c:v>
                </c:pt>
                <c:pt idx="407">
                  <c:v>14.723478679415647</c:v>
                </c:pt>
                <c:pt idx="408">
                  <c:v>14.751117758449064</c:v>
                </c:pt>
                <c:pt idx="409">
                  <c:v>14.778717006768602</c:v>
                </c:pt>
                <c:pt idx="410">
                  <c:v>14.806276370353729</c:v>
                </c:pt>
                <c:pt idx="411">
                  <c:v>14.833795795519055</c:v>
                </c:pt>
                <c:pt idx="412">
                  <c:v>14.86127522892019</c:v>
                </c:pt>
                <c:pt idx="413">
                  <c:v>14.88871461755947</c:v>
                </c:pt>
                <c:pt idx="414">
                  <c:v>14.916113908791594</c:v>
                </c:pt>
                <c:pt idx="415">
                  <c:v>14.943473050329137</c:v>
                </c:pt>
                <c:pt idx="416">
                  <c:v>14.970791990247964</c:v>
                </c:pt>
                <c:pt idx="417">
                  <c:v>14.998070676992533</c:v>
                </c:pt>
                <c:pt idx="418">
                  <c:v>15.025309059381096</c:v>
                </c:pt>
                <c:pt idx="419">
                  <c:v>15.052507086610783</c:v>
                </c:pt>
                <c:pt idx="420">
                  <c:v>15.0796647082626</c:v>
                </c:pt>
                <c:pt idx="421">
                  <c:v>15.106781874306309</c:v>
                </c:pt>
                <c:pt idx="422">
                  <c:v>15.133858535105217</c:v>
                </c:pt>
                <c:pt idx="423">
                  <c:v>15.160894641420851</c:v>
                </c:pt>
                <c:pt idx="424">
                  <c:v>15.187890144417548</c:v>
                </c:pt>
                <c:pt idx="425">
                  <c:v>15.214844995666931</c:v>
                </c:pt>
                <c:pt idx="426">
                  <c:v>15.241759147152303</c:v>
                </c:pt>
                <c:pt idx="427">
                  <c:v>15.268632551272924</c:v>
                </c:pt>
                <c:pt idx="428">
                  <c:v>15.295465160848213</c:v>
                </c:pt>
                <c:pt idx="429">
                  <c:v>15.322256929121835</c:v>
                </c:pt>
                <c:pt idx="430">
                  <c:v>15.349007809765711</c:v>
                </c:pt>
                <c:pt idx="431">
                  <c:v>15.375717756883921</c:v>
                </c:pt>
                <c:pt idx="432">
                  <c:v>15.402386725016523</c:v>
                </c:pt>
                <c:pt idx="433">
                  <c:v>15.429014669143276</c:v>
                </c:pt>
                <c:pt idx="434">
                  <c:v>15.455601544687278</c:v>
                </c:pt>
                <c:pt idx="435">
                  <c:v>15.482147307518504</c:v>
                </c:pt>
                <c:pt idx="436">
                  <c:v>15.508651913957266</c:v>
                </c:pt>
                <c:pt idx="437">
                  <c:v>15.53511532077758</c:v>
                </c:pt>
                <c:pt idx="438">
                  <c:v>15.561537485210446</c:v>
                </c:pt>
                <c:pt idx="439">
                  <c:v>15.587918364947045</c:v>
                </c:pt>
                <c:pt idx="440">
                  <c:v>15.614257918141851</c:v>
                </c:pt>
                <c:pt idx="441">
                  <c:v>15.64055610341565</c:v>
                </c:pt>
                <c:pt idx="442">
                  <c:v>15.666812879858485</c:v>
                </c:pt>
                <c:pt idx="443">
                  <c:v>15.693028207032524</c:v>
                </c:pt>
                <c:pt idx="444">
                  <c:v>15.719202044974828</c:v>
                </c:pt>
                <c:pt idx="445">
                  <c:v>15.745334354200056</c:v>
                </c:pt>
                <c:pt idx="446">
                  <c:v>15.771425095703076</c:v>
                </c:pt>
                <c:pt idx="447">
                  <c:v>15.797474230961518</c:v>
                </c:pt>
                <c:pt idx="448">
                  <c:v>15.82348172193822</c:v>
                </c:pt>
                <c:pt idx="449">
                  <c:v>15.849447531083626</c:v>
                </c:pt>
                <c:pt idx="450">
                  <c:v>15.875371621338083</c:v>
                </c:pt>
                <c:pt idx="451">
                  <c:v>15.901253956134079</c:v>
                </c:pt>
                <c:pt idx="452">
                  <c:v>15.927094499398402</c:v>
                </c:pt>
                <c:pt idx="453">
                  <c:v>15.952893215554223</c:v>
                </c:pt>
                <c:pt idx="454">
                  <c:v>15.978650069523106</c:v>
                </c:pt>
                <c:pt idx="455">
                  <c:v>16.004365026726948</c:v>
                </c:pt>
                <c:pt idx="456">
                  <c:v>16.03003805308985</c:v>
                </c:pt>
                <c:pt idx="457">
                  <c:v>16.055669115039912</c:v>
                </c:pt>
                <c:pt idx="458">
                  <c:v>16.081258179510961</c:v>
                </c:pt>
                <c:pt idx="459">
                  <c:v>16.106805213944206</c:v>
                </c:pt>
                <c:pt idx="460">
                  <c:v>16.132310186289835</c:v>
                </c:pt>
                <c:pt idx="461">
                  <c:v>16.157773065008541</c:v>
                </c:pt>
                <c:pt idx="462">
                  <c:v>16.183193819072969</c:v>
                </c:pt>
                <c:pt idx="463">
                  <c:v>16.208572417969116</c:v>
                </c:pt>
                <c:pt idx="464">
                  <c:v>16.233908831697651</c:v>
                </c:pt>
                <c:pt idx="465">
                  <c:v>16.259203030775186</c:v>
                </c:pt>
                <c:pt idx="466">
                  <c:v>16.284454986235467</c:v>
                </c:pt>
                <c:pt idx="467">
                  <c:v>16.309664669630514</c:v>
                </c:pt>
                <c:pt idx="468">
                  <c:v>16.334832053031693</c:v>
                </c:pt>
                <c:pt idx="469">
                  <c:v>16.359957109030738</c:v>
                </c:pt>
                <c:pt idx="470">
                  <c:v>16.385039810740686</c:v>
                </c:pt>
                <c:pt idx="471">
                  <c:v>16.410080131796789</c:v>
                </c:pt>
                <c:pt idx="472">
                  <c:v>16.43507804635734</c:v>
                </c:pt>
                <c:pt idx="473">
                  <c:v>16.460033529104447</c:v>
                </c:pt>
                <c:pt idx="474">
                  <c:v>16.484946555244754</c:v>
                </c:pt>
                <c:pt idx="475">
                  <c:v>16.509817100510105</c:v>
                </c:pt>
                <c:pt idx="476">
                  <c:v>16.534645141158144</c:v>
                </c:pt>
                <c:pt idx="477">
                  <c:v>16.559430653972875</c:v>
                </c:pt>
                <c:pt idx="478">
                  <c:v>16.584173616265151</c:v>
                </c:pt>
                <c:pt idx="479">
                  <c:v>16.608874005873112</c:v>
                </c:pt>
                <c:pt idx="480">
                  <c:v>16.633531801162579</c:v>
                </c:pt>
                <c:pt idx="481">
                  <c:v>16.658146981027397</c:v>
                </c:pt>
                <c:pt idx="482">
                  <c:v>16.682719524889698</c:v>
                </c:pt>
                <c:pt idx="483">
                  <c:v>16.707249412700161</c:v>
                </c:pt>
                <c:pt idx="484">
                  <c:v>16.731736624938172</c:v>
                </c:pt>
                <c:pt idx="485">
                  <c:v>16.756181142611965</c:v>
                </c:pt>
                <c:pt idx="486">
                  <c:v>16.780582947258708</c:v>
                </c:pt>
                <c:pt idx="487">
                  <c:v>16.804942020944534</c:v>
                </c:pt>
                <c:pt idx="488">
                  <c:v>16.82925834626452</c:v>
                </c:pt>
                <c:pt idx="489">
                  <c:v>16.853531906342646</c:v>
                </c:pt>
                <c:pt idx="490">
                  <c:v>16.877762684831666</c:v>
                </c:pt>
                <c:pt idx="491">
                  <c:v>16.901950665912967</c:v>
                </c:pt>
                <c:pt idx="492">
                  <c:v>16.926095834296365</c:v>
                </c:pt>
                <c:pt idx="493">
                  <c:v>16.950198175219864</c:v>
                </c:pt>
                <c:pt idx="494">
                  <c:v>16.974257674449369</c:v>
                </c:pt>
                <c:pt idx="495">
                  <c:v>16.998274318278348</c:v>
                </c:pt>
                <c:pt idx="496">
                  <c:v>17.02224809352747</c:v>
                </c:pt>
                <c:pt idx="497">
                  <c:v>17.04617898754417</c:v>
                </c:pt>
                <c:pt idx="498">
                  <c:v>17.07006698820221</c:v>
                </c:pt>
                <c:pt idx="499">
                  <c:v>17.093912083901166</c:v>
                </c:pt>
                <c:pt idx="500">
                  <c:v>17.117714263565894</c:v>
                </c:pt>
                <c:pt idx="501">
                  <c:v>17.141473516645942</c:v>
                </c:pt>
                <c:pt idx="502">
                  <c:v>17.16518983311494</c:v>
                </c:pt>
                <c:pt idx="503">
                  <c:v>17.188863203469943</c:v>
                </c:pt>
                <c:pt idx="504">
                  <c:v>17.212493618730715</c:v>
                </c:pt>
                <c:pt idx="505">
                  <c:v>17.236081070439017</c:v>
                </c:pt>
                <c:pt idx="506">
                  <c:v>17.259625550657827</c:v>
                </c:pt>
                <c:pt idx="507">
                  <c:v>17.283127051970528</c:v>
                </c:pt>
                <c:pt idx="508">
                  <c:v>17.306585567480067</c:v>
                </c:pt>
                <c:pt idx="509">
                  <c:v>17.306585567480067</c:v>
                </c:pt>
                <c:pt idx="510">
                  <c:v>17.306585567480067</c:v>
                </c:pt>
                <c:pt idx="511">
                  <c:v>17.306585567480067</c:v>
                </c:pt>
                <c:pt idx="512">
                  <c:v>17.306585567480067</c:v>
                </c:pt>
                <c:pt idx="513">
                  <c:v>17.306585567480067</c:v>
                </c:pt>
                <c:pt idx="514">
                  <c:v>17.306585567480067</c:v>
                </c:pt>
                <c:pt idx="515">
                  <c:v>17.306585567480067</c:v>
                </c:pt>
                <c:pt idx="516">
                  <c:v>17.306585567480067</c:v>
                </c:pt>
                <c:pt idx="517">
                  <c:v>17.306585567480067</c:v>
                </c:pt>
                <c:pt idx="518">
                  <c:v>17.306585567480067</c:v>
                </c:pt>
                <c:pt idx="519">
                  <c:v>17.306585567480067</c:v>
                </c:pt>
                <c:pt idx="520">
                  <c:v>17.306585567480067</c:v>
                </c:pt>
                <c:pt idx="521">
                  <c:v>17.306585567480067</c:v>
                </c:pt>
                <c:pt idx="522">
                  <c:v>17.306585567480067</c:v>
                </c:pt>
                <c:pt idx="523">
                  <c:v>17.306585567480067</c:v>
                </c:pt>
                <c:pt idx="524">
                  <c:v>17.306585567480067</c:v>
                </c:pt>
                <c:pt idx="525">
                  <c:v>17.306585567480067</c:v>
                </c:pt>
                <c:pt idx="526">
                  <c:v>17.306585567480067</c:v>
                </c:pt>
                <c:pt idx="527">
                  <c:v>17.306585567480067</c:v>
                </c:pt>
                <c:pt idx="528">
                  <c:v>17.306585567480067</c:v>
                </c:pt>
                <c:pt idx="529">
                  <c:v>17.306585567480067</c:v>
                </c:pt>
                <c:pt idx="530">
                  <c:v>17.306585567480067</c:v>
                </c:pt>
                <c:pt idx="531">
                  <c:v>17.306585567480067</c:v>
                </c:pt>
                <c:pt idx="532">
                  <c:v>17.306585567480067</c:v>
                </c:pt>
                <c:pt idx="533">
                  <c:v>17.306585567480067</c:v>
                </c:pt>
                <c:pt idx="534">
                  <c:v>17.306585567480067</c:v>
                </c:pt>
                <c:pt idx="535">
                  <c:v>17.306585567480067</c:v>
                </c:pt>
                <c:pt idx="536">
                  <c:v>17.306585567480067</c:v>
                </c:pt>
                <c:pt idx="537">
                  <c:v>17.306585567480067</c:v>
                </c:pt>
                <c:pt idx="538">
                  <c:v>17.306585567480067</c:v>
                </c:pt>
                <c:pt idx="539">
                  <c:v>17.306585567480067</c:v>
                </c:pt>
                <c:pt idx="540">
                  <c:v>17.306585567480067</c:v>
                </c:pt>
                <c:pt idx="541">
                  <c:v>17.306585567480067</c:v>
                </c:pt>
                <c:pt idx="542">
                  <c:v>17.306585567480067</c:v>
                </c:pt>
                <c:pt idx="543">
                  <c:v>17.306585567480067</c:v>
                </c:pt>
                <c:pt idx="544">
                  <c:v>17.306585567480067</c:v>
                </c:pt>
                <c:pt idx="545">
                  <c:v>17.306585567480067</c:v>
                </c:pt>
                <c:pt idx="546">
                  <c:v>17.306585567480067</c:v>
                </c:pt>
                <c:pt idx="547">
                  <c:v>17.306585567480067</c:v>
                </c:pt>
                <c:pt idx="548">
                  <c:v>17.306585567480067</c:v>
                </c:pt>
                <c:pt idx="549">
                  <c:v>17.306585567480067</c:v>
                </c:pt>
                <c:pt idx="550">
                  <c:v>17.306585567480067</c:v>
                </c:pt>
                <c:pt idx="551">
                  <c:v>17.306585567480067</c:v>
                </c:pt>
                <c:pt idx="552">
                  <c:v>17.306585567480067</c:v>
                </c:pt>
                <c:pt idx="553">
                  <c:v>17.306585567480067</c:v>
                </c:pt>
                <c:pt idx="554">
                  <c:v>17.306585567480067</c:v>
                </c:pt>
                <c:pt idx="555">
                  <c:v>17.306585567480067</c:v>
                </c:pt>
                <c:pt idx="556">
                  <c:v>17.306585567480067</c:v>
                </c:pt>
                <c:pt idx="557">
                  <c:v>17.306585567480067</c:v>
                </c:pt>
                <c:pt idx="558">
                  <c:v>17.306585567480067</c:v>
                </c:pt>
                <c:pt idx="559">
                  <c:v>17.306585567480067</c:v>
                </c:pt>
                <c:pt idx="560">
                  <c:v>17.306585567480067</c:v>
                </c:pt>
                <c:pt idx="561">
                  <c:v>17.306585567480067</c:v>
                </c:pt>
                <c:pt idx="562">
                  <c:v>17.306585567480067</c:v>
                </c:pt>
                <c:pt idx="563">
                  <c:v>17.306585567480067</c:v>
                </c:pt>
                <c:pt idx="564">
                  <c:v>17.306585567480067</c:v>
                </c:pt>
                <c:pt idx="565">
                  <c:v>17.306585567480067</c:v>
                </c:pt>
                <c:pt idx="566">
                  <c:v>17.306585567480067</c:v>
                </c:pt>
                <c:pt idx="567">
                  <c:v>17.306585567480067</c:v>
                </c:pt>
                <c:pt idx="568">
                  <c:v>17.306585567480067</c:v>
                </c:pt>
                <c:pt idx="569">
                  <c:v>17.306585567480067</c:v>
                </c:pt>
                <c:pt idx="570">
                  <c:v>17.306585567480067</c:v>
                </c:pt>
                <c:pt idx="571">
                  <c:v>17.306585567480067</c:v>
                </c:pt>
                <c:pt idx="572">
                  <c:v>17.306585567480067</c:v>
                </c:pt>
                <c:pt idx="573">
                  <c:v>17.306585567480067</c:v>
                </c:pt>
                <c:pt idx="574">
                  <c:v>17.306585567480067</c:v>
                </c:pt>
                <c:pt idx="575">
                  <c:v>17.306585567480067</c:v>
                </c:pt>
                <c:pt idx="576">
                  <c:v>17.306585567480067</c:v>
                </c:pt>
                <c:pt idx="577">
                  <c:v>17.306585567480067</c:v>
                </c:pt>
                <c:pt idx="578">
                  <c:v>17.306585567480067</c:v>
                </c:pt>
                <c:pt idx="579">
                  <c:v>17.306585567480067</c:v>
                </c:pt>
                <c:pt idx="580">
                  <c:v>17.306585567480067</c:v>
                </c:pt>
                <c:pt idx="581">
                  <c:v>17.306585567480067</c:v>
                </c:pt>
                <c:pt idx="582">
                  <c:v>17.306585567480067</c:v>
                </c:pt>
                <c:pt idx="583">
                  <c:v>17.306585567480067</c:v>
                </c:pt>
                <c:pt idx="584">
                  <c:v>17.306585567480067</c:v>
                </c:pt>
                <c:pt idx="585">
                  <c:v>17.306585567480067</c:v>
                </c:pt>
                <c:pt idx="586">
                  <c:v>17.306585567480067</c:v>
                </c:pt>
                <c:pt idx="587">
                  <c:v>17.306585567480067</c:v>
                </c:pt>
                <c:pt idx="588">
                  <c:v>17.306585567480067</c:v>
                </c:pt>
                <c:pt idx="589">
                  <c:v>17.306585567480067</c:v>
                </c:pt>
                <c:pt idx="590">
                  <c:v>17.306585567480067</c:v>
                </c:pt>
                <c:pt idx="591">
                  <c:v>17.306585567480067</c:v>
                </c:pt>
                <c:pt idx="592">
                  <c:v>17.306585567480067</c:v>
                </c:pt>
                <c:pt idx="593">
                  <c:v>17.306585567480067</c:v>
                </c:pt>
                <c:pt idx="594">
                  <c:v>17.306585567480067</c:v>
                </c:pt>
                <c:pt idx="595">
                  <c:v>17.306585567480067</c:v>
                </c:pt>
                <c:pt idx="596">
                  <c:v>17.306585567480067</c:v>
                </c:pt>
                <c:pt idx="597">
                  <c:v>17.306585567480067</c:v>
                </c:pt>
                <c:pt idx="598">
                  <c:v>17.306585567480067</c:v>
                </c:pt>
                <c:pt idx="599">
                  <c:v>17.306585567480067</c:v>
                </c:pt>
                <c:pt idx="600">
                  <c:v>17.306585567480067</c:v>
                </c:pt>
                <c:pt idx="601">
                  <c:v>17.306585567480067</c:v>
                </c:pt>
                <c:pt idx="602">
                  <c:v>17.306585567480067</c:v>
                </c:pt>
                <c:pt idx="603">
                  <c:v>17.306585567480067</c:v>
                </c:pt>
                <c:pt idx="604">
                  <c:v>17.306585567480067</c:v>
                </c:pt>
                <c:pt idx="605">
                  <c:v>17.306585567480067</c:v>
                </c:pt>
                <c:pt idx="606">
                  <c:v>17.306585567480067</c:v>
                </c:pt>
                <c:pt idx="607">
                  <c:v>17.306585567480067</c:v>
                </c:pt>
                <c:pt idx="608">
                  <c:v>17.306585567480067</c:v>
                </c:pt>
                <c:pt idx="609">
                  <c:v>17.306585567480067</c:v>
                </c:pt>
                <c:pt idx="610">
                  <c:v>17.306585567480067</c:v>
                </c:pt>
                <c:pt idx="611">
                  <c:v>17.306585567480067</c:v>
                </c:pt>
                <c:pt idx="612">
                  <c:v>17.306585567480067</c:v>
                </c:pt>
                <c:pt idx="613">
                  <c:v>17.306585567480067</c:v>
                </c:pt>
                <c:pt idx="614">
                  <c:v>17.306585567480067</c:v>
                </c:pt>
                <c:pt idx="615">
                  <c:v>17.306585567480067</c:v>
                </c:pt>
                <c:pt idx="616">
                  <c:v>17.306585567480067</c:v>
                </c:pt>
                <c:pt idx="617">
                  <c:v>17.306585567480067</c:v>
                </c:pt>
                <c:pt idx="618">
                  <c:v>17.306585567480067</c:v>
                </c:pt>
                <c:pt idx="619">
                  <c:v>17.306585567480067</c:v>
                </c:pt>
                <c:pt idx="620">
                  <c:v>17.306585567480067</c:v>
                </c:pt>
                <c:pt idx="621">
                  <c:v>17.306585567480067</c:v>
                </c:pt>
                <c:pt idx="622">
                  <c:v>17.306585567480067</c:v>
                </c:pt>
                <c:pt idx="623">
                  <c:v>17.306585567480067</c:v>
                </c:pt>
                <c:pt idx="624">
                  <c:v>17.306585567480067</c:v>
                </c:pt>
                <c:pt idx="625">
                  <c:v>17.306585567480067</c:v>
                </c:pt>
                <c:pt idx="626">
                  <c:v>17.306585567480067</c:v>
                </c:pt>
                <c:pt idx="627">
                  <c:v>17.306585567480067</c:v>
                </c:pt>
                <c:pt idx="628">
                  <c:v>17.306585567480067</c:v>
                </c:pt>
                <c:pt idx="629">
                  <c:v>17.306585567480067</c:v>
                </c:pt>
                <c:pt idx="630">
                  <c:v>17.306585567480067</c:v>
                </c:pt>
                <c:pt idx="631">
                  <c:v>17.306585567480067</c:v>
                </c:pt>
                <c:pt idx="632">
                  <c:v>17.306585567480067</c:v>
                </c:pt>
                <c:pt idx="633">
                  <c:v>17.306585567480067</c:v>
                </c:pt>
                <c:pt idx="634">
                  <c:v>17.306585567480067</c:v>
                </c:pt>
                <c:pt idx="635">
                  <c:v>17.306585567480067</c:v>
                </c:pt>
                <c:pt idx="636">
                  <c:v>17.306585567480067</c:v>
                </c:pt>
                <c:pt idx="637">
                  <c:v>17.306585567480067</c:v>
                </c:pt>
                <c:pt idx="638">
                  <c:v>17.306585567480067</c:v>
                </c:pt>
                <c:pt idx="639">
                  <c:v>17.306585567480067</c:v>
                </c:pt>
                <c:pt idx="640">
                  <c:v>17.306585567480067</c:v>
                </c:pt>
                <c:pt idx="641">
                  <c:v>17.306585567480067</c:v>
                </c:pt>
                <c:pt idx="642">
                  <c:v>17.306585567480067</c:v>
                </c:pt>
                <c:pt idx="643">
                  <c:v>17.306585567480067</c:v>
                </c:pt>
                <c:pt idx="644">
                  <c:v>17.306585567480067</c:v>
                </c:pt>
                <c:pt idx="645">
                  <c:v>17.306585567480067</c:v>
                </c:pt>
                <c:pt idx="646">
                  <c:v>17.306585567480067</c:v>
                </c:pt>
                <c:pt idx="647">
                  <c:v>17.306585567480067</c:v>
                </c:pt>
                <c:pt idx="648">
                  <c:v>17.306585567480067</c:v>
                </c:pt>
                <c:pt idx="649">
                  <c:v>17.306585567480067</c:v>
                </c:pt>
                <c:pt idx="650">
                  <c:v>17.306585567480067</c:v>
                </c:pt>
                <c:pt idx="651">
                  <c:v>17.306585567480067</c:v>
                </c:pt>
                <c:pt idx="652">
                  <c:v>17.306585567480067</c:v>
                </c:pt>
                <c:pt idx="653">
                  <c:v>17.306585567480067</c:v>
                </c:pt>
                <c:pt idx="654">
                  <c:v>17.306585567480067</c:v>
                </c:pt>
                <c:pt idx="655">
                  <c:v>17.306585567480067</c:v>
                </c:pt>
                <c:pt idx="656">
                  <c:v>17.306585567480067</c:v>
                </c:pt>
                <c:pt idx="657">
                  <c:v>17.306585567480067</c:v>
                </c:pt>
                <c:pt idx="658">
                  <c:v>17.306585567480067</c:v>
                </c:pt>
                <c:pt idx="659">
                  <c:v>17.306585567480067</c:v>
                </c:pt>
                <c:pt idx="660">
                  <c:v>17.306585567480067</c:v>
                </c:pt>
                <c:pt idx="661">
                  <c:v>17.306585567480067</c:v>
                </c:pt>
                <c:pt idx="662">
                  <c:v>17.306585567480067</c:v>
                </c:pt>
                <c:pt idx="663">
                  <c:v>17.306585567480067</c:v>
                </c:pt>
                <c:pt idx="664">
                  <c:v>17.306585567480067</c:v>
                </c:pt>
                <c:pt idx="665">
                  <c:v>17.306585567480067</c:v>
                </c:pt>
                <c:pt idx="666">
                  <c:v>17.306585567480067</c:v>
                </c:pt>
                <c:pt idx="667">
                  <c:v>17.306585567480067</c:v>
                </c:pt>
                <c:pt idx="668">
                  <c:v>17.306585567480067</c:v>
                </c:pt>
                <c:pt idx="669">
                  <c:v>17.306585567480067</c:v>
                </c:pt>
                <c:pt idx="670">
                  <c:v>17.306585567480067</c:v>
                </c:pt>
                <c:pt idx="671">
                  <c:v>17.306585567480067</c:v>
                </c:pt>
                <c:pt idx="672">
                  <c:v>17.306585567480067</c:v>
                </c:pt>
                <c:pt idx="673">
                  <c:v>17.306585567480067</c:v>
                </c:pt>
                <c:pt idx="674">
                  <c:v>17.306585567480067</c:v>
                </c:pt>
                <c:pt idx="675">
                  <c:v>17.306585567480067</c:v>
                </c:pt>
                <c:pt idx="676">
                  <c:v>17.306585567480067</c:v>
                </c:pt>
                <c:pt idx="677">
                  <c:v>17.306585567480067</c:v>
                </c:pt>
                <c:pt idx="678">
                  <c:v>17.306585567480067</c:v>
                </c:pt>
                <c:pt idx="679">
                  <c:v>17.306585567480067</c:v>
                </c:pt>
                <c:pt idx="680">
                  <c:v>17.306585567480067</c:v>
                </c:pt>
                <c:pt idx="681">
                  <c:v>17.306585567480067</c:v>
                </c:pt>
                <c:pt idx="682">
                  <c:v>17.306585567480067</c:v>
                </c:pt>
                <c:pt idx="683">
                  <c:v>17.306585567480067</c:v>
                </c:pt>
                <c:pt idx="684">
                  <c:v>17.306585567480067</c:v>
                </c:pt>
                <c:pt idx="685">
                  <c:v>17.306585567480067</c:v>
                </c:pt>
                <c:pt idx="686">
                  <c:v>17.306585567480067</c:v>
                </c:pt>
                <c:pt idx="687">
                  <c:v>17.306585567480067</c:v>
                </c:pt>
                <c:pt idx="688">
                  <c:v>17.306585567480067</c:v>
                </c:pt>
                <c:pt idx="689">
                  <c:v>17.306585567480067</c:v>
                </c:pt>
                <c:pt idx="690">
                  <c:v>17.306585567480067</c:v>
                </c:pt>
                <c:pt idx="691">
                  <c:v>17.306585567480067</c:v>
                </c:pt>
                <c:pt idx="692">
                  <c:v>17.306585567480067</c:v>
                </c:pt>
                <c:pt idx="693">
                  <c:v>17.306585567480067</c:v>
                </c:pt>
                <c:pt idx="694">
                  <c:v>17.306585567480067</c:v>
                </c:pt>
                <c:pt idx="695">
                  <c:v>17.306585567480067</c:v>
                </c:pt>
                <c:pt idx="696">
                  <c:v>17.306585567480067</c:v>
                </c:pt>
                <c:pt idx="697">
                  <c:v>17.306585567480067</c:v>
                </c:pt>
                <c:pt idx="698">
                  <c:v>17.306585567480067</c:v>
                </c:pt>
                <c:pt idx="699">
                  <c:v>17.306585567480067</c:v>
                </c:pt>
                <c:pt idx="700">
                  <c:v>17.306585567480067</c:v>
                </c:pt>
                <c:pt idx="701">
                  <c:v>17.306585567480067</c:v>
                </c:pt>
                <c:pt idx="702">
                  <c:v>17.306585567480067</c:v>
                </c:pt>
                <c:pt idx="703">
                  <c:v>17.306585567480067</c:v>
                </c:pt>
                <c:pt idx="704">
                  <c:v>17.306585567480067</c:v>
                </c:pt>
                <c:pt idx="705">
                  <c:v>17.306585567480067</c:v>
                </c:pt>
                <c:pt idx="706">
                  <c:v>17.306585567480067</c:v>
                </c:pt>
                <c:pt idx="707">
                  <c:v>17.306585567480067</c:v>
                </c:pt>
                <c:pt idx="708">
                  <c:v>17.306585567480067</c:v>
                </c:pt>
                <c:pt idx="709">
                  <c:v>17.306585567480067</c:v>
                </c:pt>
                <c:pt idx="710">
                  <c:v>17.306585567480067</c:v>
                </c:pt>
                <c:pt idx="711">
                  <c:v>17.306585567480067</c:v>
                </c:pt>
                <c:pt idx="712">
                  <c:v>17.306585567480067</c:v>
                </c:pt>
                <c:pt idx="713">
                  <c:v>17.306585567480067</c:v>
                </c:pt>
                <c:pt idx="714">
                  <c:v>17.306585567480067</c:v>
                </c:pt>
                <c:pt idx="715">
                  <c:v>17.306585567480067</c:v>
                </c:pt>
                <c:pt idx="716">
                  <c:v>17.306585567480067</c:v>
                </c:pt>
                <c:pt idx="717">
                  <c:v>17.306585567480067</c:v>
                </c:pt>
                <c:pt idx="718">
                  <c:v>17.306585567480067</c:v>
                </c:pt>
                <c:pt idx="719">
                  <c:v>17.306585567480067</c:v>
                </c:pt>
                <c:pt idx="720">
                  <c:v>17.306585567480067</c:v>
                </c:pt>
                <c:pt idx="721">
                  <c:v>17.306585567480067</c:v>
                </c:pt>
                <c:pt idx="722">
                  <c:v>17.306585567480067</c:v>
                </c:pt>
                <c:pt idx="723">
                  <c:v>17.306585567480067</c:v>
                </c:pt>
                <c:pt idx="724">
                  <c:v>17.306585567480067</c:v>
                </c:pt>
                <c:pt idx="725">
                  <c:v>17.306585567480067</c:v>
                </c:pt>
                <c:pt idx="726">
                  <c:v>17.306585567480067</c:v>
                </c:pt>
                <c:pt idx="727">
                  <c:v>17.306585567480067</c:v>
                </c:pt>
                <c:pt idx="728">
                  <c:v>17.306585567480067</c:v>
                </c:pt>
                <c:pt idx="729">
                  <c:v>17.306585567480067</c:v>
                </c:pt>
                <c:pt idx="730">
                  <c:v>17.306585567480067</c:v>
                </c:pt>
                <c:pt idx="731">
                  <c:v>17.306585567480067</c:v>
                </c:pt>
                <c:pt idx="732">
                  <c:v>17.306585567480067</c:v>
                </c:pt>
                <c:pt idx="733">
                  <c:v>17.306585567480067</c:v>
                </c:pt>
                <c:pt idx="734">
                  <c:v>17.306585567480067</c:v>
                </c:pt>
                <c:pt idx="735">
                  <c:v>17.306585567480067</c:v>
                </c:pt>
                <c:pt idx="736">
                  <c:v>17.306585567480067</c:v>
                </c:pt>
                <c:pt idx="737">
                  <c:v>17.306585567480067</c:v>
                </c:pt>
                <c:pt idx="738">
                  <c:v>17.306585567480067</c:v>
                </c:pt>
                <c:pt idx="739">
                  <c:v>17.306585567480067</c:v>
                </c:pt>
                <c:pt idx="740">
                  <c:v>17.306585567480067</c:v>
                </c:pt>
                <c:pt idx="741">
                  <c:v>17.306585567480067</c:v>
                </c:pt>
                <c:pt idx="742">
                  <c:v>17.306585567480067</c:v>
                </c:pt>
                <c:pt idx="743">
                  <c:v>17.306585567480067</c:v>
                </c:pt>
                <c:pt idx="744">
                  <c:v>17.306585567480067</c:v>
                </c:pt>
                <c:pt idx="745">
                  <c:v>17.306585567480067</c:v>
                </c:pt>
                <c:pt idx="746">
                  <c:v>17.306585567480067</c:v>
                </c:pt>
                <c:pt idx="747">
                  <c:v>17.306585567480067</c:v>
                </c:pt>
                <c:pt idx="748">
                  <c:v>17.306585567480067</c:v>
                </c:pt>
                <c:pt idx="749">
                  <c:v>17.306585567480067</c:v>
                </c:pt>
                <c:pt idx="750">
                  <c:v>17.306585567480067</c:v>
                </c:pt>
                <c:pt idx="751">
                  <c:v>17.306585567480067</c:v>
                </c:pt>
                <c:pt idx="752">
                  <c:v>17.306585567480067</c:v>
                </c:pt>
                <c:pt idx="753">
                  <c:v>17.306585567480067</c:v>
                </c:pt>
                <c:pt idx="754">
                  <c:v>17.306585567480067</c:v>
                </c:pt>
                <c:pt idx="755">
                  <c:v>17.306585567480067</c:v>
                </c:pt>
                <c:pt idx="756">
                  <c:v>17.306585567480067</c:v>
                </c:pt>
                <c:pt idx="757">
                  <c:v>17.306585567480067</c:v>
                </c:pt>
                <c:pt idx="758">
                  <c:v>17.306585567480067</c:v>
                </c:pt>
                <c:pt idx="759">
                  <c:v>17.306585567480067</c:v>
                </c:pt>
                <c:pt idx="760">
                  <c:v>17.306585567480067</c:v>
                </c:pt>
                <c:pt idx="761">
                  <c:v>17.306585567480067</c:v>
                </c:pt>
                <c:pt idx="762">
                  <c:v>17.306585567480067</c:v>
                </c:pt>
                <c:pt idx="763">
                  <c:v>17.306585567480067</c:v>
                </c:pt>
                <c:pt idx="764">
                  <c:v>17.306585567480067</c:v>
                </c:pt>
                <c:pt idx="765">
                  <c:v>17.306585567480067</c:v>
                </c:pt>
                <c:pt idx="766">
                  <c:v>17.306585567480067</c:v>
                </c:pt>
                <c:pt idx="767">
                  <c:v>17.306585567480067</c:v>
                </c:pt>
                <c:pt idx="768">
                  <c:v>17.306585567480067</c:v>
                </c:pt>
                <c:pt idx="769">
                  <c:v>17.306585567480067</c:v>
                </c:pt>
                <c:pt idx="770">
                  <c:v>17.306585567480067</c:v>
                </c:pt>
                <c:pt idx="771">
                  <c:v>17.306585567480067</c:v>
                </c:pt>
                <c:pt idx="772">
                  <c:v>17.306585567480067</c:v>
                </c:pt>
                <c:pt idx="773">
                  <c:v>17.306585567480067</c:v>
                </c:pt>
                <c:pt idx="774">
                  <c:v>17.306585567480067</c:v>
                </c:pt>
                <c:pt idx="775">
                  <c:v>17.306585567480067</c:v>
                </c:pt>
                <c:pt idx="776">
                  <c:v>17.306585567480067</c:v>
                </c:pt>
                <c:pt idx="777">
                  <c:v>17.306585567480067</c:v>
                </c:pt>
                <c:pt idx="778">
                  <c:v>17.306585567480067</c:v>
                </c:pt>
                <c:pt idx="779">
                  <c:v>17.306585567480067</c:v>
                </c:pt>
                <c:pt idx="780">
                  <c:v>17.306585567480067</c:v>
                </c:pt>
                <c:pt idx="781">
                  <c:v>17.306585567480067</c:v>
                </c:pt>
                <c:pt idx="782">
                  <c:v>17.306585567480067</c:v>
                </c:pt>
                <c:pt idx="783">
                  <c:v>17.306585567480067</c:v>
                </c:pt>
                <c:pt idx="784">
                  <c:v>17.306585567480067</c:v>
                </c:pt>
                <c:pt idx="785">
                  <c:v>17.306585567480067</c:v>
                </c:pt>
                <c:pt idx="786">
                  <c:v>17.306585567480067</c:v>
                </c:pt>
                <c:pt idx="787">
                  <c:v>17.306585567480067</c:v>
                </c:pt>
                <c:pt idx="788">
                  <c:v>17.306585567480067</c:v>
                </c:pt>
                <c:pt idx="789">
                  <c:v>17.306585567480067</c:v>
                </c:pt>
                <c:pt idx="790">
                  <c:v>17.306585567480067</c:v>
                </c:pt>
                <c:pt idx="791">
                  <c:v>17.306585567480067</c:v>
                </c:pt>
                <c:pt idx="792">
                  <c:v>17.306585567480067</c:v>
                </c:pt>
                <c:pt idx="793">
                  <c:v>17.306585567480067</c:v>
                </c:pt>
                <c:pt idx="794">
                  <c:v>17.306585567480067</c:v>
                </c:pt>
                <c:pt idx="795">
                  <c:v>17.306585567480067</c:v>
                </c:pt>
                <c:pt idx="796">
                  <c:v>17.306585567480067</c:v>
                </c:pt>
                <c:pt idx="797">
                  <c:v>17.306585567480067</c:v>
                </c:pt>
                <c:pt idx="798">
                  <c:v>17.306585567480067</c:v>
                </c:pt>
                <c:pt idx="799">
                  <c:v>17.306585567480067</c:v>
                </c:pt>
                <c:pt idx="800">
                  <c:v>17.306585567480067</c:v>
                </c:pt>
                <c:pt idx="801">
                  <c:v>17.306585567480067</c:v>
                </c:pt>
                <c:pt idx="802">
                  <c:v>17.306585567480067</c:v>
                </c:pt>
                <c:pt idx="803">
                  <c:v>17.306585567480067</c:v>
                </c:pt>
                <c:pt idx="804">
                  <c:v>17.306585567480067</c:v>
                </c:pt>
                <c:pt idx="805">
                  <c:v>17.306585567480067</c:v>
                </c:pt>
                <c:pt idx="806">
                  <c:v>17.306585567480067</c:v>
                </c:pt>
                <c:pt idx="807">
                  <c:v>17.306585567480067</c:v>
                </c:pt>
                <c:pt idx="808">
                  <c:v>17.306585567480067</c:v>
                </c:pt>
                <c:pt idx="809">
                  <c:v>17.306585567480067</c:v>
                </c:pt>
                <c:pt idx="810">
                  <c:v>17.306585567480067</c:v>
                </c:pt>
                <c:pt idx="811">
                  <c:v>17.306585567480067</c:v>
                </c:pt>
                <c:pt idx="812">
                  <c:v>17.306585567480067</c:v>
                </c:pt>
                <c:pt idx="813">
                  <c:v>17.306585567480067</c:v>
                </c:pt>
                <c:pt idx="814">
                  <c:v>17.306585567480067</c:v>
                </c:pt>
                <c:pt idx="815">
                  <c:v>17.306585567480067</c:v>
                </c:pt>
                <c:pt idx="816">
                  <c:v>17.306585567480067</c:v>
                </c:pt>
                <c:pt idx="817">
                  <c:v>17.306585567480067</c:v>
                </c:pt>
                <c:pt idx="818">
                  <c:v>17.306585567480067</c:v>
                </c:pt>
                <c:pt idx="819">
                  <c:v>17.306585567480067</c:v>
                </c:pt>
                <c:pt idx="820">
                  <c:v>17.306585567480067</c:v>
                </c:pt>
                <c:pt idx="821">
                  <c:v>17.306585567480067</c:v>
                </c:pt>
                <c:pt idx="822">
                  <c:v>17.306585567480067</c:v>
                </c:pt>
                <c:pt idx="823">
                  <c:v>17.306585567480067</c:v>
                </c:pt>
                <c:pt idx="824">
                  <c:v>17.306585567480067</c:v>
                </c:pt>
                <c:pt idx="825">
                  <c:v>17.306585567480067</c:v>
                </c:pt>
                <c:pt idx="826">
                  <c:v>17.306585567480067</c:v>
                </c:pt>
                <c:pt idx="827">
                  <c:v>17.306585567480067</c:v>
                </c:pt>
                <c:pt idx="828">
                  <c:v>17.306585567480067</c:v>
                </c:pt>
                <c:pt idx="829">
                  <c:v>17.306585567480067</c:v>
                </c:pt>
                <c:pt idx="830">
                  <c:v>17.306585567480067</c:v>
                </c:pt>
                <c:pt idx="831">
                  <c:v>17.306585567480067</c:v>
                </c:pt>
                <c:pt idx="832">
                  <c:v>17.306585567480067</c:v>
                </c:pt>
                <c:pt idx="833">
                  <c:v>17.306585567480067</c:v>
                </c:pt>
                <c:pt idx="834">
                  <c:v>17.306585567480067</c:v>
                </c:pt>
                <c:pt idx="835">
                  <c:v>17.306585567480067</c:v>
                </c:pt>
                <c:pt idx="836">
                  <c:v>17.306585567480067</c:v>
                </c:pt>
                <c:pt idx="837">
                  <c:v>17.306585567480067</c:v>
                </c:pt>
                <c:pt idx="838">
                  <c:v>17.306585567480067</c:v>
                </c:pt>
                <c:pt idx="839">
                  <c:v>17.306585567480067</c:v>
                </c:pt>
                <c:pt idx="840">
                  <c:v>17.306585567480067</c:v>
                </c:pt>
                <c:pt idx="841">
                  <c:v>17.306585567480067</c:v>
                </c:pt>
                <c:pt idx="842">
                  <c:v>17.306585567480067</c:v>
                </c:pt>
                <c:pt idx="843">
                  <c:v>17.306585567480067</c:v>
                </c:pt>
                <c:pt idx="844">
                  <c:v>17.306585567480067</c:v>
                </c:pt>
                <c:pt idx="845">
                  <c:v>17.306585567480067</c:v>
                </c:pt>
                <c:pt idx="846">
                  <c:v>17.306585567480067</c:v>
                </c:pt>
                <c:pt idx="847">
                  <c:v>17.306585567480067</c:v>
                </c:pt>
                <c:pt idx="848">
                  <c:v>17.306585567480067</c:v>
                </c:pt>
                <c:pt idx="849">
                  <c:v>17.306585567480067</c:v>
                </c:pt>
                <c:pt idx="850">
                  <c:v>17.306585567480067</c:v>
                </c:pt>
                <c:pt idx="851">
                  <c:v>17.306585567480067</c:v>
                </c:pt>
                <c:pt idx="852">
                  <c:v>17.306585567480067</c:v>
                </c:pt>
                <c:pt idx="853">
                  <c:v>17.306585567480067</c:v>
                </c:pt>
                <c:pt idx="854">
                  <c:v>17.306585567480067</c:v>
                </c:pt>
                <c:pt idx="855">
                  <c:v>17.306585567480067</c:v>
                </c:pt>
                <c:pt idx="856">
                  <c:v>17.306585567480067</c:v>
                </c:pt>
                <c:pt idx="857">
                  <c:v>17.306585567480067</c:v>
                </c:pt>
                <c:pt idx="858">
                  <c:v>17.306585567480067</c:v>
                </c:pt>
                <c:pt idx="859">
                  <c:v>17.306585567480067</c:v>
                </c:pt>
                <c:pt idx="860">
                  <c:v>17.306585567480067</c:v>
                </c:pt>
                <c:pt idx="861">
                  <c:v>17.306585567480067</c:v>
                </c:pt>
                <c:pt idx="862">
                  <c:v>17.306585567480067</c:v>
                </c:pt>
                <c:pt idx="863">
                  <c:v>17.306585567480067</c:v>
                </c:pt>
                <c:pt idx="864">
                  <c:v>17.306585567480067</c:v>
                </c:pt>
                <c:pt idx="865">
                  <c:v>17.306585567480067</c:v>
                </c:pt>
                <c:pt idx="866">
                  <c:v>17.306585567480067</c:v>
                </c:pt>
                <c:pt idx="867">
                  <c:v>17.306585567480067</c:v>
                </c:pt>
                <c:pt idx="868">
                  <c:v>17.306585567480067</c:v>
                </c:pt>
                <c:pt idx="869">
                  <c:v>17.306585567480067</c:v>
                </c:pt>
                <c:pt idx="870">
                  <c:v>17.306585567480067</c:v>
                </c:pt>
                <c:pt idx="871">
                  <c:v>17.306585567480067</c:v>
                </c:pt>
                <c:pt idx="872">
                  <c:v>17.306585567480067</c:v>
                </c:pt>
                <c:pt idx="873">
                  <c:v>17.306585567480067</c:v>
                </c:pt>
                <c:pt idx="874">
                  <c:v>17.306585567480067</c:v>
                </c:pt>
                <c:pt idx="875">
                  <c:v>17.306585567480067</c:v>
                </c:pt>
                <c:pt idx="876">
                  <c:v>17.306585567480067</c:v>
                </c:pt>
                <c:pt idx="877">
                  <c:v>17.306585567480067</c:v>
                </c:pt>
                <c:pt idx="878">
                  <c:v>17.306585567480067</c:v>
                </c:pt>
                <c:pt idx="879">
                  <c:v>17.306585567480067</c:v>
                </c:pt>
                <c:pt idx="880">
                  <c:v>17.306585567480067</c:v>
                </c:pt>
                <c:pt idx="881">
                  <c:v>17.306585567480067</c:v>
                </c:pt>
                <c:pt idx="882">
                  <c:v>17.306585567480067</c:v>
                </c:pt>
                <c:pt idx="883">
                  <c:v>17.306585567480067</c:v>
                </c:pt>
                <c:pt idx="884">
                  <c:v>17.306585567480067</c:v>
                </c:pt>
                <c:pt idx="885">
                  <c:v>17.306585567480067</c:v>
                </c:pt>
                <c:pt idx="886">
                  <c:v>17.306585567480067</c:v>
                </c:pt>
                <c:pt idx="887">
                  <c:v>17.306585567480067</c:v>
                </c:pt>
                <c:pt idx="888">
                  <c:v>17.306585567480067</c:v>
                </c:pt>
                <c:pt idx="889">
                  <c:v>17.306585567480067</c:v>
                </c:pt>
                <c:pt idx="890">
                  <c:v>17.306585567480067</c:v>
                </c:pt>
                <c:pt idx="891">
                  <c:v>17.306585567480067</c:v>
                </c:pt>
                <c:pt idx="892">
                  <c:v>17.306585567480067</c:v>
                </c:pt>
                <c:pt idx="893">
                  <c:v>17.306585567480067</c:v>
                </c:pt>
                <c:pt idx="894">
                  <c:v>17.306585567480067</c:v>
                </c:pt>
                <c:pt idx="895">
                  <c:v>17.306585567480067</c:v>
                </c:pt>
                <c:pt idx="896">
                  <c:v>17.306585567480067</c:v>
                </c:pt>
                <c:pt idx="897">
                  <c:v>17.306585567480067</c:v>
                </c:pt>
                <c:pt idx="898">
                  <c:v>17.306585567480067</c:v>
                </c:pt>
                <c:pt idx="899">
                  <c:v>17.306585567480067</c:v>
                </c:pt>
                <c:pt idx="900">
                  <c:v>17.306585567480067</c:v>
                </c:pt>
                <c:pt idx="901">
                  <c:v>17.306585567480067</c:v>
                </c:pt>
                <c:pt idx="902">
                  <c:v>17.306585567480067</c:v>
                </c:pt>
                <c:pt idx="903">
                  <c:v>17.306585567480067</c:v>
                </c:pt>
                <c:pt idx="904">
                  <c:v>17.306585567480067</c:v>
                </c:pt>
                <c:pt idx="905">
                  <c:v>17.306585567480067</c:v>
                </c:pt>
                <c:pt idx="906">
                  <c:v>17.306585567480067</c:v>
                </c:pt>
                <c:pt idx="907">
                  <c:v>17.306585567480067</c:v>
                </c:pt>
                <c:pt idx="908">
                  <c:v>17.306585567480067</c:v>
                </c:pt>
                <c:pt idx="909">
                  <c:v>17.306585567480067</c:v>
                </c:pt>
                <c:pt idx="910">
                  <c:v>17.306585567480067</c:v>
                </c:pt>
                <c:pt idx="911">
                  <c:v>17.306585567480067</c:v>
                </c:pt>
                <c:pt idx="912">
                  <c:v>17.306585567480067</c:v>
                </c:pt>
                <c:pt idx="913">
                  <c:v>17.306585567480067</c:v>
                </c:pt>
                <c:pt idx="914">
                  <c:v>17.306585567480067</c:v>
                </c:pt>
                <c:pt idx="915">
                  <c:v>17.306585567480067</c:v>
                </c:pt>
                <c:pt idx="916">
                  <c:v>17.306585567480067</c:v>
                </c:pt>
                <c:pt idx="917">
                  <c:v>17.306585567480067</c:v>
                </c:pt>
                <c:pt idx="918">
                  <c:v>17.306585567480067</c:v>
                </c:pt>
                <c:pt idx="919">
                  <c:v>17.306585567480067</c:v>
                </c:pt>
                <c:pt idx="920">
                  <c:v>17.306585567480067</c:v>
                </c:pt>
                <c:pt idx="921">
                  <c:v>17.306585567480067</c:v>
                </c:pt>
                <c:pt idx="922">
                  <c:v>17.306585567480067</c:v>
                </c:pt>
                <c:pt idx="923">
                  <c:v>17.306585567480067</c:v>
                </c:pt>
                <c:pt idx="924">
                  <c:v>17.306585567480067</c:v>
                </c:pt>
                <c:pt idx="925">
                  <c:v>17.306585567480067</c:v>
                </c:pt>
                <c:pt idx="926">
                  <c:v>17.306585567480067</c:v>
                </c:pt>
                <c:pt idx="927">
                  <c:v>17.306585567480067</c:v>
                </c:pt>
                <c:pt idx="928">
                  <c:v>17.306585567480067</c:v>
                </c:pt>
                <c:pt idx="929">
                  <c:v>17.306585567480067</c:v>
                </c:pt>
                <c:pt idx="930">
                  <c:v>17.306585567480067</c:v>
                </c:pt>
                <c:pt idx="931">
                  <c:v>17.306585567480067</c:v>
                </c:pt>
                <c:pt idx="932">
                  <c:v>17.306585567480067</c:v>
                </c:pt>
                <c:pt idx="933">
                  <c:v>17.306585567480067</c:v>
                </c:pt>
                <c:pt idx="934">
                  <c:v>17.306585567480067</c:v>
                </c:pt>
                <c:pt idx="935">
                  <c:v>17.306585567480067</c:v>
                </c:pt>
                <c:pt idx="936">
                  <c:v>17.306585567480067</c:v>
                </c:pt>
                <c:pt idx="937">
                  <c:v>17.306585567480067</c:v>
                </c:pt>
                <c:pt idx="938">
                  <c:v>17.306585567480067</c:v>
                </c:pt>
                <c:pt idx="939">
                  <c:v>17.306585567480067</c:v>
                </c:pt>
                <c:pt idx="940">
                  <c:v>17.306585567480067</c:v>
                </c:pt>
                <c:pt idx="941">
                  <c:v>17.306585567480067</c:v>
                </c:pt>
                <c:pt idx="942">
                  <c:v>17.306585567480067</c:v>
                </c:pt>
                <c:pt idx="943">
                  <c:v>17.306585567480067</c:v>
                </c:pt>
                <c:pt idx="944">
                  <c:v>17.306585567480067</c:v>
                </c:pt>
                <c:pt idx="945">
                  <c:v>17.306585567480067</c:v>
                </c:pt>
                <c:pt idx="946">
                  <c:v>17.306585567480067</c:v>
                </c:pt>
                <c:pt idx="947">
                  <c:v>17.306585567480067</c:v>
                </c:pt>
                <c:pt idx="948">
                  <c:v>17.306585567480067</c:v>
                </c:pt>
                <c:pt idx="949">
                  <c:v>17.306585567480067</c:v>
                </c:pt>
                <c:pt idx="950">
                  <c:v>17.306585567480067</c:v>
                </c:pt>
                <c:pt idx="951">
                  <c:v>17.306585567480067</c:v>
                </c:pt>
                <c:pt idx="952">
                  <c:v>17.306585567480067</c:v>
                </c:pt>
                <c:pt idx="953">
                  <c:v>17.306585567480067</c:v>
                </c:pt>
                <c:pt idx="954">
                  <c:v>17.306585567480067</c:v>
                </c:pt>
                <c:pt idx="955">
                  <c:v>17.306585567480067</c:v>
                </c:pt>
                <c:pt idx="956">
                  <c:v>17.306585567480067</c:v>
                </c:pt>
                <c:pt idx="957">
                  <c:v>17.306585567480067</c:v>
                </c:pt>
                <c:pt idx="958">
                  <c:v>17.306585567480067</c:v>
                </c:pt>
                <c:pt idx="959">
                  <c:v>17.306585567480067</c:v>
                </c:pt>
                <c:pt idx="960">
                  <c:v>17.306585567480067</c:v>
                </c:pt>
                <c:pt idx="961">
                  <c:v>17.306585567480067</c:v>
                </c:pt>
                <c:pt idx="962">
                  <c:v>17.306585567480067</c:v>
                </c:pt>
                <c:pt idx="963">
                  <c:v>17.306585567480067</c:v>
                </c:pt>
                <c:pt idx="964">
                  <c:v>17.306585567480067</c:v>
                </c:pt>
                <c:pt idx="965">
                  <c:v>17.306585567480067</c:v>
                </c:pt>
                <c:pt idx="966">
                  <c:v>17.306585567480067</c:v>
                </c:pt>
                <c:pt idx="967">
                  <c:v>17.306585567480067</c:v>
                </c:pt>
                <c:pt idx="968">
                  <c:v>17.306585567480067</c:v>
                </c:pt>
                <c:pt idx="969">
                  <c:v>17.306585567480067</c:v>
                </c:pt>
                <c:pt idx="970">
                  <c:v>17.306585567480067</c:v>
                </c:pt>
                <c:pt idx="971">
                  <c:v>17.306585567480067</c:v>
                </c:pt>
                <c:pt idx="972">
                  <c:v>17.306585567480067</c:v>
                </c:pt>
                <c:pt idx="973">
                  <c:v>17.306585567480067</c:v>
                </c:pt>
                <c:pt idx="974">
                  <c:v>17.306585567480067</c:v>
                </c:pt>
                <c:pt idx="975">
                  <c:v>17.306585567480067</c:v>
                </c:pt>
                <c:pt idx="976">
                  <c:v>17.306585567480067</c:v>
                </c:pt>
                <c:pt idx="977">
                  <c:v>17.306585567480067</c:v>
                </c:pt>
                <c:pt idx="978">
                  <c:v>17.306585567480067</c:v>
                </c:pt>
                <c:pt idx="979">
                  <c:v>17.306585567480067</c:v>
                </c:pt>
                <c:pt idx="980">
                  <c:v>17.306585567480067</c:v>
                </c:pt>
                <c:pt idx="981">
                  <c:v>17.306585567480067</c:v>
                </c:pt>
                <c:pt idx="982">
                  <c:v>17.306585567480067</c:v>
                </c:pt>
                <c:pt idx="983">
                  <c:v>17.306585567480067</c:v>
                </c:pt>
                <c:pt idx="984">
                  <c:v>17.306585567480067</c:v>
                </c:pt>
                <c:pt idx="985">
                  <c:v>17.306585567480067</c:v>
                </c:pt>
                <c:pt idx="986">
                  <c:v>17.306585567480067</c:v>
                </c:pt>
                <c:pt idx="987">
                  <c:v>17.306585567480067</c:v>
                </c:pt>
                <c:pt idx="988">
                  <c:v>17.306585567480067</c:v>
                </c:pt>
                <c:pt idx="989">
                  <c:v>17.306585567480067</c:v>
                </c:pt>
                <c:pt idx="990">
                  <c:v>17.306585567480067</c:v>
                </c:pt>
                <c:pt idx="991">
                  <c:v>17.306585567480067</c:v>
                </c:pt>
                <c:pt idx="992">
                  <c:v>17.306585567480067</c:v>
                </c:pt>
                <c:pt idx="993">
                  <c:v>17.306585567480067</c:v>
                </c:pt>
                <c:pt idx="994">
                  <c:v>17.306585567480067</c:v>
                </c:pt>
                <c:pt idx="995">
                  <c:v>17.306585567480067</c:v>
                </c:pt>
                <c:pt idx="996">
                  <c:v>17.306585567480067</c:v>
                </c:pt>
                <c:pt idx="997">
                  <c:v>17.306585567480067</c:v>
                </c:pt>
                <c:pt idx="998">
                  <c:v>17.306585567480067</c:v>
                </c:pt>
                <c:pt idx="999">
                  <c:v>17.306585567480067</c:v>
                </c:pt>
              </c:numCache>
            </c:numRef>
          </c:xVal>
          <c:yVal>
            <c:numRef>
              <c:f>Sheet1!$O$24:$O$1023</c:f>
              <c:numCache>
                <c:formatCode>0.00</c:formatCode>
                <c:ptCount val="1000"/>
                <c:pt idx="0">
                  <c:v>0</c:v>
                </c:pt>
                <c:pt idx="1">
                  <c:v>7.4160210195485188E-2</c:v>
                </c:pt>
                <c:pt idx="2">
                  <c:v>0.14786955738683191</c:v>
                </c:pt>
                <c:pt idx="3">
                  <c:v>0.2211303245129774</c:v>
                </c:pt>
                <c:pt idx="4">
                  <c:v>0.29394476946173509</c:v>
                </c:pt>
                <c:pt idx="5">
                  <c:v>0.3663151254042305</c:v>
                </c:pt>
                <c:pt idx="6">
                  <c:v>0.43824360112362426</c:v>
                </c:pt>
                <c:pt idx="7">
                  <c:v>0.50973238133823817</c:v>
                </c:pt>
                <c:pt idx="8">
                  <c:v>0.58078362701919883</c:v>
                </c:pt>
                <c:pt idx="9">
                  <c:v>0.65139947570271028</c:v>
                </c:pt>
                <c:pt idx="10">
                  <c:v>0.72158204179706398</c:v>
                </c:pt>
                <c:pt idx="11">
                  <c:v>0.79133341688449266</c:v>
                </c:pt>
                <c:pt idx="12">
                  <c:v>0.86065567001797139</c:v>
                </c:pt>
                <c:pt idx="13">
                  <c:v>0.92955084801306775</c:v>
                </c:pt>
                <c:pt idx="14">
                  <c:v>0.99802097573493953</c:v>
                </c:pt>
                <c:pt idx="15">
                  <c:v>1.0660680563805767</c:v>
                </c:pt>
                <c:pt idx="16">
                  <c:v>1.1336940717563824</c:v>
                </c:pt>
                <c:pt idx="17">
                  <c:v>1.2009009825511852</c:v>
                </c:pt>
                <c:pt idx="18">
                  <c:v>1.2676907286047727</c:v>
                </c:pt>
                <c:pt idx="19">
                  <c:v>1.334065229172035</c:v>
                </c:pt>
                <c:pt idx="20">
                  <c:v>1.4000263831828026</c:v>
                </c:pt>
                <c:pt idx="21">
                  <c:v>1.4655760694974662</c:v>
                </c:pt>
                <c:pt idx="22">
                  <c:v>1.5307161471584572</c:v>
                </c:pt>
                <c:pt idx="23">
                  <c:v>1.5954484556376716</c:v>
                </c:pt>
                <c:pt idx="24">
                  <c:v>1.6597748150799154</c:v>
                </c:pt>
                <c:pt idx="25">
                  <c:v>1.7236970265424483</c:v>
                </c:pt>
                <c:pt idx="26">
                  <c:v>1.7872168722307009</c:v>
                </c:pt>
                <c:pt idx="27">
                  <c:v>1.8503361157302394</c:v>
                </c:pt>
                <c:pt idx="28">
                  <c:v>1.9130565022350492</c:v>
                </c:pt>
                <c:pt idx="29">
                  <c:v>1.9753797587722082</c:v>
                </c:pt>
                <c:pt idx="30">
                  <c:v>2.037307594423019</c:v>
                </c:pt>
                <c:pt idx="31">
                  <c:v>2.0988417005406657</c:v>
                </c:pt>
                <c:pt idx="32">
                  <c:v>2.1599837509644644</c:v>
                </c:pt>
                <c:pt idx="33">
                  <c:v>2.2207354022307677</c:v>
                </c:pt>
                <c:pt idx="34">
                  <c:v>2.2810982937805897</c:v>
                </c:pt>
                <c:pt idx="35">
                  <c:v>2.3410740481640118</c:v>
                </c:pt>
                <c:pt idx="36">
                  <c:v>2.4006642712414306</c:v>
                </c:pt>
                <c:pt idx="37">
                  <c:v>2.4598705523817048</c:v>
                </c:pt>
                <c:pt idx="38">
                  <c:v>2.518694464657262</c:v>
                </c:pt>
                <c:pt idx="39">
                  <c:v>2.5771375650362209</c:v>
                </c:pt>
                <c:pt idx="40">
                  <c:v>2.635201394571582</c:v>
                </c:pt>
                <c:pt idx="41">
                  <c:v>2.6928874785875463</c:v>
                </c:pt>
                <c:pt idx="42">
                  <c:v>2.7501973268630096</c:v>
                </c:pt>
                <c:pt idx="43">
                  <c:v>2.8071324338122881</c:v>
                </c:pt>
                <c:pt idx="44">
                  <c:v>2.8636942786631256</c:v>
                </c:pt>
                <c:pt idx="45">
                  <c:v>2.9198843256320317</c:v>
                </c:pt>
                <c:pt idx="46">
                  <c:v>2.9757040240969994</c:v>
                </c:pt>
                <c:pt idx="47">
                  <c:v>3.031154808767651</c:v>
                </c:pt>
                <c:pt idx="48">
                  <c:v>3.0862380998528605</c:v>
                </c:pt>
                <c:pt idx="49">
                  <c:v>3.1409553032258946</c:v>
                </c:pt>
                <c:pt idx="50">
                  <c:v>3.195307810587122</c:v>
                </c:pt>
                <c:pt idx="51">
                  <c:v>3.2492969996243311</c:v>
                </c:pt>
                <c:pt idx="52">
                  <c:v>3.3029242341707037</c:v>
                </c:pt>
                <c:pt idx="53">
                  <c:v>3.3561908643604821</c:v>
                </c:pt>
                <c:pt idx="54">
                  <c:v>3.4090982267823748</c:v>
                </c:pt>
                <c:pt idx="55">
                  <c:v>3.4616476446307414</c:v>
                </c:pt>
                <c:pt idx="56">
                  <c:v>3.5138404278545945</c:v>
                </c:pt>
                <c:pt idx="57">
                  <c:v>3.5656778733044598</c:v>
                </c:pt>
                <c:pt idx="58">
                  <c:v>3.617161264877133</c:v>
                </c:pt>
                <c:pt idx="59">
                  <c:v>3.668291873658367</c:v>
                </c:pt>
                <c:pt idx="60">
                  <c:v>3.7190709580635342</c:v>
                </c:pt>
                <c:pt idx="61">
                  <c:v>3.7694997639762922</c:v>
                </c:pt>
                <c:pt idx="62">
                  <c:v>3.8195795248852922</c:v>
                </c:pt>
                <c:pt idx="63">
                  <c:v>3.8693114620189664</c:v>
                </c:pt>
                <c:pt idx="64">
                  <c:v>3.9186967844784251</c:v>
                </c:pt>
                <c:pt idx="65">
                  <c:v>3.9677366893684991</c:v>
                </c:pt>
                <c:pt idx="66">
                  <c:v>4.0164323619269604</c:v>
                </c:pt>
                <c:pt idx="67">
                  <c:v>4.0647849756519516</c:v>
                </c:pt>
                <c:pt idx="68">
                  <c:v>4.1127956924276603</c:v>
                </c:pt>
                <c:pt idx="69">
                  <c:v>4.1604656626482637</c:v>
                </c:pt>
                <c:pt idx="70">
                  <c:v>4.2077960253401763</c:v>
                </c:pt>
                <c:pt idx="71">
                  <c:v>4.2547879082826352</c:v>
                </c:pt>
                <c:pt idx="72">
                  <c:v>4.3014424281266432</c:v>
                </c:pt>
                <c:pt idx="73">
                  <c:v>4.3477606905123087</c:v>
                </c:pt>
                <c:pt idx="74">
                  <c:v>4.3937437901846019</c:v>
                </c:pt>
                <c:pt idx="75">
                  <c:v>4.4393928111075631</c:v>
                </c:pt>
                <c:pt idx="76">
                  <c:v>4.4847088265769832</c:v>
                </c:pt>
                <c:pt idx="77">
                  <c:v>4.5296928993315886</c:v>
                </c:pt>
                <c:pt idx="78">
                  <c:v>4.5743460816627568</c:v>
                </c:pt>
                <c:pt idx="79">
                  <c:v>4.6186694155227812</c:v>
                </c:pt>
                <c:pt idx="80">
                  <c:v>4.6626639326317258</c:v>
                </c:pt>
                <c:pt idx="81">
                  <c:v>4.7063306545828754</c:v>
                </c:pt>
                <c:pt idx="82">
                  <c:v>4.7496705929468241</c:v>
                </c:pt>
                <c:pt idx="83">
                  <c:v>4.7926847493742137</c:v>
                </c:pt>
                <c:pt idx="84">
                  <c:v>4.835374115697153</c:v>
                </c:pt>
                <c:pt idx="85">
                  <c:v>4.8777396740293382</c:v>
                </c:pt>
                <c:pt idx="86">
                  <c:v>4.9197823968648979</c:v>
                </c:pt>
                <c:pt idx="87">
                  <c:v>4.9615032471759868</c:v>
                </c:pt>
                <c:pt idx="88">
                  <c:v>5.0029031785091469</c:v>
                </c:pt>
                <c:pt idx="89">
                  <c:v>5.0439831350804649</c:v>
                </c:pt>
                <c:pt idx="90">
                  <c:v>5.0847440518695377</c:v>
                </c:pt>
                <c:pt idx="91">
                  <c:v>5.1251868547122772</c:v>
                </c:pt>
                <c:pt idx="92">
                  <c:v>5.1653124603925686</c:v>
                </c:pt>
                <c:pt idx="93">
                  <c:v>5.2051217767328044</c:v>
                </c:pt>
                <c:pt idx="94">
                  <c:v>5.2446157026833156</c:v>
                </c:pt>
                <c:pt idx="95">
                  <c:v>5.2837951284107199</c:v>
                </c:pt>
                <c:pt idx="96">
                  <c:v>5.3226609353852039</c:v>
                </c:pt>
                <c:pt idx="97">
                  <c:v>5.3612139964667636</c:v>
                </c:pt>
                <c:pt idx="98">
                  <c:v>5.3994551759904166</c:v>
                </c:pt>
                <c:pt idx="99">
                  <c:v>5.4373853298504082</c:v>
                </c:pt>
                <c:pt idx="100">
                  <c:v>5.4750053055834282</c:v>
                </c:pt>
                <c:pt idx="101">
                  <c:v>5.5123159424508614</c:v>
                </c:pt>
                <c:pt idx="102">
                  <c:v>5.5493180715200809</c:v>
                </c:pt>
                <c:pt idx="103">
                  <c:v>5.5860125157448079</c:v>
                </c:pt>
                <c:pt idx="104">
                  <c:v>5.6224000900445583</c:v>
                </c:pt>
                <c:pt idx="105">
                  <c:v>5.6584816013831833</c:v>
                </c:pt>
                <c:pt idx="106">
                  <c:v>5.6942578488465321</c:v>
                </c:pt>
                <c:pt idx="107">
                  <c:v>5.7297296237192441</c:v>
                </c:pt>
                <c:pt idx="108">
                  <c:v>5.764897709560695</c:v>
                </c:pt>
                <c:pt idx="109">
                  <c:v>5.7997628822801062</c:v>
                </c:pt>
                <c:pt idx="110">
                  <c:v>5.834325910210838</c:v>
                </c:pt>
                <c:pt idx="111">
                  <c:v>5.8685875541838817</c:v>
                </c:pt>
                <c:pt idx="112">
                  <c:v>5.9025485676005642</c:v>
                </c:pt>
                <c:pt idx="113">
                  <c:v>5.9362096965044815</c:v>
                </c:pt>
                <c:pt idx="114">
                  <c:v>5.9695716796526774</c:v>
                </c:pt>
                <c:pt idx="115">
                  <c:v>6.002635248586083</c:v>
                </c:pt>
                <c:pt idx="116">
                  <c:v>6.0354011276992274</c:v>
                </c:pt>
                <c:pt idx="117">
                  <c:v>6.0678700343092391</c:v>
                </c:pt>
                <c:pt idx="118">
                  <c:v>6.1000426787241517</c:v>
                </c:pt>
                <c:pt idx="119">
                  <c:v>6.131919764310525</c:v>
                </c:pt>
                <c:pt idx="120">
                  <c:v>6.1635019875603971</c:v>
                </c:pt>
                <c:pt idx="121">
                  <c:v>6.1947900381575858</c:v>
                </c:pt>
                <c:pt idx="122">
                  <c:v>6.2257845990433474</c:v>
                </c:pt>
                <c:pt idx="123">
                  <c:v>6.2564863464814069</c:v>
                </c:pt>
                <c:pt idx="124">
                  <c:v>6.2868959501223758</c:v>
                </c:pt>
                <c:pt idx="125">
                  <c:v>6.3170140730675701</c:v>
                </c:pt>
                <c:pt idx="126">
                  <c:v>6.346841371932241</c:v>
                </c:pt>
                <c:pt idx="127">
                  <c:v>6.3763784969082309</c:v>
                </c:pt>
                <c:pt idx="128">
                  <c:v>6.4056260918260675</c:v>
                </c:pt>
                <c:pt idx="129">
                  <c:v>6.4345847942165095</c:v>
                </c:pt>
                <c:pt idx="130">
                  <c:v>6.463255235371558</c:v>
                </c:pt>
                <c:pt idx="131">
                  <c:v>6.4916380404049416</c:v>
                </c:pt>
                <c:pt idx="132">
                  <c:v>6.5197338283120887</c:v>
                </c:pt>
                <c:pt idx="133">
                  <c:v>6.5475432120296055</c:v>
                </c:pt>
                <c:pt idx="134">
                  <c:v>6.5750667984942632</c:v>
                </c:pt>
                <c:pt idx="135">
                  <c:v>6.6023051887015081</c:v>
                </c:pt>
                <c:pt idx="136">
                  <c:v>6.629258977763512</c:v>
                </c:pt>
                <c:pt idx="137">
                  <c:v>6.6559287549667676</c:v>
                </c:pt>
                <c:pt idx="138">
                  <c:v>6.6823151038292439</c:v>
                </c:pt>
                <c:pt idx="139">
                  <c:v>6.7084186021571126</c:v>
                </c:pt>
                <c:pt idx="140">
                  <c:v>6.7342398221010562</c:v>
                </c:pt>
                <c:pt idx="141">
                  <c:v>6.7597793302121696</c:v>
                </c:pt>
                <c:pt idx="142">
                  <c:v>6.7850376874974643</c:v>
                </c:pt>
                <c:pt idx="143">
                  <c:v>6.8100154494749887</c:v>
                </c:pt>
                <c:pt idx="144">
                  <c:v>6.8347131662285747</c:v>
                </c:pt>
                <c:pt idx="145">
                  <c:v>6.8591313824622189</c:v>
                </c:pt>
                <c:pt idx="146">
                  <c:v>6.8832706375541131</c:v>
                </c:pt>
                <c:pt idx="147">
                  <c:v>6.9071314656103295</c:v>
                </c:pt>
                <c:pt idx="148">
                  <c:v>6.9307143955181747</c:v>
                </c:pt>
                <c:pt idx="149">
                  <c:v>6.9540199509992213</c:v>
                </c:pt>
                <c:pt idx="150">
                  <c:v>6.9770486506620273</c:v>
                </c:pt>
                <c:pt idx="151">
                  <c:v>6.9998010080545541</c:v>
                </c:pt>
                <c:pt idx="152">
                  <c:v>7.0222775317162887</c:v>
                </c:pt>
                <c:pt idx="153">
                  <c:v>7.0444787252300891</c:v>
                </c:pt>
                <c:pt idx="154">
                  <c:v>7.0664050872737514</c:v>
                </c:pt>
                <c:pt idx="155">
                  <c:v>7.088057111671314</c:v>
                </c:pt>
                <c:pt idx="156">
                  <c:v>7.1094352874441116</c:v>
                </c:pt>
                <c:pt idx="157">
                  <c:v>7.1305400988615766</c:v>
                </c:pt>
                <c:pt idx="158">
                  <c:v>7.1513720254918116</c:v>
                </c:pt>
                <c:pt idx="159">
                  <c:v>7.1719315422519321</c:v>
                </c:pt>
                <c:pt idx="160">
                  <c:v>7.1922191194581906</c:v>
                </c:pt>
                <c:pt idx="161">
                  <c:v>7.2122352228758899</c:v>
                </c:pt>
                <c:pt idx="162">
                  <c:v>7.2319803137690997</c:v>
                </c:pt>
                <c:pt idx="163">
                  <c:v>7.2514548489501767</c:v>
                </c:pt>
                <c:pt idx="164">
                  <c:v>7.2706592808291033</c:v>
                </c:pt>
                <c:pt idx="165">
                  <c:v>7.2895940574626472</c:v>
                </c:pt>
                <c:pt idx="166">
                  <c:v>7.3082596226033569</c:v>
                </c:pt>
                <c:pt idx="167">
                  <c:v>7.3266564157483947</c:v>
                </c:pt>
                <c:pt idx="168">
                  <c:v>7.3447848721882174</c:v>
                </c:pt>
                <c:pt idx="169">
                  <c:v>7.362645423055115</c:v>
                </c:pt>
                <c:pt idx="170">
                  <c:v>7.3802384953716089</c:v>
                </c:pt>
                <c:pt idx="171">
                  <c:v>7.3975645120987208</c:v>
                </c:pt>
                <c:pt idx="172">
                  <c:v>7.4146238921841228</c:v>
                </c:pt>
                <c:pt idx="173">
                  <c:v>7.4314170506101638</c:v>
                </c:pt>
                <c:pt idx="174">
                  <c:v>7.4479443984417966</c:v>
                </c:pt>
                <c:pt idx="175">
                  <c:v>7.4642063428743954</c:v>
                </c:pt>
                <c:pt idx="176">
                  <c:v>7.480203287281479</c:v>
                </c:pt>
                <c:pt idx="177">
                  <c:v>7.4959356312623475</c:v>
                </c:pt>
                <c:pt idx="178">
                  <c:v>7.5114037706896317</c:v>
                </c:pt>
                <c:pt idx="179">
                  <c:v>7.5266080977567684</c:v>
                </c:pt>
                <c:pt idx="180">
                  <c:v>7.5415490010254</c:v>
                </c:pt>
                <c:pt idx="181">
                  <c:v>7.5562268654727118</c:v>
                </c:pt>
                <c:pt idx="182">
                  <c:v>7.5706420725387069</c:v>
                </c:pt>
                <c:pt idx="183">
                  <c:v>7.5847950001734246</c:v>
                </c:pt>
                <c:pt idx="184">
                  <c:v>7.5986860228841078</c:v>
                </c:pt>
                <c:pt idx="185">
                  <c:v>7.6123155117823273</c:v>
                </c:pt>
                <c:pt idx="186">
                  <c:v>7.6256838346310607</c:v>
                </c:pt>
                <c:pt idx="187">
                  <c:v>7.638791355891736</c:v>
                </c:pt>
                <c:pt idx="188">
                  <c:v>7.6516384367712433</c:v>
                </c:pt>
                <c:pt idx="189">
                  <c:v>7.6642254352689143</c:v>
                </c:pt>
                <c:pt idx="190">
                  <c:v>7.676552706223478</c:v>
                </c:pt>
                <c:pt idx="191">
                  <c:v>7.6886206013599931</c:v>
                </c:pt>
                <c:pt idx="192">
                  <c:v>7.700429469336763</c:v>
                </c:pt>
                <c:pt idx="193">
                  <c:v>7.7119796557922315</c:v>
                </c:pt>
                <c:pt idx="194">
                  <c:v>7.7232715033918673</c:v>
                </c:pt>
                <c:pt idx="195">
                  <c:v>7.7343053518750358</c:v>
                </c:pt>
                <c:pt idx="196">
                  <c:v>7.7450815381018625</c:v>
                </c:pt>
                <c:pt idx="197">
                  <c:v>7.7556003961000881</c:v>
                </c:pt>
                <c:pt idx="198">
                  <c:v>7.7658622571119187</c:v>
                </c:pt>
                <c:pt idx="199">
                  <c:v>7.7758674496408728</c:v>
                </c:pt>
                <c:pt idx="200">
                  <c:v>7.7856162994986198</c:v>
                </c:pt>
                <c:pt idx="201">
                  <c:v>7.7951091298518236</c:v>
                </c:pt>
                <c:pt idx="202">
                  <c:v>7.804346261268976</c:v>
                </c:pt>
                <c:pt idx="203">
                  <c:v>7.8133280117672355</c:v>
                </c:pt>
                <c:pt idx="204">
                  <c:v>7.822054696859257</c:v>
                </c:pt>
                <c:pt idx="205">
                  <c:v>7.8305266296000271</c:v>
                </c:pt>
                <c:pt idx="206">
                  <c:v>7.838744120633689</c:v>
                </c:pt>
                <c:pt idx="207">
                  <c:v>7.8467074782403676</c:v>
                </c:pt>
                <c:pt idx="208">
                  <c:v>7.8544170083829883</c:v>
                </c:pt>
                <c:pt idx="209">
                  <c:v>7.8618730147540896</c:v>
                </c:pt>
                <c:pt idx="210">
                  <c:v>7.8690757988226263</c:v>
                </c:pt>
                <c:pt idx="211">
                  <c:v>7.8760256598807628</c:v>
                </c:pt>
                <c:pt idx="212">
                  <c:v>7.8827228950906543</c:v>
                </c:pt>
                <c:pt idx="213">
                  <c:v>7.8891677995312106</c:v>
                </c:pt>
                <c:pt idx="214">
                  <c:v>7.8953606662448408</c:v>
                </c:pt>
                <c:pt idx="215">
                  <c:v>7.9013017862841783</c:v>
                </c:pt>
                <c:pt idx="216">
                  <c:v>7.9069914487587809</c:v>
                </c:pt>
                <c:pt idx="217">
                  <c:v>7.9124299408817969</c:v>
                </c:pt>
                <c:pt idx="218">
                  <c:v>7.9176175480166018</c:v>
                </c:pt>
                <c:pt idx="219">
                  <c:v>7.9225545537233977</c:v>
                </c:pt>
                <c:pt idx="220">
                  <c:v>7.9272412398057659</c:v>
                </c:pt>
                <c:pt idx="221">
                  <c:v>7.9316778863571775</c:v>
                </c:pt>
                <c:pt idx="222">
                  <c:v>7.935864771807446</c:v>
                </c:pt>
                <c:pt idx="223">
                  <c:v>7.9398021729691246</c:v>
                </c:pt>
                <c:pt idx="224">
                  <c:v>7.9434903650838402</c:v>
                </c:pt>
                <c:pt idx="225">
                  <c:v>7.9469296218685557</c:v>
                </c:pt>
                <c:pt idx="226">
                  <c:v>7.9501202155617552</c:v>
                </c:pt>
                <c:pt idx="227">
                  <c:v>7.9530624169695505</c:v>
                </c:pt>
                <c:pt idx="228">
                  <c:v>7.9557564955116939</c:v>
                </c:pt>
                <c:pt idx="229">
                  <c:v>7.9582027192674953</c:v>
                </c:pt>
                <c:pt idx="230">
                  <c:v>7.9604013550216397</c:v>
                </c:pt>
                <c:pt idx="231">
                  <c:v>7.9623526683098884</c:v>
                </c:pt>
                <c:pt idx="232">
                  <c:v>7.9640569234646659</c:v>
                </c:pt>
                <c:pt idx="233">
                  <c:v>7.9655143836605165</c:v>
                </c:pt>
                <c:pt idx="234">
                  <c:v>7.9667253109594309</c:v>
                </c:pt>
                <c:pt idx="235">
                  <c:v>7.9676899663560299</c:v>
                </c:pt>
                <c:pt idx="236">
                  <c:v>7.9684086098225917</c:v>
                </c:pt>
                <c:pt idx="237">
                  <c:v>7.9688815003539304</c:v>
                </c:pt>
                <c:pt idx="238">
                  <c:v>7.9691088960120977</c:v>
                </c:pt>
                <c:pt idx="239">
                  <c:v>7.9690910539709128</c:v>
                </c:pt>
                <c:pt idx="240">
                  <c:v>7.9688282305603062</c:v>
                </c:pt>
                <c:pt idx="241">
                  <c:v>7.9683206813104714</c:v>
                </c:pt>
                <c:pt idx="242">
                  <c:v>7.9675686609958092</c:v>
                </c:pt>
                <c:pt idx="243">
                  <c:v>7.9665724236786657</c:v>
                </c:pt>
                <c:pt idx="244">
                  <c:v>7.9653322227528447</c:v>
                </c:pt>
                <c:pt idx="245">
                  <c:v>7.9638483109868909</c:v>
                </c:pt>
                <c:pt idx="246">
                  <c:v>7.9621209405671349</c:v>
                </c:pt>
                <c:pt idx="247">
                  <c:v>7.9601503631404871</c:v>
                </c:pt>
                <c:pt idx="248">
                  <c:v>7.9579368298569744</c:v>
                </c:pt>
                <c:pt idx="249">
                  <c:v>7.9554805914120115</c:v>
                </c:pt>
                <c:pt idx="250">
                  <c:v>7.9527818980883902</c:v>
                </c:pt>
                <c:pt idx="251">
                  <c:v>7.9498409997979875</c:v>
                </c:pt>
                <c:pt idx="252">
                  <c:v>7.9466581461231778</c:v>
                </c:pt>
                <c:pt idx="253">
                  <c:v>7.9432335863579384</c:v>
                </c:pt>
                <c:pt idx="254">
                  <c:v>7.9395675695486414</c:v>
                </c:pt>
                <c:pt idx="255">
                  <c:v>7.9356603445345275</c:v>
                </c:pt>
                <c:pt idx="256">
                  <c:v>7.9315121599878422</c:v>
                </c:pt>
                <c:pt idx="257">
                  <c:v>7.9271232644536349</c:v>
                </c:pt>
                <c:pt idx="258">
                  <c:v>7.9224939063892084</c:v>
                </c:pt>
                <c:pt idx="259">
                  <c:v>7.9176243342032109</c:v>
                </c:pt>
                <c:pt idx="260">
                  <c:v>7.9125147962943609</c:v>
                </c:pt>
                <c:pt idx="261">
                  <c:v>7.9071655410897952</c:v>
                </c:pt>
                <c:pt idx="262">
                  <c:v>7.9015768170830398</c:v>
                </c:pt>
                <c:pt idx="263">
                  <c:v>7.8957488728715832</c:v>
                </c:pt>
                <c:pt idx="264">
                  <c:v>7.8896819571940568</c:v>
                </c:pt>
                <c:pt idx="265">
                  <c:v>7.8833763189670041</c:v>
                </c:pt>
                <c:pt idx="266">
                  <c:v>7.876832207321236</c:v>
                </c:pt>
                <c:pt idx="267">
                  <c:v>7.870049871637768</c:v>
                </c:pt>
                <c:pt idx="268">
                  <c:v>7.8630295615833283</c:v>
                </c:pt>
                <c:pt idx="269">
                  <c:v>7.8557715271454267</c:v>
                </c:pt>
                <c:pt idx="270">
                  <c:v>7.8482760186669847</c:v>
                </c:pt>
                <c:pt idx="271">
                  <c:v>7.8405432868805169</c:v>
                </c:pt>
                <c:pt idx="272">
                  <c:v>7.8325735829418566</c:v>
                </c:pt>
                <c:pt idx="273">
                  <c:v>7.8243671584634216</c:v>
                </c:pt>
                <c:pt idx="274">
                  <c:v>7.8159242655470127</c:v>
                </c:pt>
                <c:pt idx="275">
                  <c:v>7.8072451568161414</c:v>
                </c:pt>
                <c:pt idx="276">
                  <c:v>7.798330085447879</c:v>
                </c:pt>
                <c:pt idx="277">
                  <c:v>7.7891793052042262</c:v>
                </c:pt>
                <c:pt idx="278">
                  <c:v>7.7797930704629934</c:v>
                </c:pt>
                <c:pt idx="279">
                  <c:v>7.7701716362481905</c:v>
                </c:pt>
                <c:pt idx="280">
                  <c:v>7.7603152582599222</c:v>
                </c:pt>
                <c:pt idx="281">
                  <c:v>7.7502241929037838</c:v>
                </c:pt>
                <c:pt idx="282">
                  <c:v>7.7398986973197541</c:v>
                </c:pt>
                <c:pt idx="283">
                  <c:v>7.729339029410581</c:v>
                </c:pt>
                <c:pt idx="284">
                  <c:v>7.7185454478696593</c:v>
                </c:pt>
                <c:pt idx="285">
                  <c:v>7.7075182122083961</c:v>
                </c:pt>
                <c:pt idx="286">
                  <c:v>7.696257582783061</c:v>
                </c:pt>
                <c:pt idx="287">
                  <c:v>7.6847638208211206</c:v>
                </c:pt>
                <c:pt idx="288">
                  <c:v>7.6730371884470534</c:v>
                </c:pt>
                <c:pt idx="289">
                  <c:v>7.6610779487076428</c:v>
                </c:pt>
                <c:pt idx="290">
                  <c:v>7.6488863655967494</c:v>
                </c:pt>
                <c:pt idx="291">
                  <c:v>7.6364627040795616</c:v>
                </c:pt>
                <c:pt idx="292">
                  <c:v>7.6238072301163173</c:v>
                </c:pt>
                <c:pt idx="293">
                  <c:v>7.6109202106855065</c:v>
                </c:pt>
                <c:pt idx="294">
                  <c:v>7.5978019138065429</c:v>
                </c:pt>
                <c:pt idx="295">
                  <c:v>7.5844526085619135</c:v>
                </c:pt>
                <c:pt idx="296">
                  <c:v>7.5708725651188038</c:v>
                </c:pt>
                <c:pt idx="297">
                  <c:v>7.5570620547501912</c:v>
                </c:pt>
                <c:pt idx="298">
                  <c:v>7.5430213498554224</c:v>
                </c:pt>
                <c:pt idx="299">
                  <c:v>7.5287507239802602</c:v>
                </c:pt>
                <c:pt idx="300">
                  <c:v>7.5142504518364106</c:v>
                </c:pt>
                <c:pt idx="301">
                  <c:v>7.4995208093205257</c:v>
                </c:pt>
                <c:pt idx="302">
                  <c:v>7.4845620735326905</c:v>
                </c:pt>
                <c:pt idx="303">
                  <c:v>7.4693745227943857</c:v>
                </c:pt>
                <c:pt idx="304">
                  <c:v>7.4539584366659373</c:v>
                </c:pt>
                <c:pt idx="305">
                  <c:v>7.4383140959634506</c:v>
                </c:pt>
                <c:pt idx="306">
                  <c:v>7.4224417827752296</c:v>
                </c:pt>
                <c:pt idx="307">
                  <c:v>7.4063417804776881</c:v>
                </c:pt>
                <c:pt idx="308">
                  <c:v>7.3900143737507538</c:v>
                </c:pt>
                <c:pt idx="309">
                  <c:v>7.3734598485927654</c:v>
                </c:pt>
                <c:pt idx="310">
                  <c:v>7.3566784923348694</c:v>
                </c:pt>
                <c:pt idx="311">
                  <c:v>7.3396705936549163</c:v>
                </c:pt>
                <c:pt idx="312">
                  <c:v>7.3224364425908623</c:v>
                </c:pt>
                <c:pt idx="313">
                  <c:v>7.3049763305536803</c:v>
                </c:pt>
                <c:pt idx="314">
                  <c:v>7.2872905503397796</c:v>
                </c:pt>
                <c:pt idx="315">
                  <c:v>7.2693793961429396</c:v>
                </c:pt>
                <c:pt idx="316">
                  <c:v>7.2512431635657677</c:v>
                </c:pt>
                <c:pt idx="317">
                  <c:v>7.2328821496306732</c:v>
                </c:pt>
                <c:pt idx="318">
                  <c:v>7.2142966527903738</c:v>
                </c:pt>
                <c:pt idx="319">
                  <c:v>7.1954869729379292</c:v>
                </c:pt>
                <c:pt idx="320">
                  <c:v>7.1764534114163094</c:v>
                </c:pt>
                <c:pt idx="321">
                  <c:v>7.157196271027507</c:v>
                </c:pt>
                <c:pt idx="322">
                  <c:v>7.1377158560411882</c:v>
                </c:pt>
                <c:pt idx="323">
                  <c:v>7.1180124722028975</c:v>
                </c:pt>
                <c:pt idx="324">
                  <c:v>7.0980864267418093</c:v>
                </c:pt>
                <c:pt idx="325">
                  <c:v>7.0779380283780444</c:v>
                </c:pt>
                <c:pt idx="326">
                  <c:v>7.0575675873295438</c:v>
                </c:pt>
                <c:pt idx="327">
                  <c:v>7.036975415318512</c:v>
                </c:pt>
                <c:pt idx="328">
                  <c:v>7.0161618255774325</c:v>
                </c:pt>
                <c:pt idx="329">
                  <c:v>6.9951271328546616</c:v>
                </c:pt>
                <c:pt idx="330">
                  <c:v>6.9738716534196037</c:v>
                </c:pt>
                <c:pt idx="331">
                  <c:v>6.952395705067473</c:v>
                </c:pt>
                <c:pt idx="332">
                  <c:v>6.9306996071236515</c:v>
                </c:pt>
                <c:pt idx="333">
                  <c:v>6.9087836804476392</c:v>
                </c:pt>
                <c:pt idx="334">
                  <c:v>6.8866482474366126</c:v>
                </c:pt>
                <c:pt idx="335">
                  <c:v>6.8642936320285877</c:v>
                </c:pt>
                <c:pt idx="336">
                  <c:v>6.8417201597051989</c:v>
                </c:pt>
                <c:pt idx="337">
                  <c:v>6.8189281574940939</c:v>
                </c:pt>
                <c:pt idx="338">
                  <c:v>6.7959179539709549</c:v>
                </c:pt>
                <c:pt idx="339">
                  <c:v>6.7726898792611481</c:v>
                </c:pt>
                <c:pt idx="340">
                  <c:v>6.7492442650410061</c:v>
                </c:pt>
                <c:pt idx="341">
                  <c:v>6.7255814445387534</c:v>
                </c:pt>
                <c:pt idx="342">
                  <c:v>6.7017017525350751</c:v>
                </c:pt>
                <c:pt idx="343">
                  <c:v>6.6776055253633357</c:v>
                </c:pt>
                <c:pt idx="344">
                  <c:v>6.6532931009094538</c:v>
                </c:pt>
                <c:pt idx="345">
                  <c:v>6.6287648186114385</c:v>
                </c:pt>
                <c:pt idx="346">
                  <c:v>6.6040210194585933</c:v>
                </c:pt>
                <c:pt idx="347">
                  <c:v>6.5790620459903879</c:v>
                </c:pt>
                <c:pt idx="348">
                  <c:v>6.5538882422950113</c:v>
                </c:pt>
                <c:pt idx="349">
                  <c:v>6.5284999540076027</c:v>
                </c:pt>
                <c:pt idx="350">
                  <c:v>6.5028975283081758</c:v>
                </c:pt>
                <c:pt idx="351">
                  <c:v>6.4770813139192285</c:v>
                </c:pt>
                <c:pt idx="352">
                  <c:v>6.4510516611030555</c:v>
                </c:pt>
                <c:pt idx="353">
                  <c:v>6.4248089216587623</c:v>
                </c:pt>
                <c:pt idx="354">
                  <c:v>6.3983534489189893</c:v>
                </c:pt>
                <c:pt idx="355">
                  <c:v>6.3716855977463434</c:v>
                </c:pt>
                <c:pt idx="356">
                  <c:v>6.3448057245295564</c:v>
                </c:pt>
                <c:pt idx="357">
                  <c:v>6.3177141871793605</c:v>
                </c:pt>
                <c:pt idx="358">
                  <c:v>6.2904113451240926</c:v>
                </c:pt>
                <c:pt idx="359">
                  <c:v>6.2628975593050358</c:v>
                </c:pt>
                <c:pt idx="360">
                  <c:v>6.2351731921714979</c:v>
                </c:pt>
                <c:pt idx="361">
                  <c:v>6.2072386076756301</c:v>
                </c:pt>
                <c:pt idx="362">
                  <c:v>6.179094171266998</c:v>
                </c:pt>
                <c:pt idx="363">
                  <c:v>6.1507402498869039</c:v>
                </c:pt>
                <c:pt idx="364">
                  <c:v>6.1221772119624669</c:v>
                </c:pt>
                <c:pt idx="365">
                  <c:v>6.0934054274004668</c:v>
                </c:pt>
                <c:pt idx="366">
                  <c:v>6.064425267580952</c:v>
                </c:pt>
                <c:pt idx="367">
                  <c:v>6.0352371053506246</c:v>
                </c:pt>
                <c:pt idx="368">
                  <c:v>6.0058413150160002</c:v>
                </c:pt>
                <c:pt idx="369">
                  <c:v>5.976238272336345</c:v>
                </c:pt>
                <c:pt idx="370">
                  <c:v>5.9464283545164056</c:v>
                </c:pt>
                <c:pt idx="371">
                  <c:v>5.9164119401989241</c:v>
                </c:pt>
                <c:pt idx="372">
                  <c:v>5.88618940945695</c:v>
                </c:pt>
                <c:pt idx="373">
                  <c:v>5.8557611437859514</c:v>
                </c:pt>
                <c:pt idx="374">
                  <c:v>5.8251275260957307</c:v>
                </c:pt>
                <c:pt idx="375">
                  <c:v>5.7942889407021445</c:v>
                </c:pt>
                <c:pt idx="376">
                  <c:v>5.7632457733186415</c:v>
                </c:pt>
                <c:pt idx="377">
                  <c:v>5.7319984110476128</c:v>
                </c:pt>
                <c:pt idx="378">
                  <c:v>5.7005472423715631</c:v>
                </c:pt>
                <c:pt idx="379">
                  <c:v>5.6688926571441094</c:v>
                </c:pt>
                <c:pt idx="380">
                  <c:v>5.6370350465808059</c:v>
                </c:pt>
                <c:pt idx="381">
                  <c:v>5.6049748032498039</c:v>
                </c:pt>
                <c:pt idx="382">
                  <c:v>5.5727123210623475</c:v>
                </c:pt>
                <c:pt idx="383">
                  <c:v>5.540247995263111</c:v>
                </c:pt>
                <c:pt idx="384">
                  <c:v>5.5075822224203792</c:v>
                </c:pt>
                <c:pt idx="385">
                  <c:v>5.4747154004160823</c:v>
                </c:pt>
                <c:pt idx="386">
                  <c:v>5.4416479284356756</c:v>
                </c:pt>
                <c:pt idx="387">
                  <c:v>5.4083802069578812</c:v>
                </c:pt>
                <c:pt idx="388">
                  <c:v>5.3749126377442877</c:v>
                </c:pt>
                <c:pt idx="389">
                  <c:v>5.3412456238288142</c:v>
                </c:pt>
                <c:pt idx="390">
                  <c:v>5.3073795695070407</c:v>
                </c:pt>
                <c:pt idx="391">
                  <c:v>5.2733148803254135</c:v>
                </c:pt>
                <c:pt idx="392">
                  <c:v>5.2390519630703176</c:v>
                </c:pt>
                <c:pt idx="393">
                  <c:v>5.2045912257570368</c:v>
                </c:pt>
                <c:pt idx="394">
                  <c:v>5.1699330776185874</c:v>
                </c:pt>
                <c:pt idx="395">
                  <c:v>5.1350779290944404</c:v>
                </c:pt>
                <c:pt idx="396">
                  <c:v>5.1000261918191327</c:v>
                </c:pt>
                <c:pt idx="397">
                  <c:v>5.0647782786107687</c:v>
                </c:pt>
                <c:pt idx="398">
                  <c:v>5.0293346034594171</c:v>
                </c:pt>
                <c:pt idx="399">
                  <c:v>4.9936955815154063</c:v>
                </c:pt>
                <c:pt idx="400">
                  <c:v>4.9578616290775201</c:v>
                </c:pt>
                <c:pt idx="401">
                  <c:v>4.921833163581101</c:v>
                </c:pt>
                <c:pt idx="402">
                  <c:v>4.8856106035860574</c:v>
                </c:pt>
                <c:pt idx="403">
                  <c:v>4.8491943687647838</c:v>
                </c:pt>
                <c:pt idx="404">
                  <c:v>4.8125848798899957</c:v>
                </c:pt>
                <c:pt idx="405">
                  <c:v>4.7757825588224785</c:v>
                </c:pt>
                <c:pt idx="406">
                  <c:v>4.7387878284987597</c:v>
                </c:pt>
                <c:pt idx="407">
                  <c:v>4.7016011129186994</c:v>
                </c:pt>
                <c:pt idx="408">
                  <c:v>4.6642228371330114</c:v>
                </c:pt>
                <c:pt idx="409">
                  <c:v>4.6266534272307096</c:v>
                </c:pt>
                <c:pt idx="410">
                  <c:v>4.5888933103264842</c:v>
                </c:pt>
                <c:pt idx="411">
                  <c:v>4.5509429145480178</c:v>
                </c:pt>
                <c:pt idx="412">
                  <c:v>4.5128026690232312</c:v>
                </c:pt>
                <c:pt idx="413">
                  <c:v>4.4744730038674723</c:v>
                </c:pt>
                <c:pt idx="414">
                  <c:v>4.4359543501706469</c:v>
                </c:pt>
                <c:pt idx="415">
                  <c:v>4.3972471399842945</c:v>
                </c:pt>
                <c:pt idx="416">
                  <c:v>4.3583518063086073</c:v>
                </c:pt>
                <c:pt idx="417">
                  <c:v>4.319268783079405</c:v>
                </c:pt>
                <c:pt idx="418">
                  <c:v>4.2799985051550573</c:v>
                </c:pt>
                <c:pt idx="419">
                  <c:v>4.240541408303363</c:v>
                </c:pt>
                <c:pt idx="420">
                  <c:v>4.2008979291883852</c:v>
                </c:pt>
                <c:pt idx="421">
                  <c:v>4.1610685053572478</c:v>
                </c:pt>
                <c:pt idx="422">
                  <c:v>4.12105357522689</c:v>
                </c:pt>
                <c:pt idx="423">
                  <c:v>4.0808535780707897</c:v>
                </c:pt>
                <c:pt idx="424">
                  <c:v>4.0404689540056502</c:v>
                </c:pt>
                <c:pt idx="425">
                  <c:v>3.9999001439780568</c:v>
                </c:pt>
                <c:pt idx="426">
                  <c:v>3.9591475897511028</c:v>
                </c:pt>
                <c:pt idx="427">
                  <c:v>3.918211733890991</c:v>
                </c:pt>
                <c:pt idx="428">
                  <c:v>3.8770930197536084</c:v>
                </c:pt>
                <c:pt idx="429">
                  <c:v>3.8357918914710791</c:v>
                </c:pt>
                <c:pt idx="430">
                  <c:v>3.7943087939382965</c:v>
                </c:pt>
                <c:pt idx="431">
                  <c:v>3.7526441727994375</c:v>
                </c:pt>
                <c:pt idx="432">
                  <c:v>3.7107984744344589</c:v>
                </c:pt>
                <c:pt idx="433">
                  <c:v>3.6687721459455811</c:v>
                </c:pt>
                <c:pt idx="434">
                  <c:v>3.6265656351437583</c:v>
                </c:pt>
                <c:pt idx="435">
                  <c:v>3.5841793905351369</c:v>
                </c:pt>
                <c:pt idx="436">
                  <c:v>3.5416138613075079</c:v>
                </c:pt>
                <c:pt idx="437">
                  <c:v>3.4988694973167509</c:v>
                </c:pt>
                <c:pt idx="438">
                  <c:v>3.4559467490732731</c:v>
                </c:pt>
                <c:pt idx="439">
                  <c:v>3.4128460677284451</c:v>
                </c:pt>
                <c:pt idx="440">
                  <c:v>3.3695679050610368</c:v>
                </c:pt>
                <c:pt idx="441">
                  <c:v>3.3261127134636514</c:v>
                </c:pt>
                <c:pt idx="442">
                  <c:v>3.282480945929164</c:v>
                </c:pt>
                <c:pt idx="443">
                  <c:v>3.2386730560371615</c:v>
                </c:pt>
                <c:pt idx="444">
                  <c:v>3.1946894979403901</c:v>
                </c:pt>
                <c:pt idx="445">
                  <c:v>3.1505307263512101</c:v>
                </c:pt>
                <c:pt idx="446">
                  <c:v>3.1061971965280568</c:v>
                </c:pt>
                <c:pt idx="447">
                  <c:v>3.0616893642619156</c:v>
                </c:pt>
                <c:pt idx="448">
                  <c:v>3.0170076858628057</c:v>
                </c:pt>
                <c:pt idx="449">
                  <c:v>2.9721526181462794</c:v>
                </c:pt>
                <c:pt idx="450">
                  <c:v>2.9271246184199362</c:v>
                </c:pt>
                <c:pt idx="451">
                  <c:v>2.881924144469953</c:v>
                </c:pt>
                <c:pt idx="452">
                  <c:v>2.8365516545476317</c:v>
                </c:pt>
                <c:pt idx="453">
                  <c:v>2.7910076073559682</c:v>
                </c:pt>
                <c:pt idx="454">
                  <c:v>2.7452924620362396</c:v>
                </c:pt>
                <c:pt idx="455">
                  <c:v>2.6994066781546171</c:v>
                </c:pt>
                <c:pt idx="456">
                  <c:v>2.6533507156887985</c:v>
                </c:pt>
                <c:pt idx="457">
                  <c:v>2.6071250350146693</c:v>
                </c:pt>
                <c:pt idx="458">
                  <c:v>2.5607300968929883</c:v>
                </c:pt>
                <c:pt idx="459">
                  <c:v>2.5141663624561015</c:v>
                </c:pt>
                <c:pt idx="460">
                  <c:v>2.4674342931946835</c:v>
                </c:pt>
                <c:pt idx="461">
                  <c:v>2.4205343509445112</c:v>
                </c:pt>
                <c:pt idx="462">
                  <c:v>2.3734669978732681</c:v>
                </c:pt>
                <c:pt idx="463">
                  <c:v>2.3262326964673803</c:v>
                </c:pt>
                <c:pt idx="464">
                  <c:v>2.2788319095188871</c:v>
                </c:pt>
                <c:pt idx="465">
                  <c:v>2.2312651001123469</c:v>
                </c:pt>
                <c:pt idx="466">
                  <c:v>2.1835327316117792</c:v>
                </c:pt>
                <c:pt idx="467">
                  <c:v>2.135635267647642</c:v>
                </c:pt>
                <c:pt idx="468">
                  <c:v>2.0875731721038511</c:v>
                </c:pt>
                <c:pt idx="469">
                  <c:v>2.0393469091048351</c:v>
                </c:pt>
                <c:pt idx="470">
                  <c:v>1.9909569430026337</c:v>
                </c:pt>
                <c:pt idx="471">
                  <c:v>1.9424037383640358</c:v>
                </c:pt>
                <c:pt idx="472">
                  <c:v>1.8936877599577611</c:v>
                </c:pt>
                <c:pt idx="473">
                  <c:v>1.8448094727416853</c:v>
                </c:pt>
                <c:pt idx="474">
                  <c:v>1.7957693418501091</c:v>
                </c:pt>
                <c:pt idx="475">
                  <c:v>1.7465678325810736</c:v>
                </c:pt>
                <c:pt idx="476">
                  <c:v>1.6972054103837217</c:v>
                </c:pt>
                <c:pt idx="477">
                  <c:v>1.6476825408457065</c:v>
                </c:pt>
                <c:pt idx="478">
                  <c:v>1.5979996896806494</c:v>
                </c:pt>
                <c:pt idx="479">
                  <c:v>1.5481573227156458</c:v>
                </c:pt>
                <c:pt idx="480">
                  <c:v>1.4981559058788216</c:v>
                </c:pt>
                <c:pt idx="481">
                  <c:v>1.4479959051869409</c:v>
                </c:pt>
                <c:pt idx="482">
                  <c:v>1.3976777867330645</c:v>
                </c:pt>
                <c:pt idx="483">
                  <c:v>1.3472020166742622</c:v>
                </c:pt>
                <c:pt idx="484">
                  <c:v>1.2965690612193774</c:v>
                </c:pt>
                <c:pt idx="485">
                  <c:v>1.2457793866168467</c:v>
                </c:pt>
                <c:pt idx="486">
                  <c:v>1.1948334591425731</c:v>
                </c:pt>
                <c:pt idx="487">
                  <c:v>1.1437317450878564</c:v>
                </c:pt>
                <c:pt idx="488">
                  <c:v>1.0924747107473789</c:v>
                </c:pt>
                <c:pt idx="489">
                  <c:v>1.0410628224072487</c:v>
                </c:pt>
                <c:pt idx="490">
                  <c:v>0.98949654633310091</c:v>
                </c:pt>
                <c:pt idx="491">
                  <c:v>0.93777634875825633</c:v>
                </c:pt>
                <c:pt idx="492">
                  <c:v>0.88590269587194026</c:v>
                </c:pt>
                <c:pt idx="493">
                  <c:v>0.83387605380756091</c:v>
                </c:pt>
                <c:pt idx="494">
                  <c:v>0.78169688863104769</c:v>
                </c:pt>
                <c:pt idx="495">
                  <c:v>0.72936566632925115</c:v>
                </c:pt>
                <c:pt idx="496">
                  <c:v>0.67688285279840399</c:v>
                </c:pt>
                <c:pt idx="497">
                  <c:v>0.62424891383264458</c:v>
                </c:pt>
                <c:pt idx="498">
                  <c:v>0.57146431511260298</c:v>
                </c:pt>
                <c:pt idx="499">
                  <c:v>0.51852952219405068</c:v>
                </c:pt>
                <c:pt idx="500">
                  <c:v>0.46544500049661369</c:v>
                </c:pt>
                <c:pt idx="501">
                  <c:v>0.41221121529255023</c:v>
                </c:pt>
                <c:pt idx="502">
                  <c:v>0.35882863169559326</c:v>
                </c:pt>
                <c:pt idx="503">
                  <c:v>0.30529771464985844</c:v>
                </c:pt>
                <c:pt idx="504">
                  <c:v>0.25161892891881793</c:v>
                </c:pt>
                <c:pt idx="505">
                  <c:v>0.19779273907434025</c:v>
                </c:pt>
                <c:pt idx="506">
                  <c:v>0.14381960948579731</c:v>
                </c:pt>
                <c:pt idx="507">
                  <c:v>8.9700004309238204E-2</c:v>
                </c:pt>
                <c:pt idx="508">
                  <c:v>3.5434387476630996E-2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no air resistance</c:v>
          </c:tx>
          <c:marker>
            <c:symbol val="none"/>
          </c:marker>
          <c:xVal>
            <c:numRef>
              <c:f>Sheet1!$B$24:$B$1023</c:f>
              <c:numCache>
                <c:formatCode>0.00</c:formatCode>
                <c:ptCount val="1000"/>
                <c:pt idx="0">
                  <c:v>0</c:v>
                </c:pt>
                <c:pt idx="1">
                  <c:v>5.032736131236721E-2</c:v>
                </c:pt>
                <c:pt idx="2">
                  <c:v>0.10065472262473442</c:v>
                </c:pt>
                <c:pt idx="3">
                  <c:v>0.15098208393710164</c:v>
                </c:pt>
                <c:pt idx="4">
                  <c:v>0.20130944524946884</c:v>
                </c:pt>
                <c:pt idx="5">
                  <c:v>0.25163680656183607</c:v>
                </c:pt>
                <c:pt idx="6">
                  <c:v>0.30196416787420327</c:v>
                </c:pt>
                <c:pt idx="7">
                  <c:v>0.35229152918657047</c:v>
                </c:pt>
                <c:pt idx="8">
                  <c:v>0.40261889049893768</c:v>
                </c:pt>
                <c:pt idx="9">
                  <c:v>0.45294625181130488</c:v>
                </c:pt>
                <c:pt idx="10">
                  <c:v>0.50327361312367203</c:v>
                </c:pt>
                <c:pt idx="11">
                  <c:v>0.55360097443603928</c:v>
                </c:pt>
                <c:pt idx="12">
                  <c:v>0.60392833574840643</c:v>
                </c:pt>
                <c:pt idx="13">
                  <c:v>0.65425569706077358</c:v>
                </c:pt>
                <c:pt idx="14">
                  <c:v>0.70458305837314084</c:v>
                </c:pt>
                <c:pt idx="15">
                  <c:v>0.75491041968550809</c:v>
                </c:pt>
                <c:pt idx="16">
                  <c:v>0.80523778099787535</c:v>
                </c:pt>
                <c:pt idx="17">
                  <c:v>0.85556514231024261</c:v>
                </c:pt>
                <c:pt idx="18">
                  <c:v>0.90589250362260987</c:v>
                </c:pt>
                <c:pt idx="19">
                  <c:v>0.95621986493497713</c:v>
                </c:pt>
                <c:pt idx="20">
                  <c:v>1.0065472262473443</c:v>
                </c:pt>
                <c:pt idx="21">
                  <c:v>1.0568745875597116</c:v>
                </c:pt>
                <c:pt idx="22">
                  <c:v>1.1072019488720788</c:v>
                </c:pt>
                <c:pt idx="23">
                  <c:v>1.1575293101844462</c:v>
                </c:pt>
                <c:pt idx="24">
                  <c:v>1.2078566714968133</c:v>
                </c:pt>
                <c:pt idx="25">
                  <c:v>1.2581840328091805</c:v>
                </c:pt>
                <c:pt idx="26">
                  <c:v>1.3085113941215478</c:v>
                </c:pt>
                <c:pt idx="27">
                  <c:v>1.358838755433915</c:v>
                </c:pt>
                <c:pt idx="28">
                  <c:v>1.4091661167462823</c:v>
                </c:pt>
                <c:pt idx="29">
                  <c:v>1.4594934780586495</c:v>
                </c:pt>
                <c:pt idx="30">
                  <c:v>1.5098208393710169</c:v>
                </c:pt>
                <c:pt idx="31">
                  <c:v>1.560148200683384</c:v>
                </c:pt>
                <c:pt idx="32">
                  <c:v>1.6104755619957514</c:v>
                </c:pt>
                <c:pt idx="33">
                  <c:v>1.6608029233081185</c:v>
                </c:pt>
                <c:pt idx="34">
                  <c:v>1.7111302846204859</c:v>
                </c:pt>
                <c:pt idx="35">
                  <c:v>1.761457645932853</c:v>
                </c:pt>
                <c:pt idx="36">
                  <c:v>1.8117850072452204</c:v>
                </c:pt>
                <c:pt idx="37">
                  <c:v>1.8621123685575875</c:v>
                </c:pt>
                <c:pt idx="38">
                  <c:v>1.9124397298699549</c:v>
                </c:pt>
                <c:pt idx="39">
                  <c:v>1.9627670911823221</c:v>
                </c:pt>
                <c:pt idx="40">
                  <c:v>2.0130944524946894</c:v>
                </c:pt>
                <c:pt idx="41">
                  <c:v>2.0634218138070564</c:v>
                </c:pt>
                <c:pt idx="42">
                  <c:v>2.1137491751194237</c:v>
                </c:pt>
                <c:pt idx="43">
                  <c:v>2.1640765364317911</c:v>
                </c:pt>
                <c:pt idx="44">
                  <c:v>2.2144038977441585</c:v>
                </c:pt>
                <c:pt idx="45">
                  <c:v>2.2647312590565254</c:v>
                </c:pt>
                <c:pt idx="46">
                  <c:v>2.3150586203688928</c:v>
                </c:pt>
                <c:pt idx="47">
                  <c:v>2.3653859816812601</c:v>
                </c:pt>
                <c:pt idx="48">
                  <c:v>2.4157133429936275</c:v>
                </c:pt>
                <c:pt idx="49">
                  <c:v>2.4660407043059944</c:v>
                </c:pt>
                <c:pt idx="50">
                  <c:v>2.5163680656183618</c:v>
                </c:pt>
                <c:pt idx="51">
                  <c:v>2.5666954269307287</c:v>
                </c:pt>
                <c:pt idx="52">
                  <c:v>2.6170227882430961</c:v>
                </c:pt>
                <c:pt idx="53">
                  <c:v>2.6673501495554635</c:v>
                </c:pt>
                <c:pt idx="54">
                  <c:v>2.7176775108678304</c:v>
                </c:pt>
                <c:pt idx="55">
                  <c:v>2.7680048721801978</c:v>
                </c:pt>
                <c:pt idx="56">
                  <c:v>2.8183322334925651</c:v>
                </c:pt>
                <c:pt idx="57">
                  <c:v>2.8686595948049325</c:v>
                </c:pt>
                <c:pt idx="58">
                  <c:v>2.9189869561172994</c:v>
                </c:pt>
                <c:pt idx="59">
                  <c:v>2.9693143174296668</c:v>
                </c:pt>
                <c:pt idx="60">
                  <c:v>3.0196416787420342</c:v>
                </c:pt>
                <c:pt idx="61">
                  <c:v>3.0699690400544015</c:v>
                </c:pt>
                <c:pt idx="62">
                  <c:v>3.1202964013667684</c:v>
                </c:pt>
                <c:pt idx="63">
                  <c:v>3.1706237626791358</c:v>
                </c:pt>
                <c:pt idx="64">
                  <c:v>3.2209511239915032</c:v>
                </c:pt>
                <c:pt idx="65">
                  <c:v>3.2712784853038706</c:v>
                </c:pt>
                <c:pt idx="66">
                  <c:v>3.3216058466162375</c:v>
                </c:pt>
                <c:pt idx="67">
                  <c:v>3.3719332079286048</c:v>
                </c:pt>
                <c:pt idx="68">
                  <c:v>3.4222605692409722</c:v>
                </c:pt>
                <c:pt idx="69">
                  <c:v>3.4725879305533396</c:v>
                </c:pt>
                <c:pt idx="70">
                  <c:v>3.5229152918657065</c:v>
                </c:pt>
                <c:pt idx="71">
                  <c:v>3.5732426531780739</c:v>
                </c:pt>
                <c:pt idx="72">
                  <c:v>3.6235700144904412</c:v>
                </c:pt>
                <c:pt idx="73">
                  <c:v>3.6738973758028086</c:v>
                </c:pt>
                <c:pt idx="74">
                  <c:v>3.7242247371151755</c:v>
                </c:pt>
                <c:pt idx="75">
                  <c:v>3.7745520984275429</c:v>
                </c:pt>
                <c:pt idx="76">
                  <c:v>3.8248794597399103</c:v>
                </c:pt>
                <c:pt idx="77">
                  <c:v>3.8752068210522777</c:v>
                </c:pt>
                <c:pt idx="78">
                  <c:v>3.9255341823646446</c:v>
                </c:pt>
                <c:pt idx="79">
                  <c:v>3.9758615436770119</c:v>
                </c:pt>
                <c:pt idx="80">
                  <c:v>4.0261889049893789</c:v>
                </c:pt>
                <c:pt idx="81">
                  <c:v>4.0765162663017467</c:v>
                </c:pt>
                <c:pt idx="82">
                  <c:v>4.1268436276141136</c:v>
                </c:pt>
                <c:pt idx="83">
                  <c:v>4.1771709889264805</c:v>
                </c:pt>
                <c:pt idx="84">
                  <c:v>4.2274983502388483</c:v>
                </c:pt>
                <c:pt idx="85">
                  <c:v>4.2778257115512153</c:v>
                </c:pt>
                <c:pt idx="86">
                  <c:v>4.3281530728635831</c:v>
                </c:pt>
                <c:pt idx="87">
                  <c:v>4.37848043417595</c:v>
                </c:pt>
                <c:pt idx="88">
                  <c:v>4.4288077954883169</c:v>
                </c:pt>
                <c:pt idx="89">
                  <c:v>4.4791351568006847</c:v>
                </c:pt>
                <c:pt idx="90">
                  <c:v>4.5294625181130517</c:v>
                </c:pt>
                <c:pt idx="91">
                  <c:v>4.5797898794254186</c:v>
                </c:pt>
                <c:pt idx="92">
                  <c:v>4.6301172407377864</c:v>
                </c:pt>
                <c:pt idx="93">
                  <c:v>4.6804446020501533</c:v>
                </c:pt>
                <c:pt idx="94">
                  <c:v>4.7307719633625211</c:v>
                </c:pt>
                <c:pt idx="95">
                  <c:v>4.7810993246748881</c:v>
                </c:pt>
                <c:pt idx="96">
                  <c:v>4.831426685987255</c:v>
                </c:pt>
                <c:pt idx="97">
                  <c:v>4.8817540472996228</c:v>
                </c:pt>
                <c:pt idx="98">
                  <c:v>4.9320814086119897</c:v>
                </c:pt>
                <c:pt idx="99">
                  <c:v>4.9824087699243567</c:v>
                </c:pt>
                <c:pt idx="100">
                  <c:v>5.0327361312367245</c:v>
                </c:pt>
                <c:pt idx="101">
                  <c:v>5.0830634925490914</c:v>
                </c:pt>
                <c:pt idx="102">
                  <c:v>5.1333908538614592</c:v>
                </c:pt>
                <c:pt idx="103">
                  <c:v>5.1837182151738261</c:v>
                </c:pt>
                <c:pt idx="104">
                  <c:v>5.2340455764861931</c:v>
                </c:pt>
                <c:pt idx="105">
                  <c:v>5.2843729377985609</c:v>
                </c:pt>
                <c:pt idx="106">
                  <c:v>5.3347002991109278</c:v>
                </c:pt>
                <c:pt idx="107">
                  <c:v>5.3850276604232947</c:v>
                </c:pt>
                <c:pt idx="108">
                  <c:v>5.4353550217356625</c:v>
                </c:pt>
                <c:pt idx="109">
                  <c:v>5.4856823830480295</c:v>
                </c:pt>
                <c:pt idx="110">
                  <c:v>5.5360097443603964</c:v>
                </c:pt>
                <c:pt idx="111">
                  <c:v>5.5863371056727642</c:v>
                </c:pt>
                <c:pt idx="112">
                  <c:v>5.6366644669851311</c:v>
                </c:pt>
                <c:pt idx="113">
                  <c:v>5.6869918282974989</c:v>
                </c:pt>
                <c:pt idx="114">
                  <c:v>5.7373191896098659</c:v>
                </c:pt>
                <c:pt idx="115">
                  <c:v>5.7876465509222328</c:v>
                </c:pt>
                <c:pt idx="116">
                  <c:v>5.8379739122346006</c:v>
                </c:pt>
                <c:pt idx="117">
                  <c:v>5.8883012735469675</c:v>
                </c:pt>
                <c:pt idx="118">
                  <c:v>5.9386286348593345</c:v>
                </c:pt>
                <c:pt idx="119">
                  <c:v>5.9889559961717023</c:v>
                </c:pt>
                <c:pt idx="120">
                  <c:v>6.0392833574840692</c:v>
                </c:pt>
                <c:pt idx="121">
                  <c:v>6.089610718796437</c:v>
                </c:pt>
                <c:pt idx="122">
                  <c:v>6.1399380801088039</c:v>
                </c:pt>
                <c:pt idx="123">
                  <c:v>6.1902654414211709</c:v>
                </c:pt>
                <c:pt idx="124">
                  <c:v>6.2405928027335387</c:v>
                </c:pt>
                <c:pt idx="125">
                  <c:v>6.2909201640459056</c:v>
                </c:pt>
                <c:pt idx="126">
                  <c:v>6.3412475253582725</c:v>
                </c:pt>
                <c:pt idx="127">
                  <c:v>6.3915748866706403</c:v>
                </c:pt>
                <c:pt idx="128">
                  <c:v>6.4419022479830073</c:v>
                </c:pt>
                <c:pt idx="129">
                  <c:v>6.4922296092953751</c:v>
                </c:pt>
                <c:pt idx="130">
                  <c:v>6.542556970607742</c:v>
                </c:pt>
                <c:pt idx="131">
                  <c:v>6.5928843319201089</c:v>
                </c:pt>
                <c:pt idx="132">
                  <c:v>6.6432116932324767</c:v>
                </c:pt>
                <c:pt idx="133">
                  <c:v>6.6935390545448437</c:v>
                </c:pt>
                <c:pt idx="134">
                  <c:v>6.7438664158572106</c:v>
                </c:pt>
                <c:pt idx="135">
                  <c:v>6.7941937771695784</c:v>
                </c:pt>
                <c:pt idx="136">
                  <c:v>6.8445211384819453</c:v>
                </c:pt>
                <c:pt idx="137">
                  <c:v>6.8948484997943122</c:v>
                </c:pt>
                <c:pt idx="138">
                  <c:v>6.9451758611066801</c:v>
                </c:pt>
                <c:pt idx="139">
                  <c:v>6.995503222419047</c:v>
                </c:pt>
                <c:pt idx="140">
                  <c:v>7.0458305837314148</c:v>
                </c:pt>
                <c:pt idx="141">
                  <c:v>7.0961579450437817</c:v>
                </c:pt>
                <c:pt idx="142">
                  <c:v>7.1464853063561486</c:v>
                </c:pt>
                <c:pt idx="143">
                  <c:v>7.1968126676685165</c:v>
                </c:pt>
                <c:pt idx="144">
                  <c:v>7.2471400289808834</c:v>
                </c:pt>
                <c:pt idx="145">
                  <c:v>7.2974673902932503</c:v>
                </c:pt>
                <c:pt idx="146">
                  <c:v>7.3477947516056181</c:v>
                </c:pt>
                <c:pt idx="147">
                  <c:v>7.398122112917985</c:v>
                </c:pt>
                <c:pt idx="148">
                  <c:v>7.4484494742303529</c:v>
                </c:pt>
                <c:pt idx="149">
                  <c:v>7.4987768355427198</c:v>
                </c:pt>
                <c:pt idx="150">
                  <c:v>7.5491041968550867</c:v>
                </c:pt>
                <c:pt idx="151">
                  <c:v>7.5994315581674545</c:v>
                </c:pt>
                <c:pt idx="152">
                  <c:v>7.6497589194798215</c:v>
                </c:pt>
                <c:pt idx="153">
                  <c:v>7.7000862807921884</c:v>
                </c:pt>
                <c:pt idx="154">
                  <c:v>7.7504136421045562</c:v>
                </c:pt>
                <c:pt idx="155">
                  <c:v>7.8007410034169231</c:v>
                </c:pt>
                <c:pt idx="156">
                  <c:v>7.8510683647292909</c:v>
                </c:pt>
                <c:pt idx="157">
                  <c:v>7.9013957260416579</c:v>
                </c:pt>
                <c:pt idx="158">
                  <c:v>7.9517230873540248</c:v>
                </c:pt>
                <c:pt idx="159">
                  <c:v>8.0020504486663917</c:v>
                </c:pt>
                <c:pt idx="160">
                  <c:v>8.0523778099787595</c:v>
                </c:pt>
                <c:pt idx="161">
                  <c:v>8.1027051712911273</c:v>
                </c:pt>
                <c:pt idx="162">
                  <c:v>8.1530325326034934</c:v>
                </c:pt>
                <c:pt idx="163">
                  <c:v>8.2033598939158612</c:v>
                </c:pt>
                <c:pt idx="164">
                  <c:v>8.253687255228229</c:v>
                </c:pt>
                <c:pt idx="165">
                  <c:v>8.304014616540595</c:v>
                </c:pt>
                <c:pt idx="166">
                  <c:v>8.3543419778529628</c:v>
                </c:pt>
                <c:pt idx="167">
                  <c:v>8.4046693391653307</c:v>
                </c:pt>
                <c:pt idx="168">
                  <c:v>8.4549967004776967</c:v>
                </c:pt>
                <c:pt idx="169">
                  <c:v>8.5053240617900645</c:v>
                </c:pt>
                <c:pt idx="170">
                  <c:v>8.5556514231024323</c:v>
                </c:pt>
                <c:pt idx="171">
                  <c:v>8.6059787844148001</c:v>
                </c:pt>
                <c:pt idx="172">
                  <c:v>8.6563061457271662</c:v>
                </c:pt>
                <c:pt idx="173">
                  <c:v>8.706633507039534</c:v>
                </c:pt>
                <c:pt idx="174">
                  <c:v>8.7569608683519018</c:v>
                </c:pt>
                <c:pt idx="175">
                  <c:v>8.8072882296642678</c:v>
                </c:pt>
                <c:pt idx="176">
                  <c:v>8.8576155909766356</c:v>
                </c:pt>
                <c:pt idx="177">
                  <c:v>8.9079429522890035</c:v>
                </c:pt>
                <c:pt idx="178">
                  <c:v>8.9582703136013695</c:v>
                </c:pt>
                <c:pt idx="179">
                  <c:v>9.0085976749137373</c:v>
                </c:pt>
                <c:pt idx="180">
                  <c:v>9.0589250362261051</c:v>
                </c:pt>
                <c:pt idx="181">
                  <c:v>9.1092523975384712</c:v>
                </c:pt>
                <c:pt idx="182">
                  <c:v>9.159579758850839</c:v>
                </c:pt>
                <c:pt idx="183">
                  <c:v>9.2099071201632068</c:v>
                </c:pt>
                <c:pt idx="184">
                  <c:v>9.2602344814755728</c:v>
                </c:pt>
                <c:pt idx="185">
                  <c:v>9.3105618427879406</c:v>
                </c:pt>
                <c:pt idx="186">
                  <c:v>9.3608892041003084</c:v>
                </c:pt>
                <c:pt idx="187">
                  <c:v>9.4112165654126745</c:v>
                </c:pt>
                <c:pt idx="188">
                  <c:v>9.4615439267250423</c:v>
                </c:pt>
                <c:pt idx="189">
                  <c:v>9.5118712880374101</c:v>
                </c:pt>
                <c:pt idx="190">
                  <c:v>9.5621986493497779</c:v>
                </c:pt>
                <c:pt idx="191">
                  <c:v>9.612526010662144</c:v>
                </c:pt>
                <c:pt idx="192">
                  <c:v>9.6628533719745118</c:v>
                </c:pt>
                <c:pt idx="193">
                  <c:v>9.7131807332868796</c:v>
                </c:pt>
                <c:pt idx="194">
                  <c:v>9.7635080945992456</c:v>
                </c:pt>
                <c:pt idx="195">
                  <c:v>9.8138354559116134</c:v>
                </c:pt>
                <c:pt idx="196">
                  <c:v>9.8641628172239812</c:v>
                </c:pt>
                <c:pt idx="197">
                  <c:v>9.9144901785363473</c:v>
                </c:pt>
                <c:pt idx="198">
                  <c:v>9.9648175398487151</c:v>
                </c:pt>
                <c:pt idx="199">
                  <c:v>10.015144901161083</c:v>
                </c:pt>
                <c:pt idx="200">
                  <c:v>10.065472262473449</c:v>
                </c:pt>
                <c:pt idx="201">
                  <c:v>10.115799623785815</c:v>
                </c:pt>
                <c:pt idx="202">
                  <c:v>10.166126985098181</c:v>
                </c:pt>
                <c:pt idx="203">
                  <c:v>10.216454346410547</c:v>
                </c:pt>
                <c:pt idx="204">
                  <c:v>10.266781707722913</c:v>
                </c:pt>
                <c:pt idx="205">
                  <c:v>10.317109069035279</c:v>
                </c:pt>
                <c:pt idx="206">
                  <c:v>10.367436430347645</c:v>
                </c:pt>
                <c:pt idx="207">
                  <c:v>10.417763791660011</c:v>
                </c:pt>
                <c:pt idx="208">
                  <c:v>10.468091152972377</c:v>
                </c:pt>
                <c:pt idx="209">
                  <c:v>10.518418514284743</c:v>
                </c:pt>
                <c:pt idx="210">
                  <c:v>10.568745875597109</c:v>
                </c:pt>
                <c:pt idx="211">
                  <c:v>10.619073236909475</c:v>
                </c:pt>
                <c:pt idx="212">
                  <c:v>10.669400598221841</c:v>
                </c:pt>
                <c:pt idx="213">
                  <c:v>10.719727959534209</c:v>
                </c:pt>
                <c:pt idx="214">
                  <c:v>10.770055320846575</c:v>
                </c:pt>
                <c:pt idx="215">
                  <c:v>10.820382682158941</c:v>
                </c:pt>
                <c:pt idx="216">
                  <c:v>10.870710043471307</c:v>
                </c:pt>
                <c:pt idx="217">
                  <c:v>10.921037404783673</c:v>
                </c:pt>
                <c:pt idx="218">
                  <c:v>10.971364766096039</c:v>
                </c:pt>
                <c:pt idx="219">
                  <c:v>11.021692127408405</c:v>
                </c:pt>
                <c:pt idx="220">
                  <c:v>11.072019488720771</c:v>
                </c:pt>
                <c:pt idx="221">
                  <c:v>11.122346850033137</c:v>
                </c:pt>
                <c:pt idx="222">
                  <c:v>11.172674211345504</c:v>
                </c:pt>
                <c:pt idx="223">
                  <c:v>11.22300157265787</c:v>
                </c:pt>
                <c:pt idx="224">
                  <c:v>11.273328933970236</c:v>
                </c:pt>
                <c:pt idx="225">
                  <c:v>11.323656295282602</c:v>
                </c:pt>
                <c:pt idx="226">
                  <c:v>11.373983656594968</c:v>
                </c:pt>
                <c:pt idx="227">
                  <c:v>11.424311017907334</c:v>
                </c:pt>
                <c:pt idx="228">
                  <c:v>11.4746383792197</c:v>
                </c:pt>
                <c:pt idx="229">
                  <c:v>11.524965740532066</c:v>
                </c:pt>
                <c:pt idx="230">
                  <c:v>11.575293101844432</c:v>
                </c:pt>
                <c:pt idx="231">
                  <c:v>11.6256204631568</c:v>
                </c:pt>
                <c:pt idx="232">
                  <c:v>11.675947824469166</c:v>
                </c:pt>
                <c:pt idx="233">
                  <c:v>11.726275185781532</c:v>
                </c:pt>
                <c:pt idx="234">
                  <c:v>11.776602547093898</c:v>
                </c:pt>
                <c:pt idx="235">
                  <c:v>11.826929908406264</c:v>
                </c:pt>
                <c:pt idx="236">
                  <c:v>11.87725726971863</c:v>
                </c:pt>
                <c:pt idx="237">
                  <c:v>11.927584631030996</c:v>
                </c:pt>
                <c:pt idx="238">
                  <c:v>11.977911992343362</c:v>
                </c:pt>
                <c:pt idx="239">
                  <c:v>12.028239353655728</c:v>
                </c:pt>
                <c:pt idx="240">
                  <c:v>12.078566714968094</c:v>
                </c:pt>
                <c:pt idx="241">
                  <c:v>12.12889407628046</c:v>
                </c:pt>
                <c:pt idx="242">
                  <c:v>12.179221437592826</c:v>
                </c:pt>
                <c:pt idx="243">
                  <c:v>12.229548798905192</c:v>
                </c:pt>
                <c:pt idx="244">
                  <c:v>12.279876160217558</c:v>
                </c:pt>
                <c:pt idx="245">
                  <c:v>12.330203521529924</c:v>
                </c:pt>
                <c:pt idx="246">
                  <c:v>12.38053088284229</c:v>
                </c:pt>
                <c:pt idx="247">
                  <c:v>12.430858244154656</c:v>
                </c:pt>
                <c:pt idx="248">
                  <c:v>12.481185605467022</c:v>
                </c:pt>
                <c:pt idx="249">
                  <c:v>12.53151296677939</c:v>
                </c:pt>
                <c:pt idx="250">
                  <c:v>12.581840328091756</c:v>
                </c:pt>
                <c:pt idx="251">
                  <c:v>12.632167689404122</c:v>
                </c:pt>
                <c:pt idx="252">
                  <c:v>12.682495050716488</c:v>
                </c:pt>
                <c:pt idx="253">
                  <c:v>12.732822412028854</c:v>
                </c:pt>
                <c:pt idx="254">
                  <c:v>12.78314977334122</c:v>
                </c:pt>
                <c:pt idx="255">
                  <c:v>12.833477134653586</c:v>
                </c:pt>
                <c:pt idx="256">
                  <c:v>12.883804495965952</c:v>
                </c:pt>
                <c:pt idx="257">
                  <c:v>12.934131857278318</c:v>
                </c:pt>
                <c:pt idx="258">
                  <c:v>12.984459218590684</c:v>
                </c:pt>
                <c:pt idx="259">
                  <c:v>13.03478657990305</c:v>
                </c:pt>
                <c:pt idx="260">
                  <c:v>13.085113941215416</c:v>
                </c:pt>
                <c:pt idx="261">
                  <c:v>13.135441302527783</c:v>
                </c:pt>
                <c:pt idx="262">
                  <c:v>13.185768663840149</c:v>
                </c:pt>
                <c:pt idx="263">
                  <c:v>13.236096025152515</c:v>
                </c:pt>
                <c:pt idx="264">
                  <c:v>13.286423386464881</c:v>
                </c:pt>
                <c:pt idx="265">
                  <c:v>13.336750747777247</c:v>
                </c:pt>
                <c:pt idx="266">
                  <c:v>13.387078109089613</c:v>
                </c:pt>
                <c:pt idx="267">
                  <c:v>13.437405470401981</c:v>
                </c:pt>
                <c:pt idx="268">
                  <c:v>13.487732831714347</c:v>
                </c:pt>
                <c:pt idx="269">
                  <c:v>13.538060193026713</c:v>
                </c:pt>
                <c:pt idx="270">
                  <c:v>13.588387554339079</c:v>
                </c:pt>
                <c:pt idx="271">
                  <c:v>13.638714915651445</c:v>
                </c:pt>
                <c:pt idx="272">
                  <c:v>13.689042276963811</c:v>
                </c:pt>
                <c:pt idx="273">
                  <c:v>13.739369638276177</c:v>
                </c:pt>
                <c:pt idx="274">
                  <c:v>13.789696999588543</c:v>
                </c:pt>
                <c:pt idx="275">
                  <c:v>13.840024360900909</c:v>
                </c:pt>
                <c:pt idx="276">
                  <c:v>13.890351722213275</c:v>
                </c:pt>
                <c:pt idx="277">
                  <c:v>13.940679083525641</c:v>
                </c:pt>
                <c:pt idx="278">
                  <c:v>13.991006444838007</c:v>
                </c:pt>
                <c:pt idx="279">
                  <c:v>14.041333806150373</c:v>
                </c:pt>
                <c:pt idx="280">
                  <c:v>14.091661167462739</c:v>
                </c:pt>
                <c:pt idx="281">
                  <c:v>14.141988528775105</c:v>
                </c:pt>
                <c:pt idx="282">
                  <c:v>14.192315890087471</c:v>
                </c:pt>
                <c:pt idx="283">
                  <c:v>14.242643251399837</c:v>
                </c:pt>
                <c:pt idx="284">
                  <c:v>14.292970612712203</c:v>
                </c:pt>
                <c:pt idx="285">
                  <c:v>14.343297974024571</c:v>
                </c:pt>
                <c:pt idx="286">
                  <c:v>14.393625335336937</c:v>
                </c:pt>
                <c:pt idx="287">
                  <c:v>14.443952696649303</c:v>
                </c:pt>
                <c:pt idx="288">
                  <c:v>14.494280057961669</c:v>
                </c:pt>
                <c:pt idx="289">
                  <c:v>14.544607419274035</c:v>
                </c:pt>
                <c:pt idx="290">
                  <c:v>14.594934780586401</c:v>
                </c:pt>
                <c:pt idx="291">
                  <c:v>14.645262141898767</c:v>
                </c:pt>
                <c:pt idx="292">
                  <c:v>14.695589503211133</c:v>
                </c:pt>
                <c:pt idx="293">
                  <c:v>14.745916864523499</c:v>
                </c:pt>
                <c:pt idx="294">
                  <c:v>14.796244225835865</c:v>
                </c:pt>
                <c:pt idx="295">
                  <c:v>14.846571587148231</c:v>
                </c:pt>
                <c:pt idx="296">
                  <c:v>14.896898948460597</c:v>
                </c:pt>
                <c:pt idx="297">
                  <c:v>14.947226309772963</c:v>
                </c:pt>
                <c:pt idx="298">
                  <c:v>14.997553671085329</c:v>
                </c:pt>
                <c:pt idx="299">
                  <c:v>15.047881032397695</c:v>
                </c:pt>
                <c:pt idx="300">
                  <c:v>15.098208393710062</c:v>
                </c:pt>
                <c:pt idx="301">
                  <c:v>15.148535755022428</c:v>
                </c:pt>
                <c:pt idx="302">
                  <c:v>15.198863116334794</c:v>
                </c:pt>
                <c:pt idx="303">
                  <c:v>15.249190477647161</c:v>
                </c:pt>
                <c:pt idx="304">
                  <c:v>15.299517838959527</c:v>
                </c:pt>
                <c:pt idx="305">
                  <c:v>15.349845200271893</c:v>
                </c:pt>
                <c:pt idx="306">
                  <c:v>15.40017256158426</c:v>
                </c:pt>
                <c:pt idx="307">
                  <c:v>15.450499922896626</c:v>
                </c:pt>
                <c:pt idx="308">
                  <c:v>15.500827284208992</c:v>
                </c:pt>
                <c:pt idx="309">
                  <c:v>15.551154645521358</c:v>
                </c:pt>
                <c:pt idx="310">
                  <c:v>15.601482006833724</c:v>
                </c:pt>
                <c:pt idx="311">
                  <c:v>15.65180936814609</c:v>
                </c:pt>
                <c:pt idx="312">
                  <c:v>15.702136729458456</c:v>
                </c:pt>
                <c:pt idx="313">
                  <c:v>15.752464090770822</c:v>
                </c:pt>
                <c:pt idx="314">
                  <c:v>15.802791452083188</c:v>
                </c:pt>
                <c:pt idx="315">
                  <c:v>15.853118813395554</c:v>
                </c:pt>
                <c:pt idx="316">
                  <c:v>15.90344617470792</c:v>
                </c:pt>
                <c:pt idx="317">
                  <c:v>15.953773536020286</c:v>
                </c:pt>
                <c:pt idx="318">
                  <c:v>16.004100897332652</c:v>
                </c:pt>
                <c:pt idx="319">
                  <c:v>16.054428258645018</c:v>
                </c:pt>
                <c:pt idx="320">
                  <c:v>16.104755619957384</c:v>
                </c:pt>
                <c:pt idx="321">
                  <c:v>16.15508298126975</c:v>
                </c:pt>
                <c:pt idx="322">
                  <c:v>16.205410342582116</c:v>
                </c:pt>
                <c:pt idx="323">
                  <c:v>16.255737703894482</c:v>
                </c:pt>
                <c:pt idx="324">
                  <c:v>16.306065065206848</c:v>
                </c:pt>
                <c:pt idx="325">
                  <c:v>16.356392426519214</c:v>
                </c:pt>
                <c:pt idx="326">
                  <c:v>16.40671978783158</c:v>
                </c:pt>
                <c:pt idx="327">
                  <c:v>16.457047149143946</c:v>
                </c:pt>
                <c:pt idx="328">
                  <c:v>16.507374510456312</c:v>
                </c:pt>
                <c:pt idx="329">
                  <c:v>16.557701871768682</c:v>
                </c:pt>
                <c:pt idx="330">
                  <c:v>16.608029233081048</c:v>
                </c:pt>
                <c:pt idx="331">
                  <c:v>16.658356594393414</c:v>
                </c:pt>
                <c:pt idx="332">
                  <c:v>16.70868395570578</c:v>
                </c:pt>
                <c:pt idx="333">
                  <c:v>16.759011317018146</c:v>
                </c:pt>
                <c:pt idx="334">
                  <c:v>16.809338678330512</c:v>
                </c:pt>
                <c:pt idx="335">
                  <c:v>16.859666039642878</c:v>
                </c:pt>
                <c:pt idx="336">
                  <c:v>16.909993400955244</c:v>
                </c:pt>
                <c:pt idx="337">
                  <c:v>16.96032076226761</c:v>
                </c:pt>
                <c:pt idx="338">
                  <c:v>17.010648123579976</c:v>
                </c:pt>
                <c:pt idx="339">
                  <c:v>17.060975484892342</c:v>
                </c:pt>
                <c:pt idx="340">
                  <c:v>17.111302846204708</c:v>
                </c:pt>
                <c:pt idx="341">
                  <c:v>17.161630207517074</c:v>
                </c:pt>
                <c:pt idx="342">
                  <c:v>17.21195756882944</c:v>
                </c:pt>
                <c:pt idx="343">
                  <c:v>17.262284930141806</c:v>
                </c:pt>
                <c:pt idx="344">
                  <c:v>17.312612291454172</c:v>
                </c:pt>
                <c:pt idx="345">
                  <c:v>17.362939652766539</c:v>
                </c:pt>
                <c:pt idx="346">
                  <c:v>17.413267014078905</c:v>
                </c:pt>
                <c:pt idx="347">
                  <c:v>17.463594375391271</c:v>
                </c:pt>
                <c:pt idx="348">
                  <c:v>17.513921736703637</c:v>
                </c:pt>
                <c:pt idx="349">
                  <c:v>17.564249098016003</c:v>
                </c:pt>
                <c:pt idx="350">
                  <c:v>17.614576459328369</c:v>
                </c:pt>
                <c:pt idx="351">
                  <c:v>17.664903820640735</c:v>
                </c:pt>
                <c:pt idx="352">
                  <c:v>17.715231181953101</c:v>
                </c:pt>
                <c:pt idx="353">
                  <c:v>17.765558543265467</c:v>
                </c:pt>
                <c:pt idx="354">
                  <c:v>17.815885904577833</c:v>
                </c:pt>
                <c:pt idx="355">
                  <c:v>17.866213265890199</c:v>
                </c:pt>
                <c:pt idx="356">
                  <c:v>17.916540627202565</c:v>
                </c:pt>
                <c:pt idx="357">
                  <c:v>17.966867988514931</c:v>
                </c:pt>
                <c:pt idx="358">
                  <c:v>18.017195349827297</c:v>
                </c:pt>
                <c:pt idx="359">
                  <c:v>18.067522711139663</c:v>
                </c:pt>
                <c:pt idx="360">
                  <c:v>18.117850072452029</c:v>
                </c:pt>
                <c:pt idx="361">
                  <c:v>18.168177433764395</c:v>
                </c:pt>
                <c:pt idx="362">
                  <c:v>18.218504795076761</c:v>
                </c:pt>
                <c:pt idx="363">
                  <c:v>18.268832156389127</c:v>
                </c:pt>
                <c:pt idx="364">
                  <c:v>18.319159517701493</c:v>
                </c:pt>
                <c:pt idx="365">
                  <c:v>18.369486879013863</c:v>
                </c:pt>
                <c:pt idx="366">
                  <c:v>18.419814240326229</c:v>
                </c:pt>
                <c:pt idx="367">
                  <c:v>18.470141601638595</c:v>
                </c:pt>
                <c:pt idx="368">
                  <c:v>18.520468962950961</c:v>
                </c:pt>
                <c:pt idx="369">
                  <c:v>18.570796324263327</c:v>
                </c:pt>
                <c:pt idx="370">
                  <c:v>18.621123685575693</c:v>
                </c:pt>
                <c:pt idx="371">
                  <c:v>18.671451046888059</c:v>
                </c:pt>
                <c:pt idx="372">
                  <c:v>18.721778408200425</c:v>
                </c:pt>
                <c:pt idx="373">
                  <c:v>18.772105769512791</c:v>
                </c:pt>
                <c:pt idx="374">
                  <c:v>18.822433130825157</c:v>
                </c:pt>
                <c:pt idx="375">
                  <c:v>18.872760492137523</c:v>
                </c:pt>
                <c:pt idx="376">
                  <c:v>18.923087853449889</c:v>
                </c:pt>
                <c:pt idx="377">
                  <c:v>18.973415214762255</c:v>
                </c:pt>
                <c:pt idx="378">
                  <c:v>19.023742576074621</c:v>
                </c:pt>
                <c:pt idx="379">
                  <c:v>19.074069937386987</c:v>
                </c:pt>
                <c:pt idx="380">
                  <c:v>19.124397298699353</c:v>
                </c:pt>
                <c:pt idx="381">
                  <c:v>19.174724660011719</c:v>
                </c:pt>
                <c:pt idx="382">
                  <c:v>19.225052021324085</c:v>
                </c:pt>
                <c:pt idx="383">
                  <c:v>19.275379382636451</c:v>
                </c:pt>
                <c:pt idx="384">
                  <c:v>19.325706743948817</c:v>
                </c:pt>
                <c:pt idx="385">
                  <c:v>19.376034105261184</c:v>
                </c:pt>
                <c:pt idx="386">
                  <c:v>19.42636146657355</c:v>
                </c:pt>
                <c:pt idx="387">
                  <c:v>19.476688827885916</c:v>
                </c:pt>
                <c:pt idx="388">
                  <c:v>19.527016189198282</c:v>
                </c:pt>
                <c:pt idx="389">
                  <c:v>19.577343550510648</c:v>
                </c:pt>
                <c:pt idx="390">
                  <c:v>19.627670911823014</c:v>
                </c:pt>
                <c:pt idx="391">
                  <c:v>19.67799827313538</c:v>
                </c:pt>
                <c:pt idx="392">
                  <c:v>19.728325634447746</c:v>
                </c:pt>
                <c:pt idx="393">
                  <c:v>19.778652995760112</c:v>
                </c:pt>
                <c:pt idx="394">
                  <c:v>19.828980357072478</c:v>
                </c:pt>
                <c:pt idx="395">
                  <c:v>19.879307718384844</c:v>
                </c:pt>
                <c:pt idx="396">
                  <c:v>19.92963507969721</c:v>
                </c:pt>
                <c:pt idx="397">
                  <c:v>19.979962441009576</c:v>
                </c:pt>
                <c:pt idx="398">
                  <c:v>20.030289802321942</c:v>
                </c:pt>
                <c:pt idx="399">
                  <c:v>20.080617163634308</c:v>
                </c:pt>
                <c:pt idx="400">
                  <c:v>20.130944524946674</c:v>
                </c:pt>
                <c:pt idx="401">
                  <c:v>20.181271886259044</c:v>
                </c:pt>
                <c:pt idx="402">
                  <c:v>20.23159924757141</c:v>
                </c:pt>
                <c:pt idx="403">
                  <c:v>20.281926608883776</c:v>
                </c:pt>
                <c:pt idx="404">
                  <c:v>20.332253970196142</c:v>
                </c:pt>
                <c:pt idx="405">
                  <c:v>20.382581331508508</c:v>
                </c:pt>
                <c:pt idx="406">
                  <c:v>20.432908692820874</c:v>
                </c:pt>
                <c:pt idx="407">
                  <c:v>20.48323605413324</c:v>
                </c:pt>
                <c:pt idx="408">
                  <c:v>20.533563415445606</c:v>
                </c:pt>
                <c:pt idx="409">
                  <c:v>20.583890776757972</c:v>
                </c:pt>
                <c:pt idx="410">
                  <c:v>20.634218138070338</c:v>
                </c:pt>
                <c:pt idx="411">
                  <c:v>20.684545499382704</c:v>
                </c:pt>
                <c:pt idx="412">
                  <c:v>20.73487286069507</c:v>
                </c:pt>
                <c:pt idx="413">
                  <c:v>20.785200222007436</c:v>
                </c:pt>
                <c:pt idx="414">
                  <c:v>20.835527583319806</c:v>
                </c:pt>
                <c:pt idx="415">
                  <c:v>20.885854944632172</c:v>
                </c:pt>
                <c:pt idx="416">
                  <c:v>20.936182305944538</c:v>
                </c:pt>
                <c:pt idx="417">
                  <c:v>20.986509667256904</c:v>
                </c:pt>
                <c:pt idx="418">
                  <c:v>21.03683702856927</c:v>
                </c:pt>
                <c:pt idx="419">
                  <c:v>21.087164389881636</c:v>
                </c:pt>
                <c:pt idx="420">
                  <c:v>21.137491751194002</c:v>
                </c:pt>
                <c:pt idx="421">
                  <c:v>21.187819112506368</c:v>
                </c:pt>
                <c:pt idx="422">
                  <c:v>21.238146473818734</c:v>
                </c:pt>
                <c:pt idx="423">
                  <c:v>21.2884738351311</c:v>
                </c:pt>
                <c:pt idx="424">
                  <c:v>21.338801196443466</c:v>
                </c:pt>
                <c:pt idx="425">
                  <c:v>21.389128557755832</c:v>
                </c:pt>
                <c:pt idx="426">
                  <c:v>21.439455919068198</c:v>
                </c:pt>
                <c:pt idx="427">
                  <c:v>21.489783280380564</c:v>
                </c:pt>
                <c:pt idx="428">
                  <c:v>21.54011064169293</c:v>
                </c:pt>
                <c:pt idx="429">
                  <c:v>21.590438003005296</c:v>
                </c:pt>
                <c:pt idx="430">
                  <c:v>21.640765364317662</c:v>
                </c:pt>
                <c:pt idx="431">
                  <c:v>21.691092725630028</c:v>
                </c:pt>
                <c:pt idx="432">
                  <c:v>21.741420086942394</c:v>
                </c:pt>
                <c:pt idx="433">
                  <c:v>21.79174744825476</c:v>
                </c:pt>
                <c:pt idx="434">
                  <c:v>21.842074809567126</c:v>
                </c:pt>
                <c:pt idx="435">
                  <c:v>21.892402170879492</c:v>
                </c:pt>
                <c:pt idx="436">
                  <c:v>21.942729532191859</c:v>
                </c:pt>
                <c:pt idx="437">
                  <c:v>21.993056893504225</c:v>
                </c:pt>
                <c:pt idx="438">
                  <c:v>22.043384254816591</c:v>
                </c:pt>
                <c:pt idx="439">
                  <c:v>22.093711616128957</c:v>
                </c:pt>
                <c:pt idx="440">
                  <c:v>22.144038977441323</c:v>
                </c:pt>
                <c:pt idx="441">
                  <c:v>22.194366338753689</c:v>
                </c:pt>
                <c:pt idx="442">
                  <c:v>22.244693700066055</c:v>
                </c:pt>
                <c:pt idx="443">
                  <c:v>22.295021061378421</c:v>
                </c:pt>
                <c:pt idx="444">
                  <c:v>22.345348422690787</c:v>
                </c:pt>
                <c:pt idx="445">
                  <c:v>22.395675784003153</c:v>
                </c:pt>
                <c:pt idx="446">
                  <c:v>22.446003145315519</c:v>
                </c:pt>
                <c:pt idx="447">
                  <c:v>22.496330506627885</c:v>
                </c:pt>
                <c:pt idx="448">
                  <c:v>22.546657867940251</c:v>
                </c:pt>
                <c:pt idx="449">
                  <c:v>22.596985229252617</c:v>
                </c:pt>
                <c:pt idx="450">
                  <c:v>22.647312590564987</c:v>
                </c:pt>
                <c:pt idx="451">
                  <c:v>22.697639951877353</c:v>
                </c:pt>
                <c:pt idx="452">
                  <c:v>22.747967313189719</c:v>
                </c:pt>
                <c:pt idx="453">
                  <c:v>22.798294674502085</c:v>
                </c:pt>
                <c:pt idx="454">
                  <c:v>22.848622035814451</c:v>
                </c:pt>
                <c:pt idx="455">
                  <c:v>22.898949397126817</c:v>
                </c:pt>
                <c:pt idx="456">
                  <c:v>22.949276758439183</c:v>
                </c:pt>
                <c:pt idx="457">
                  <c:v>22.999604119751549</c:v>
                </c:pt>
                <c:pt idx="458">
                  <c:v>23.049931481063915</c:v>
                </c:pt>
                <c:pt idx="459">
                  <c:v>23.100258842376281</c:v>
                </c:pt>
                <c:pt idx="460">
                  <c:v>23.150586203688647</c:v>
                </c:pt>
                <c:pt idx="461">
                  <c:v>23.200913565001013</c:v>
                </c:pt>
                <c:pt idx="462">
                  <c:v>23.251240926313379</c:v>
                </c:pt>
                <c:pt idx="463">
                  <c:v>23.301568287625745</c:v>
                </c:pt>
                <c:pt idx="464">
                  <c:v>23.351895648938111</c:v>
                </c:pt>
                <c:pt idx="465">
                  <c:v>23.402223010250477</c:v>
                </c:pt>
                <c:pt idx="466">
                  <c:v>23.452550371562843</c:v>
                </c:pt>
                <c:pt idx="467">
                  <c:v>23.502877732875209</c:v>
                </c:pt>
                <c:pt idx="468">
                  <c:v>23.553205094187575</c:v>
                </c:pt>
                <c:pt idx="469">
                  <c:v>23.603532455499941</c:v>
                </c:pt>
                <c:pt idx="470">
                  <c:v>23.653859816812307</c:v>
                </c:pt>
                <c:pt idx="471">
                  <c:v>23.704187178124673</c:v>
                </c:pt>
                <c:pt idx="472">
                  <c:v>23.754514539437039</c:v>
                </c:pt>
                <c:pt idx="473">
                  <c:v>23.804841900749405</c:v>
                </c:pt>
                <c:pt idx="474">
                  <c:v>23.855169262061771</c:v>
                </c:pt>
                <c:pt idx="475">
                  <c:v>23.905496623374137</c:v>
                </c:pt>
                <c:pt idx="476">
                  <c:v>23.955823984686504</c:v>
                </c:pt>
                <c:pt idx="477">
                  <c:v>24.00615134599887</c:v>
                </c:pt>
                <c:pt idx="478">
                  <c:v>24.056478707311236</c:v>
                </c:pt>
                <c:pt idx="479">
                  <c:v>24.106806068623602</c:v>
                </c:pt>
                <c:pt idx="480">
                  <c:v>24.157133429935968</c:v>
                </c:pt>
                <c:pt idx="481">
                  <c:v>24.207460791248334</c:v>
                </c:pt>
                <c:pt idx="482">
                  <c:v>24.2577881525607</c:v>
                </c:pt>
                <c:pt idx="483">
                  <c:v>24.308115513873066</c:v>
                </c:pt>
                <c:pt idx="484">
                  <c:v>24.358442875185432</c:v>
                </c:pt>
                <c:pt idx="485">
                  <c:v>24.408770236497801</c:v>
                </c:pt>
                <c:pt idx="486">
                  <c:v>24.459097597810167</c:v>
                </c:pt>
                <c:pt idx="487">
                  <c:v>24.509424959122533</c:v>
                </c:pt>
                <c:pt idx="488">
                  <c:v>24.5597523204349</c:v>
                </c:pt>
                <c:pt idx="489">
                  <c:v>24.610079681747266</c:v>
                </c:pt>
                <c:pt idx="490">
                  <c:v>24.660407043059632</c:v>
                </c:pt>
                <c:pt idx="491">
                  <c:v>24.710734404371998</c:v>
                </c:pt>
                <c:pt idx="492">
                  <c:v>24.761061765684364</c:v>
                </c:pt>
                <c:pt idx="493">
                  <c:v>24.81138912699673</c:v>
                </c:pt>
                <c:pt idx="494">
                  <c:v>24.861716488309096</c:v>
                </c:pt>
                <c:pt idx="495">
                  <c:v>24.912043849621462</c:v>
                </c:pt>
                <c:pt idx="496">
                  <c:v>24.962371210933828</c:v>
                </c:pt>
                <c:pt idx="497">
                  <c:v>25.012698572246194</c:v>
                </c:pt>
                <c:pt idx="498">
                  <c:v>25.06302593355856</c:v>
                </c:pt>
                <c:pt idx="499">
                  <c:v>25.113353294870926</c:v>
                </c:pt>
                <c:pt idx="500">
                  <c:v>25.163680656183292</c:v>
                </c:pt>
                <c:pt idx="501">
                  <c:v>25.214008017495658</c:v>
                </c:pt>
                <c:pt idx="502">
                  <c:v>25.264335378808024</c:v>
                </c:pt>
                <c:pt idx="503">
                  <c:v>25.31466274012039</c:v>
                </c:pt>
                <c:pt idx="504">
                  <c:v>25.364990101432756</c:v>
                </c:pt>
                <c:pt idx="505">
                  <c:v>25.415317462745122</c:v>
                </c:pt>
                <c:pt idx="506">
                  <c:v>25.465644824057488</c:v>
                </c:pt>
                <c:pt idx="507">
                  <c:v>25.515972185369854</c:v>
                </c:pt>
                <c:pt idx="508">
                  <c:v>25.56629954668222</c:v>
                </c:pt>
                <c:pt idx="509">
                  <c:v>25.616626907994586</c:v>
                </c:pt>
                <c:pt idx="510">
                  <c:v>25.666954269306952</c:v>
                </c:pt>
                <c:pt idx="511">
                  <c:v>25.717281630619318</c:v>
                </c:pt>
                <c:pt idx="512">
                  <c:v>25.767608991931684</c:v>
                </c:pt>
                <c:pt idx="513">
                  <c:v>25.81793635324405</c:v>
                </c:pt>
                <c:pt idx="514">
                  <c:v>25.868263714556416</c:v>
                </c:pt>
                <c:pt idx="515">
                  <c:v>25.918591075868783</c:v>
                </c:pt>
                <c:pt idx="516">
                  <c:v>25.968918437181149</c:v>
                </c:pt>
                <c:pt idx="517">
                  <c:v>26.019245798493515</c:v>
                </c:pt>
                <c:pt idx="518">
                  <c:v>26.069573159805881</c:v>
                </c:pt>
                <c:pt idx="519">
                  <c:v>26.119900521118247</c:v>
                </c:pt>
                <c:pt idx="520">
                  <c:v>26.170227882430613</c:v>
                </c:pt>
                <c:pt idx="521">
                  <c:v>26.220555243742982</c:v>
                </c:pt>
                <c:pt idx="522">
                  <c:v>26.270882605055348</c:v>
                </c:pt>
                <c:pt idx="523">
                  <c:v>26.321209966367714</c:v>
                </c:pt>
                <c:pt idx="524">
                  <c:v>26.37153732768008</c:v>
                </c:pt>
                <c:pt idx="525">
                  <c:v>26.421864688992446</c:v>
                </c:pt>
                <c:pt idx="526">
                  <c:v>26.472192050304812</c:v>
                </c:pt>
                <c:pt idx="527">
                  <c:v>26.522519411617179</c:v>
                </c:pt>
                <c:pt idx="528">
                  <c:v>26.572846772929545</c:v>
                </c:pt>
                <c:pt idx="529">
                  <c:v>26.623174134241911</c:v>
                </c:pt>
                <c:pt idx="530">
                  <c:v>26.673501495554277</c:v>
                </c:pt>
                <c:pt idx="531">
                  <c:v>26.723828856866643</c:v>
                </c:pt>
                <c:pt idx="532">
                  <c:v>26.774156218179009</c:v>
                </c:pt>
                <c:pt idx="533">
                  <c:v>26.824483579491375</c:v>
                </c:pt>
                <c:pt idx="534">
                  <c:v>26.874810940803741</c:v>
                </c:pt>
                <c:pt idx="535">
                  <c:v>26.925138302116107</c:v>
                </c:pt>
                <c:pt idx="536">
                  <c:v>26.975465663428473</c:v>
                </c:pt>
                <c:pt idx="537">
                  <c:v>27.025793024740839</c:v>
                </c:pt>
                <c:pt idx="538">
                  <c:v>27.076120386053205</c:v>
                </c:pt>
                <c:pt idx="539">
                  <c:v>27.126447747365571</c:v>
                </c:pt>
                <c:pt idx="540">
                  <c:v>27.176775108677937</c:v>
                </c:pt>
                <c:pt idx="541">
                  <c:v>27.227102469990303</c:v>
                </c:pt>
                <c:pt idx="542">
                  <c:v>27.277429831302669</c:v>
                </c:pt>
                <c:pt idx="543">
                  <c:v>27.327757192615035</c:v>
                </c:pt>
                <c:pt idx="544">
                  <c:v>27.378084553927401</c:v>
                </c:pt>
                <c:pt idx="545">
                  <c:v>27.428411915239767</c:v>
                </c:pt>
                <c:pt idx="546">
                  <c:v>27.478739276552133</c:v>
                </c:pt>
                <c:pt idx="547">
                  <c:v>27.529066637864499</c:v>
                </c:pt>
                <c:pt idx="548">
                  <c:v>27.579393999176865</c:v>
                </c:pt>
                <c:pt idx="549">
                  <c:v>27.629721360489231</c:v>
                </c:pt>
                <c:pt idx="550">
                  <c:v>27.680048721801597</c:v>
                </c:pt>
                <c:pt idx="551">
                  <c:v>27.730376083113963</c:v>
                </c:pt>
                <c:pt idx="552">
                  <c:v>27.780703444426329</c:v>
                </c:pt>
                <c:pt idx="553">
                  <c:v>27.831030805738695</c:v>
                </c:pt>
                <c:pt idx="554">
                  <c:v>27.881358167051062</c:v>
                </c:pt>
                <c:pt idx="555">
                  <c:v>27.931685528363428</c:v>
                </c:pt>
                <c:pt idx="556">
                  <c:v>27.982012889675794</c:v>
                </c:pt>
                <c:pt idx="557">
                  <c:v>28.032340250988163</c:v>
                </c:pt>
                <c:pt idx="558">
                  <c:v>28.082667612300529</c:v>
                </c:pt>
                <c:pt idx="559">
                  <c:v>28.132994973612895</c:v>
                </c:pt>
                <c:pt idx="560">
                  <c:v>28.183322334925261</c:v>
                </c:pt>
                <c:pt idx="561">
                  <c:v>28.233649696237627</c:v>
                </c:pt>
                <c:pt idx="562">
                  <c:v>28.283977057549993</c:v>
                </c:pt>
                <c:pt idx="563">
                  <c:v>28.334304418862359</c:v>
                </c:pt>
                <c:pt idx="564">
                  <c:v>28.384631780174725</c:v>
                </c:pt>
                <c:pt idx="565">
                  <c:v>28.434959141487091</c:v>
                </c:pt>
                <c:pt idx="566">
                  <c:v>28.485286502799458</c:v>
                </c:pt>
                <c:pt idx="567">
                  <c:v>28.535613864111824</c:v>
                </c:pt>
                <c:pt idx="568">
                  <c:v>28.58594122542419</c:v>
                </c:pt>
                <c:pt idx="569">
                  <c:v>28.636268586736556</c:v>
                </c:pt>
                <c:pt idx="570">
                  <c:v>28.686595948048922</c:v>
                </c:pt>
                <c:pt idx="571">
                  <c:v>28.736923309361288</c:v>
                </c:pt>
                <c:pt idx="572">
                  <c:v>28.787250670673654</c:v>
                </c:pt>
                <c:pt idx="573">
                  <c:v>28.83757803198602</c:v>
                </c:pt>
                <c:pt idx="574">
                  <c:v>28.887905393298386</c:v>
                </c:pt>
                <c:pt idx="575">
                  <c:v>28.938232754610752</c:v>
                </c:pt>
                <c:pt idx="576">
                  <c:v>28.988560115923118</c:v>
                </c:pt>
                <c:pt idx="577">
                  <c:v>29.038887477235484</c:v>
                </c:pt>
                <c:pt idx="578">
                  <c:v>29.08921483854785</c:v>
                </c:pt>
                <c:pt idx="579">
                  <c:v>29.139542199860216</c:v>
                </c:pt>
                <c:pt idx="580">
                  <c:v>29.189869561172582</c:v>
                </c:pt>
                <c:pt idx="581">
                  <c:v>29.240196922484948</c:v>
                </c:pt>
                <c:pt idx="582">
                  <c:v>29.290524283797314</c:v>
                </c:pt>
                <c:pt idx="583">
                  <c:v>29.34085164510968</c:v>
                </c:pt>
                <c:pt idx="584">
                  <c:v>29.391179006422046</c:v>
                </c:pt>
                <c:pt idx="585">
                  <c:v>29.441506367734412</c:v>
                </c:pt>
                <c:pt idx="586">
                  <c:v>29.491833729046778</c:v>
                </c:pt>
                <c:pt idx="587">
                  <c:v>29.542161090359144</c:v>
                </c:pt>
                <c:pt idx="588">
                  <c:v>29.59248845167151</c:v>
                </c:pt>
                <c:pt idx="589">
                  <c:v>29.642815812983876</c:v>
                </c:pt>
                <c:pt idx="590">
                  <c:v>29.693143174296242</c:v>
                </c:pt>
                <c:pt idx="591">
                  <c:v>29.743470535608608</c:v>
                </c:pt>
                <c:pt idx="592">
                  <c:v>29.793797896920978</c:v>
                </c:pt>
                <c:pt idx="593">
                  <c:v>29.844125258233344</c:v>
                </c:pt>
                <c:pt idx="594">
                  <c:v>29.89445261954571</c:v>
                </c:pt>
                <c:pt idx="595">
                  <c:v>29.944779980858076</c:v>
                </c:pt>
                <c:pt idx="596">
                  <c:v>29.995107342170442</c:v>
                </c:pt>
                <c:pt idx="597">
                  <c:v>30.045434703482808</c:v>
                </c:pt>
                <c:pt idx="598">
                  <c:v>30.095762064795174</c:v>
                </c:pt>
                <c:pt idx="599">
                  <c:v>30.14608942610754</c:v>
                </c:pt>
                <c:pt idx="600">
                  <c:v>30.196416787419906</c:v>
                </c:pt>
                <c:pt idx="601">
                  <c:v>30.246744148732272</c:v>
                </c:pt>
                <c:pt idx="602">
                  <c:v>30.297071510044638</c:v>
                </c:pt>
                <c:pt idx="603">
                  <c:v>30.347398871357004</c:v>
                </c:pt>
                <c:pt idx="604">
                  <c:v>30.39772623266937</c:v>
                </c:pt>
                <c:pt idx="605">
                  <c:v>30.448053593981736</c:v>
                </c:pt>
                <c:pt idx="606">
                  <c:v>30.498380955294103</c:v>
                </c:pt>
                <c:pt idx="607">
                  <c:v>30.548708316606469</c:v>
                </c:pt>
                <c:pt idx="608">
                  <c:v>30.599035677918835</c:v>
                </c:pt>
                <c:pt idx="609">
                  <c:v>30.649363039231201</c:v>
                </c:pt>
                <c:pt idx="610">
                  <c:v>30.649363039231201</c:v>
                </c:pt>
                <c:pt idx="611">
                  <c:v>30.649363039231201</c:v>
                </c:pt>
                <c:pt idx="612">
                  <c:v>30.649363039231201</c:v>
                </c:pt>
                <c:pt idx="613">
                  <c:v>30.649363039231201</c:v>
                </c:pt>
                <c:pt idx="614">
                  <c:v>30.649363039231201</c:v>
                </c:pt>
                <c:pt idx="615">
                  <c:v>30.649363039231201</c:v>
                </c:pt>
                <c:pt idx="616">
                  <c:v>30.649363039231201</c:v>
                </c:pt>
                <c:pt idx="617">
                  <c:v>30.649363039231201</c:v>
                </c:pt>
                <c:pt idx="618">
                  <c:v>30.649363039231201</c:v>
                </c:pt>
                <c:pt idx="619">
                  <c:v>30.649363039231201</c:v>
                </c:pt>
                <c:pt idx="620">
                  <c:v>30.649363039231201</c:v>
                </c:pt>
                <c:pt idx="621">
                  <c:v>30.649363039231201</c:v>
                </c:pt>
                <c:pt idx="622">
                  <c:v>30.649363039231201</c:v>
                </c:pt>
                <c:pt idx="623">
                  <c:v>30.649363039231201</c:v>
                </c:pt>
                <c:pt idx="624">
                  <c:v>30.649363039231201</c:v>
                </c:pt>
                <c:pt idx="625">
                  <c:v>30.649363039231201</c:v>
                </c:pt>
                <c:pt idx="626">
                  <c:v>30.649363039231201</c:v>
                </c:pt>
                <c:pt idx="627">
                  <c:v>30.649363039231201</c:v>
                </c:pt>
                <c:pt idx="628">
                  <c:v>30.649363039231201</c:v>
                </c:pt>
                <c:pt idx="629">
                  <c:v>30.649363039231201</c:v>
                </c:pt>
                <c:pt idx="630">
                  <c:v>30.649363039231201</c:v>
                </c:pt>
                <c:pt idx="631">
                  <c:v>30.649363039231201</c:v>
                </c:pt>
                <c:pt idx="632">
                  <c:v>30.649363039231201</c:v>
                </c:pt>
                <c:pt idx="633">
                  <c:v>30.649363039231201</c:v>
                </c:pt>
                <c:pt idx="634">
                  <c:v>30.649363039231201</c:v>
                </c:pt>
                <c:pt idx="635">
                  <c:v>30.649363039231201</c:v>
                </c:pt>
                <c:pt idx="636">
                  <c:v>30.649363039231201</c:v>
                </c:pt>
                <c:pt idx="637">
                  <c:v>30.649363039231201</c:v>
                </c:pt>
                <c:pt idx="638">
                  <c:v>30.649363039231201</c:v>
                </c:pt>
                <c:pt idx="639">
                  <c:v>30.649363039231201</c:v>
                </c:pt>
                <c:pt idx="640">
                  <c:v>30.649363039231201</c:v>
                </c:pt>
                <c:pt idx="641">
                  <c:v>30.649363039231201</c:v>
                </c:pt>
                <c:pt idx="642">
                  <c:v>30.649363039231201</c:v>
                </c:pt>
                <c:pt idx="643">
                  <c:v>30.649363039231201</c:v>
                </c:pt>
                <c:pt idx="644">
                  <c:v>30.649363039231201</c:v>
                </c:pt>
                <c:pt idx="645">
                  <c:v>30.649363039231201</c:v>
                </c:pt>
                <c:pt idx="646">
                  <c:v>30.649363039231201</c:v>
                </c:pt>
                <c:pt idx="647">
                  <c:v>30.649363039231201</c:v>
                </c:pt>
                <c:pt idx="648">
                  <c:v>30.649363039231201</c:v>
                </c:pt>
                <c:pt idx="649">
                  <c:v>30.649363039231201</c:v>
                </c:pt>
                <c:pt idx="650">
                  <c:v>30.649363039231201</c:v>
                </c:pt>
                <c:pt idx="651">
                  <c:v>30.649363039231201</c:v>
                </c:pt>
                <c:pt idx="652">
                  <c:v>30.649363039231201</c:v>
                </c:pt>
                <c:pt idx="653">
                  <c:v>30.649363039231201</c:v>
                </c:pt>
                <c:pt idx="654">
                  <c:v>30.649363039231201</c:v>
                </c:pt>
                <c:pt idx="655">
                  <c:v>30.649363039231201</c:v>
                </c:pt>
                <c:pt idx="656">
                  <c:v>30.649363039231201</c:v>
                </c:pt>
                <c:pt idx="657">
                  <c:v>30.649363039231201</c:v>
                </c:pt>
                <c:pt idx="658">
                  <c:v>30.649363039231201</c:v>
                </c:pt>
                <c:pt idx="659">
                  <c:v>30.649363039231201</c:v>
                </c:pt>
                <c:pt idx="660">
                  <c:v>30.649363039231201</c:v>
                </c:pt>
                <c:pt idx="661">
                  <c:v>30.649363039231201</c:v>
                </c:pt>
                <c:pt idx="662">
                  <c:v>30.649363039231201</c:v>
                </c:pt>
                <c:pt idx="663">
                  <c:v>30.649363039231201</c:v>
                </c:pt>
                <c:pt idx="664">
                  <c:v>30.649363039231201</c:v>
                </c:pt>
                <c:pt idx="665">
                  <c:v>30.649363039231201</c:v>
                </c:pt>
                <c:pt idx="666">
                  <c:v>30.649363039231201</c:v>
                </c:pt>
                <c:pt idx="667">
                  <c:v>30.649363039231201</c:v>
                </c:pt>
                <c:pt idx="668">
                  <c:v>30.649363039231201</c:v>
                </c:pt>
                <c:pt idx="669">
                  <c:v>30.649363039231201</c:v>
                </c:pt>
                <c:pt idx="670">
                  <c:v>30.649363039231201</c:v>
                </c:pt>
                <c:pt idx="671">
                  <c:v>30.649363039231201</c:v>
                </c:pt>
                <c:pt idx="672">
                  <c:v>30.649363039231201</c:v>
                </c:pt>
                <c:pt idx="673">
                  <c:v>30.649363039231201</c:v>
                </c:pt>
                <c:pt idx="674">
                  <c:v>30.649363039231201</c:v>
                </c:pt>
                <c:pt idx="675">
                  <c:v>30.649363039231201</c:v>
                </c:pt>
                <c:pt idx="676">
                  <c:v>30.649363039231201</c:v>
                </c:pt>
                <c:pt idx="677">
                  <c:v>30.649363039231201</c:v>
                </c:pt>
                <c:pt idx="678">
                  <c:v>30.649363039231201</c:v>
                </c:pt>
                <c:pt idx="679">
                  <c:v>30.649363039231201</c:v>
                </c:pt>
                <c:pt idx="680">
                  <c:v>30.649363039231201</c:v>
                </c:pt>
                <c:pt idx="681">
                  <c:v>30.649363039231201</c:v>
                </c:pt>
                <c:pt idx="682">
                  <c:v>30.649363039231201</c:v>
                </c:pt>
                <c:pt idx="683">
                  <c:v>30.649363039231201</c:v>
                </c:pt>
                <c:pt idx="684">
                  <c:v>30.649363039231201</c:v>
                </c:pt>
                <c:pt idx="685">
                  <c:v>30.649363039231201</c:v>
                </c:pt>
                <c:pt idx="686">
                  <c:v>30.649363039231201</c:v>
                </c:pt>
                <c:pt idx="687">
                  <c:v>30.649363039231201</c:v>
                </c:pt>
                <c:pt idx="688">
                  <c:v>30.649363039231201</c:v>
                </c:pt>
                <c:pt idx="689">
                  <c:v>30.649363039231201</c:v>
                </c:pt>
                <c:pt idx="690">
                  <c:v>30.649363039231201</c:v>
                </c:pt>
                <c:pt idx="691">
                  <c:v>30.649363039231201</c:v>
                </c:pt>
                <c:pt idx="692">
                  <c:v>30.649363039231201</c:v>
                </c:pt>
                <c:pt idx="693">
                  <c:v>30.649363039231201</c:v>
                </c:pt>
                <c:pt idx="694">
                  <c:v>30.649363039231201</c:v>
                </c:pt>
                <c:pt idx="695">
                  <c:v>30.649363039231201</c:v>
                </c:pt>
                <c:pt idx="696">
                  <c:v>30.649363039231201</c:v>
                </c:pt>
                <c:pt idx="697">
                  <c:v>30.649363039231201</c:v>
                </c:pt>
                <c:pt idx="698">
                  <c:v>30.649363039231201</c:v>
                </c:pt>
                <c:pt idx="699">
                  <c:v>30.649363039231201</c:v>
                </c:pt>
                <c:pt idx="700">
                  <c:v>30.649363039231201</c:v>
                </c:pt>
                <c:pt idx="701">
                  <c:v>30.649363039231201</c:v>
                </c:pt>
                <c:pt idx="702">
                  <c:v>30.649363039231201</c:v>
                </c:pt>
                <c:pt idx="703">
                  <c:v>30.649363039231201</c:v>
                </c:pt>
                <c:pt idx="704">
                  <c:v>30.649363039231201</c:v>
                </c:pt>
                <c:pt idx="705">
                  <c:v>30.649363039231201</c:v>
                </c:pt>
                <c:pt idx="706">
                  <c:v>30.649363039231201</c:v>
                </c:pt>
                <c:pt idx="707">
                  <c:v>30.649363039231201</c:v>
                </c:pt>
                <c:pt idx="708">
                  <c:v>30.649363039231201</c:v>
                </c:pt>
                <c:pt idx="709">
                  <c:v>30.649363039231201</c:v>
                </c:pt>
                <c:pt idx="710">
                  <c:v>30.649363039231201</c:v>
                </c:pt>
                <c:pt idx="711">
                  <c:v>30.649363039231201</c:v>
                </c:pt>
                <c:pt idx="712">
                  <c:v>30.649363039231201</c:v>
                </c:pt>
                <c:pt idx="713">
                  <c:v>30.649363039231201</c:v>
                </c:pt>
                <c:pt idx="714">
                  <c:v>30.649363039231201</c:v>
                </c:pt>
                <c:pt idx="715">
                  <c:v>30.649363039231201</c:v>
                </c:pt>
                <c:pt idx="716">
                  <c:v>30.649363039231201</c:v>
                </c:pt>
                <c:pt idx="717">
                  <c:v>30.649363039231201</c:v>
                </c:pt>
                <c:pt idx="718">
                  <c:v>30.649363039231201</c:v>
                </c:pt>
                <c:pt idx="719">
                  <c:v>30.649363039231201</c:v>
                </c:pt>
                <c:pt idx="720">
                  <c:v>30.649363039231201</c:v>
                </c:pt>
                <c:pt idx="721">
                  <c:v>30.649363039231201</c:v>
                </c:pt>
                <c:pt idx="722">
                  <c:v>30.649363039231201</c:v>
                </c:pt>
                <c:pt idx="723">
                  <c:v>30.649363039231201</c:v>
                </c:pt>
                <c:pt idx="724">
                  <c:v>30.649363039231201</c:v>
                </c:pt>
                <c:pt idx="725">
                  <c:v>30.649363039231201</c:v>
                </c:pt>
                <c:pt idx="726">
                  <c:v>30.649363039231201</c:v>
                </c:pt>
                <c:pt idx="727">
                  <c:v>30.649363039231201</c:v>
                </c:pt>
                <c:pt idx="728">
                  <c:v>30.649363039231201</c:v>
                </c:pt>
                <c:pt idx="729">
                  <c:v>30.649363039231201</c:v>
                </c:pt>
                <c:pt idx="730">
                  <c:v>30.649363039231201</c:v>
                </c:pt>
                <c:pt idx="731">
                  <c:v>30.649363039231201</c:v>
                </c:pt>
                <c:pt idx="732">
                  <c:v>30.649363039231201</c:v>
                </c:pt>
                <c:pt idx="733">
                  <c:v>30.649363039231201</c:v>
                </c:pt>
                <c:pt idx="734">
                  <c:v>30.649363039231201</c:v>
                </c:pt>
                <c:pt idx="735">
                  <c:v>30.649363039231201</c:v>
                </c:pt>
                <c:pt idx="736">
                  <c:v>30.649363039231201</c:v>
                </c:pt>
                <c:pt idx="737">
                  <c:v>30.649363039231201</c:v>
                </c:pt>
                <c:pt idx="738">
                  <c:v>30.649363039231201</c:v>
                </c:pt>
                <c:pt idx="739">
                  <c:v>30.649363039231201</c:v>
                </c:pt>
                <c:pt idx="740">
                  <c:v>30.649363039231201</c:v>
                </c:pt>
                <c:pt idx="741">
                  <c:v>30.649363039231201</c:v>
                </c:pt>
                <c:pt idx="742">
                  <c:v>30.649363039231201</c:v>
                </c:pt>
                <c:pt idx="743">
                  <c:v>30.649363039231201</c:v>
                </c:pt>
                <c:pt idx="744">
                  <c:v>30.649363039231201</c:v>
                </c:pt>
                <c:pt idx="745">
                  <c:v>30.649363039231201</c:v>
                </c:pt>
                <c:pt idx="746">
                  <c:v>30.649363039231201</c:v>
                </c:pt>
                <c:pt idx="747">
                  <c:v>30.649363039231201</c:v>
                </c:pt>
                <c:pt idx="748">
                  <c:v>30.649363039231201</c:v>
                </c:pt>
                <c:pt idx="749">
                  <c:v>30.649363039231201</c:v>
                </c:pt>
                <c:pt idx="750">
                  <c:v>30.649363039231201</c:v>
                </c:pt>
                <c:pt idx="751">
                  <c:v>30.649363039231201</c:v>
                </c:pt>
                <c:pt idx="752">
                  <c:v>30.649363039231201</c:v>
                </c:pt>
                <c:pt idx="753">
                  <c:v>30.649363039231201</c:v>
                </c:pt>
                <c:pt idx="754">
                  <c:v>30.649363039231201</c:v>
                </c:pt>
                <c:pt idx="755">
                  <c:v>30.649363039231201</c:v>
                </c:pt>
                <c:pt idx="756">
                  <c:v>30.649363039231201</c:v>
                </c:pt>
                <c:pt idx="757">
                  <c:v>30.649363039231201</c:v>
                </c:pt>
                <c:pt idx="758">
                  <c:v>30.649363039231201</c:v>
                </c:pt>
                <c:pt idx="759">
                  <c:v>30.649363039231201</c:v>
                </c:pt>
                <c:pt idx="760">
                  <c:v>30.649363039231201</c:v>
                </c:pt>
                <c:pt idx="761">
                  <c:v>30.649363039231201</c:v>
                </c:pt>
                <c:pt idx="762">
                  <c:v>30.649363039231201</c:v>
                </c:pt>
                <c:pt idx="763">
                  <c:v>30.649363039231201</c:v>
                </c:pt>
                <c:pt idx="764">
                  <c:v>30.649363039231201</c:v>
                </c:pt>
                <c:pt idx="765">
                  <c:v>30.649363039231201</c:v>
                </c:pt>
                <c:pt idx="766">
                  <c:v>30.649363039231201</c:v>
                </c:pt>
                <c:pt idx="767">
                  <c:v>30.649363039231201</c:v>
                </c:pt>
                <c:pt idx="768">
                  <c:v>30.649363039231201</c:v>
                </c:pt>
                <c:pt idx="769">
                  <c:v>30.649363039231201</c:v>
                </c:pt>
                <c:pt idx="770">
                  <c:v>30.649363039231201</c:v>
                </c:pt>
                <c:pt idx="771">
                  <c:v>30.649363039231201</c:v>
                </c:pt>
                <c:pt idx="772">
                  <c:v>30.649363039231201</c:v>
                </c:pt>
                <c:pt idx="773">
                  <c:v>30.649363039231201</c:v>
                </c:pt>
                <c:pt idx="774">
                  <c:v>30.649363039231201</c:v>
                </c:pt>
                <c:pt idx="775">
                  <c:v>30.649363039231201</c:v>
                </c:pt>
                <c:pt idx="776">
                  <c:v>30.649363039231201</c:v>
                </c:pt>
                <c:pt idx="777">
                  <c:v>30.649363039231201</c:v>
                </c:pt>
                <c:pt idx="778">
                  <c:v>30.649363039231201</c:v>
                </c:pt>
                <c:pt idx="779">
                  <c:v>30.649363039231201</c:v>
                </c:pt>
                <c:pt idx="780">
                  <c:v>30.649363039231201</c:v>
                </c:pt>
                <c:pt idx="781">
                  <c:v>30.649363039231201</c:v>
                </c:pt>
                <c:pt idx="782">
                  <c:v>30.649363039231201</c:v>
                </c:pt>
                <c:pt idx="783">
                  <c:v>30.649363039231201</c:v>
                </c:pt>
                <c:pt idx="784">
                  <c:v>30.649363039231201</c:v>
                </c:pt>
                <c:pt idx="785">
                  <c:v>30.649363039231201</c:v>
                </c:pt>
                <c:pt idx="786">
                  <c:v>30.649363039231201</c:v>
                </c:pt>
                <c:pt idx="787">
                  <c:v>30.649363039231201</c:v>
                </c:pt>
                <c:pt idx="788">
                  <c:v>30.649363039231201</c:v>
                </c:pt>
                <c:pt idx="789">
                  <c:v>30.649363039231201</c:v>
                </c:pt>
                <c:pt idx="790">
                  <c:v>30.649363039231201</c:v>
                </c:pt>
                <c:pt idx="791">
                  <c:v>30.649363039231201</c:v>
                </c:pt>
                <c:pt idx="792">
                  <c:v>30.649363039231201</c:v>
                </c:pt>
                <c:pt idx="793">
                  <c:v>30.649363039231201</c:v>
                </c:pt>
                <c:pt idx="794">
                  <c:v>30.649363039231201</c:v>
                </c:pt>
                <c:pt idx="795">
                  <c:v>30.649363039231201</c:v>
                </c:pt>
                <c:pt idx="796">
                  <c:v>30.649363039231201</c:v>
                </c:pt>
                <c:pt idx="797">
                  <c:v>30.649363039231201</c:v>
                </c:pt>
                <c:pt idx="798">
                  <c:v>30.649363039231201</c:v>
                </c:pt>
                <c:pt idx="799">
                  <c:v>30.649363039231201</c:v>
                </c:pt>
                <c:pt idx="800">
                  <c:v>30.649363039231201</c:v>
                </c:pt>
                <c:pt idx="801">
                  <c:v>30.649363039231201</c:v>
                </c:pt>
                <c:pt idx="802">
                  <c:v>30.649363039231201</c:v>
                </c:pt>
                <c:pt idx="803">
                  <c:v>30.649363039231201</c:v>
                </c:pt>
                <c:pt idx="804">
                  <c:v>30.649363039231201</c:v>
                </c:pt>
                <c:pt idx="805">
                  <c:v>30.649363039231201</c:v>
                </c:pt>
                <c:pt idx="806">
                  <c:v>30.649363039231201</c:v>
                </c:pt>
                <c:pt idx="807">
                  <c:v>30.649363039231201</c:v>
                </c:pt>
                <c:pt idx="808">
                  <c:v>30.649363039231201</c:v>
                </c:pt>
                <c:pt idx="809">
                  <c:v>30.649363039231201</c:v>
                </c:pt>
                <c:pt idx="810">
                  <c:v>30.649363039231201</c:v>
                </c:pt>
                <c:pt idx="811">
                  <c:v>30.649363039231201</c:v>
                </c:pt>
                <c:pt idx="812">
                  <c:v>30.649363039231201</c:v>
                </c:pt>
                <c:pt idx="813">
                  <c:v>30.649363039231201</c:v>
                </c:pt>
                <c:pt idx="814">
                  <c:v>30.649363039231201</c:v>
                </c:pt>
                <c:pt idx="815">
                  <c:v>30.649363039231201</c:v>
                </c:pt>
                <c:pt idx="816">
                  <c:v>30.649363039231201</c:v>
                </c:pt>
                <c:pt idx="817">
                  <c:v>30.649363039231201</c:v>
                </c:pt>
                <c:pt idx="818">
                  <c:v>30.649363039231201</c:v>
                </c:pt>
                <c:pt idx="819">
                  <c:v>30.649363039231201</c:v>
                </c:pt>
                <c:pt idx="820">
                  <c:v>30.649363039231201</c:v>
                </c:pt>
                <c:pt idx="821">
                  <c:v>30.649363039231201</c:v>
                </c:pt>
                <c:pt idx="822">
                  <c:v>30.649363039231201</c:v>
                </c:pt>
                <c:pt idx="823">
                  <c:v>30.649363039231201</c:v>
                </c:pt>
                <c:pt idx="824">
                  <c:v>30.649363039231201</c:v>
                </c:pt>
                <c:pt idx="825">
                  <c:v>30.649363039231201</c:v>
                </c:pt>
                <c:pt idx="826">
                  <c:v>30.649363039231201</c:v>
                </c:pt>
                <c:pt idx="827">
                  <c:v>30.649363039231201</c:v>
                </c:pt>
                <c:pt idx="828">
                  <c:v>30.649363039231201</c:v>
                </c:pt>
                <c:pt idx="829">
                  <c:v>30.649363039231201</c:v>
                </c:pt>
                <c:pt idx="830">
                  <c:v>30.649363039231201</c:v>
                </c:pt>
                <c:pt idx="831">
                  <c:v>30.649363039231201</c:v>
                </c:pt>
                <c:pt idx="832">
                  <c:v>30.649363039231201</c:v>
                </c:pt>
                <c:pt idx="833">
                  <c:v>30.649363039231201</c:v>
                </c:pt>
                <c:pt idx="834">
                  <c:v>30.649363039231201</c:v>
                </c:pt>
                <c:pt idx="835">
                  <c:v>30.649363039231201</c:v>
                </c:pt>
                <c:pt idx="836">
                  <c:v>30.649363039231201</c:v>
                </c:pt>
                <c:pt idx="837">
                  <c:v>30.649363039231201</c:v>
                </c:pt>
                <c:pt idx="838">
                  <c:v>30.649363039231201</c:v>
                </c:pt>
                <c:pt idx="839">
                  <c:v>30.649363039231201</c:v>
                </c:pt>
                <c:pt idx="840">
                  <c:v>30.649363039231201</c:v>
                </c:pt>
                <c:pt idx="841">
                  <c:v>30.649363039231201</c:v>
                </c:pt>
                <c:pt idx="842">
                  <c:v>30.649363039231201</c:v>
                </c:pt>
                <c:pt idx="843">
                  <c:v>30.649363039231201</c:v>
                </c:pt>
                <c:pt idx="844">
                  <c:v>30.649363039231201</c:v>
                </c:pt>
                <c:pt idx="845">
                  <c:v>30.649363039231201</c:v>
                </c:pt>
                <c:pt idx="846">
                  <c:v>30.649363039231201</c:v>
                </c:pt>
                <c:pt idx="847">
                  <c:v>30.649363039231201</c:v>
                </c:pt>
                <c:pt idx="848">
                  <c:v>30.649363039231201</c:v>
                </c:pt>
                <c:pt idx="849">
                  <c:v>30.649363039231201</c:v>
                </c:pt>
                <c:pt idx="850">
                  <c:v>30.649363039231201</c:v>
                </c:pt>
                <c:pt idx="851">
                  <c:v>30.649363039231201</c:v>
                </c:pt>
                <c:pt idx="852">
                  <c:v>30.649363039231201</c:v>
                </c:pt>
                <c:pt idx="853">
                  <c:v>30.649363039231201</c:v>
                </c:pt>
                <c:pt idx="854">
                  <c:v>30.649363039231201</c:v>
                </c:pt>
                <c:pt idx="855">
                  <c:v>30.649363039231201</c:v>
                </c:pt>
                <c:pt idx="856">
                  <c:v>30.649363039231201</c:v>
                </c:pt>
                <c:pt idx="857">
                  <c:v>30.649363039231201</c:v>
                </c:pt>
                <c:pt idx="858">
                  <c:v>30.649363039231201</c:v>
                </c:pt>
                <c:pt idx="859">
                  <c:v>30.649363039231201</c:v>
                </c:pt>
                <c:pt idx="860">
                  <c:v>30.649363039231201</c:v>
                </c:pt>
                <c:pt idx="861">
                  <c:v>30.649363039231201</c:v>
                </c:pt>
                <c:pt idx="862">
                  <c:v>30.649363039231201</c:v>
                </c:pt>
                <c:pt idx="863">
                  <c:v>30.649363039231201</c:v>
                </c:pt>
                <c:pt idx="864">
                  <c:v>30.649363039231201</c:v>
                </c:pt>
                <c:pt idx="865">
                  <c:v>30.649363039231201</c:v>
                </c:pt>
                <c:pt idx="866">
                  <c:v>30.649363039231201</c:v>
                </c:pt>
                <c:pt idx="867">
                  <c:v>30.649363039231201</c:v>
                </c:pt>
                <c:pt idx="868">
                  <c:v>30.649363039231201</c:v>
                </c:pt>
                <c:pt idx="869">
                  <c:v>30.649363039231201</c:v>
                </c:pt>
                <c:pt idx="870">
                  <c:v>30.649363039231201</c:v>
                </c:pt>
                <c:pt idx="871">
                  <c:v>30.649363039231201</c:v>
                </c:pt>
                <c:pt idx="872">
                  <c:v>30.649363039231201</c:v>
                </c:pt>
                <c:pt idx="873">
                  <c:v>30.649363039231201</c:v>
                </c:pt>
                <c:pt idx="874">
                  <c:v>30.649363039231201</c:v>
                </c:pt>
                <c:pt idx="875">
                  <c:v>30.649363039231201</c:v>
                </c:pt>
                <c:pt idx="876">
                  <c:v>30.649363039231201</c:v>
                </c:pt>
                <c:pt idx="877">
                  <c:v>30.649363039231201</c:v>
                </c:pt>
                <c:pt idx="878">
                  <c:v>30.649363039231201</c:v>
                </c:pt>
                <c:pt idx="879">
                  <c:v>30.649363039231201</c:v>
                </c:pt>
                <c:pt idx="880">
                  <c:v>30.649363039231201</c:v>
                </c:pt>
                <c:pt idx="881">
                  <c:v>30.649363039231201</c:v>
                </c:pt>
                <c:pt idx="882">
                  <c:v>30.649363039231201</c:v>
                </c:pt>
                <c:pt idx="883">
                  <c:v>30.649363039231201</c:v>
                </c:pt>
                <c:pt idx="884">
                  <c:v>30.649363039231201</c:v>
                </c:pt>
                <c:pt idx="885">
                  <c:v>30.649363039231201</c:v>
                </c:pt>
                <c:pt idx="886">
                  <c:v>30.649363039231201</c:v>
                </c:pt>
                <c:pt idx="887">
                  <c:v>30.649363039231201</c:v>
                </c:pt>
                <c:pt idx="888">
                  <c:v>30.649363039231201</c:v>
                </c:pt>
                <c:pt idx="889">
                  <c:v>30.649363039231201</c:v>
                </c:pt>
                <c:pt idx="890">
                  <c:v>30.649363039231201</c:v>
                </c:pt>
                <c:pt idx="891">
                  <c:v>30.649363039231201</c:v>
                </c:pt>
                <c:pt idx="892">
                  <c:v>30.649363039231201</c:v>
                </c:pt>
                <c:pt idx="893">
                  <c:v>30.649363039231201</c:v>
                </c:pt>
                <c:pt idx="894">
                  <c:v>30.649363039231201</c:v>
                </c:pt>
                <c:pt idx="895">
                  <c:v>30.649363039231201</c:v>
                </c:pt>
                <c:pt idx="896">
                  <c:v>30.649363039231201</c:v>
                </c:pt>
                <c:pt idx="897">
                  <c:v>30.649363039231201</c:v>
                </c:pt>
                <c:pt idx="898">
                  <c:v>30.649363039231201</c:v>
                </c:pt>
                <c:pt idx="899">
                  <c:v>30.649363039231201</c:v>
                </c:pt>
                <c:pt idx="900">
                  <c:v>30.649363039231201</c:v>
                </c:pt>
                <c:pt idx="901">
                  <c:v>30.649363039231201</c:v>
                </c:pt>
                <c:pt idx="902">
                  <c:v>30.649363039231201</c:v>
                </c:pt>
                <c:pt idx="903">
                  <c:v>30.649363039231201</c:v>
                </c:pt>
                <c:pt idx="904">
                  <c:v>30.649363039231201</c:v>
                </c:pt>
                <c:pt idx="905">
                  <c:v>30.649363039231201</c:v>
                </c:pt>
                <c:pt idx="906">
                  <c:v>30.649363039231201</c:v>
                </c:pt>
                <c:pt idx="907">
                  <c:v>30.649363039231201</c:v>
                </c:pt>
                <c:pt idx="908">
                  <c:v>30.649363039231201</c:v>
                </c:pt>
                <c:pt idx="909">
                  <c:v>30.649363039231201</c:v>
                </c:pt>
                <c:pt idx="910">
                  <c:v>30.649363039231201</c:v>
                </c:pt>
                <c:pt idx="911">
                  <c:v>30.649363039231201</c:v>
                </c:pt>
                <c:pt idx="912">
                  <c:v>30.649363039231201</c:v>
                </c:pt>
                <c:pt idx="913">
                  <c:v>30.649363039231201</c:v>
                </c:pt>
                <c:pt idx="914">
                  <c:v>30.649363039231201</c:v>
                </c:pt>
                <c:pt idx="915">
                  <c:v>30.649363039231201</c:v>
                </c:pt>
                <c:pt idx="916">
                  <c:v>30.649363039231201</c:v>
                </c:pt>
                <c:pt idx="917">
                  <c:v>30.649363039231201</c:v>
                </c:pt>
                <c:pt idx="918">
                  <c:v>30.649363039231201</c:v>
                </c:pt>
                <c:pt idx="919">
                  <c:v>30.649363039231201</c:v>
                </c:pt>
                <c:pt idx="920">
                  <c:v>30.649363039231201</c:v>
                </c:pt>
                <c:pt idx="921">
                  <c:v>30.649363039231201</c:v>
                </c:pt>
                <c:pt idx="922">
                  <c:v>30.649363039231201</c:v>
                </c:pt>
                <c:pt idx="923">
                  <c:v>30.649363039231201</c:v>
                </c:pt>
                <c:pt idx="924">
                  <c:v>30.649363039231201</c:v>
                </c:pt>
                <c:pt idx="925">
                  <c:v>30.649363039231201</c:v>
                </c:pt>
                <c:pt idx="926">
                  <c:v>30.649363039231201</c:v>
                </c:pt>
                <c:pt idx="927">
                  <c:v>30.649363039231201</c:v>
                </c:pt>
                <c:pt idx="928">
                  <c:v>30.649363039231201</c:v>
                </c:pt>
                <c:pt idx="929">
                  <c:v>30.649363039231201</c:v>
                </c:pt>
                <c:pt idx="930">
                  <c:v>30.649363039231201</c:v>
                </c:pt>
                <c:pt idx="931">
                  <c:v>30.649363039231201</c:v>
                </c:pt>
                <c:pt idx="932">
                  <c:v>30.649363039231201</c:v>
                </c:pt>
                <c:pt idx="933">
                  <c:v>30.649363039231201</c:v>
                </c:pt>
                <c:pt idx="934">
                  <c:v>30.649363039231201</c:v>
                </c:pt>
                <c:pt idx="935">
                  <c:v>30.649363039231201</c:v>
                </c:pt>
                <c:pt idx="936">
                  <c:v>30.649363039231201</c:v>
                </c:pt>
                <c:pt idx="937">
                  <c:v>30.649363039231201</c:v>
                </c:pt>
                <c:pt idx="938">
                  <c:v>30.649363039231201</c:v>
                </c:pt>
                <c:pt idx="939">
                  <c:v>30.649363039231201</c:v>
                </c:pt>
                <c:pt idx="940">
                  <c:v>30.649363039231201</c:v>
                </c:pt>
                <c:pt idx="941">
                  <c:v>30.649363039231201</c:v>
                </c:pt>
                <c:pt idx="942">
                  <c:v>30.649363039231201</c:v>
                </c:pt>
                <c:pt idx="943">
                  <c:v>30.649363039231201</c:v>
                </c:pt>
                <c:pt idx="944">
                  <c:v>30.649363039231201</c:v>
                </c:pt>
                <c:pt idx="945">
                  <c:v>30.649363039231201</c:v>
                </c:pt>
                <c:pt idx="946">
                  <c:v>30.649363039231201</c:v>
                </c:pt>
                <c:pt idx="947">
                  <c:v>30.649363039231201</c:v>
                </c:pt>
                <c:pt idx="948">
                  <c:v>30.649363039231201</c:v>
                </c:pt>
                <c:pt idx="949">
                  <c:v>30.649363039231201</c:v>
                </c:pt>
                <c:pt idx="950">
                  <c:v>30.649363039231201</c:v>
                </c:pt>
                <c:pt idx="951">
                  <c:v>30.649363039231201</c:v>
                </c:pt>
                <c:pt idx="952">
                  <c:v>30.649363039231201</c:v>
                </c:pt>
                <c:pt idx="953">
                  <c:v>30.649363039231201</c:v>
                </c:pt>
                <c:pt idx="954">
                  <c:v>30.649363039231201</c:v>
                </c:pt>
                <c:pt idx="955">
                  <c:v>30.649363039231201</c:v>
                </c:pt>
                <c:pt idx="956">
                  <c:v>30.649363039231201</c:v>
                </c:pt>
                <c:pt idx="957">
                  <c:v>30.649363039231201</c:v>
                </c:pt>
                <c:pt idx="958">
                  <c:v>30.649363039231201</c:v>
                </c:pt>
                <c:pt idx="959">
                  <c:v>30.649363039231201</c:v>
                </c:pt>
                <c:pt idx="960">
                  <c:v>30.649363039231201</c:v>
                </c:pt>
                <c:pt idx="961">
                  <c:v>30.649363039231201</c:v>
                </c:pt>
                <c:pt idx="962">
                  <c:v>30.649363039231201</c:v>
                </c:pt>
                <c:pt idx="963">
                  <c:v>30.649363039231201</c:v>
                </c:pt>
                <c:pt idx="964">
                  <c:v>30.649363039231201</c:v>
                </c:pt>
                <c:pt idx="965">
                  <c:v>30.649363039231201</c:v>
                </c:pt>
                <c:pt idx="966">
                  <c:v>30.649363039231201</c:v>
                </c:pt>
                <c:pt idx="967">
                  <c:v>30.649363039231201</c:v>
                </c:pt>
                <c:pt idx="968">
                  <c:v>30.649363039231201</c:v>
                </c:pt>
                <c:pt idx="969">
                  <c:v>30.649363039231201</c:v>
                </c:pt>
                <c:pt idx="970">
                  <c:v>30.649363039231201</c:v>
                </c:pt>
                <c:pt idx="971">
                  <c:v>30.649363039231201</c:v>
                </c:pt>
                <c:pt idx="972">
                  <c:v>30.649363039231201</c:v>
                </c:pt>
                <c:pt idx="973">
                  <c:v>30.649363039231201</c:v>
                </c:pt>
                <c:pt idx="974">
                  <c:v>30.649363039231201</c:v>
                </c:pt>
                <c:pt idx="975">
                  <c:v>30.649363039231201</c:v>
                </c:pt>
                <c:pt idx="976">
                  <c:v>30.649363039231201</c:v>
                </c:pt>
                <c:pt idx="977">
                  <c:v>30.649363039231201</c:v>
                </c:pt>
                <c:pt idx="978">
                  <c:v>30.649363039231201</c:v>
                </c:pt>
                <c:pt idx="979">
                  <c:v>30.649363039231201</c:v>
                </c:pt>
                <c:pt idx="980">
                  <c:v>30.649363039231201</c:v>
                </c:pt>
                <c:pt idx="981">
                  <c:v>30.649363039231201</c:v>
                </c:pt>
                <c:pt idx="982">
                  <c:v>30.649363039231201</c:v>
                </c:pt>
                <c:pt idx="983">
                  <c:v>30.649363039231201</c:v>
                </c:pt>
                <c:pt idx="984">
                  <c:v>30.649363039231201</c:v>
                </c:pt>
                <c:pt idx="985">
                  <c:v>30.649363039231201</c:v>
                </c:pt>
                <c:pt idx="986">
                  <c:v>30.649363039231201</c:v>
                </c:pt>
                <c:pt idx="987">
                  <c:v>30.649363039231201</c:v>
                </c:pt>
                <c:pt idx="988">
                  <c:v>30.649363039231201</c:v>
                </c:pt>
                <c:pt idx="989">
                  <c:v>30.649363039231201</c:v>
                </c:pt>
                <c:pt idx="990">
                  <c:v>30.649363039231201</c:v>
                </c:pt>
                <c:pt idx="991">
                  <c:v>30.649363039231201</c:v>
                </c:pt>
                <c:pt idx="992">
                  <c:v>30.649363039231201</c:v>
                </c:pt>
                <c:pt idx="993">
                  <c:v>30.649363039231201</c:v>
                </c:pt>
                <c:pt idx="994">
                  <c:v>30.649363039231201</c:v>
                </c:pt>
                <c:pt idx="995">
                  <c:v>30.649363039231201</c:v>
                </c:pt>
                <c:pt idx="996">
                  <c:v>30.649363039231201</c:v>
                </c:pt>
                <c:pt idx="997">
                  <c:v>30.649363039231201</c:v>
                </c:pt>
                <c:pt idx="998">
                  <c:v>30.649363039231201</c:v>
                </c:pt>
                <c:pt idx="999">
                  <c:v>30.649363039231201</c:v>
                </c:pt>
              </c:numCache>
            </c:numRef>
          </c:xVal>
          <c:yVal>
            <c:numRef>
              <c:f>Sheet1!$D$24:$D$1023</c:f>
              <c:numCache>
                <c:formatCode>0.00</c:formatCode>
                <c:ptCount val="1000"/>
                <c:pt idx="0">
                  <c:v>0</c:v>
                </c:pt>
                <c:pt idx="1">
                  <c:v>7.449088152995377E-2</c:v>
                </c:pt>
                <c:pt idx="2">
                  <c:v>0.14873676305990755</c:v>
                </c:pt>
                <c:pt idx="3">
                  <c:v>0.22273764458986126</c:v>
                </c:pt>
                <c:pt idx="4">
                  <c:v>0.29649352611981505</c:v>
                </c:pt>
                <c:pt idx="5">
                  <c:v>0.37000440764976877</c:v>
                </c:pt>
                <c:pt idx="6">
                  <c:v>0.44327028917972255</c:v>
                </c:pt>
                <c:pt idx="7">
                  <c:v>0.51629117070967634</c:v>
                </c:pt>
                <c:pt idx="8">
                  <c:v>0.58906705223963018</c:v>
                </c:pt>
                <c:pt idx="9">
                  <c:v>0.66159793376958387</c:v>
                </c:pt>
                <c:pt idx="10">
                  <c:v>0.7338838152995375</c:v>
                </c:pt>
                <c:pt idx="11">
                  <c:v>0.8059246968294913</c:v>
                </c:pt>
                <c:pt idx="12">
                  <c:v>0.87772057835944495</c:v>
                </c:pt>
                <c:pt idx="13">
                  <c:v>0.94927145988939876</c:v>
                </c:pt>
                <c:pt idx="14">
                  <c:v>1.0205773414193524</c:v>
                </c:pt>
                <c:pt idx="15">
                  <c:v>1.0916382229493065</c:v>
                </c:pt>
                <c:pt idx="16">
                  <c:v>1.1624541044792602</c:v>
                </c:pt>
                <c:pt idx="17">
                  <c:v>1.233024986009214</c:v>
                </c:pt>
                <c:pt idx="18">
                  <c:v>1.3033508675391678</c:v>
                </c:pt>
                <c:pt idx="19">
                  <c:v>1.3734317490691217</c:v>
                </c:pt>
                <c:pt idx="20">
                  <c:v>1.4432676305990755</c:v>
                </c:pt>
                <c:pt idx="21">
                  <c:v>1.5128585121290292</c:v>
                </c:pt>
                <c:pt idx="22">
                  <c:v>1.5822043936589831</c:v>
                </c:pt>
                <c:pt idx="23">
                  <c:v>1.6513052751889368</c:v>
                </c:pt>
                <c:pt idx="24">
                  <c:v>1.7201611567188908</c:v>
                </c:pt>
                <c:pt idx="25">
                  <c:v>1.7887720382488443</c:v>
                </c:pt>
                <c:pt idx="26">
                  <c:v>1.8571379197787983</c:v>
                </c:pt>
                <c:pt idx="27">
                  <c:v>1.9252588013087522</c:v>
                </c:pt>
                <c:pt idx="28">
                  <c:v>1.9931346828387058</c:v>
                </c:pt>
                <c:pt idx="29">
                  <c:v>2.0607655643686593</c:v>
                </c:pt>
                <c:pt idx="30">
                  <c:v>2.1281514458986135</c:v>
                </c:pt>
                <c:pt idx="31">
                  <c:v>2.1952923274285672</c:v>
                </c:pt>
                <c:pt idx="32">
                  <c:v>2.2621882089585208</c:v>
                </c:pt>
                <c:pt idx="33">
                  <c:v>2.3288390904884748</c:v>
                </c:pt>
                <c:pt idx="34">
                  <c:v>2.3952449720184288</c:v>
                </c:pt>
                <c:pt idx="35">
                  <c:v>2.4614058535483823</c:v>
                </c:pt>
                <c:pt idx="36">
                  <c:v>2.5273217350783366</c:v>
                </c:pt>
                <c:pt idx="37">
                  <c:v>2.5929926166082899</c:v>
                </c:pt>
                <c:pt idx="38">
                  <c:v>2.6584184981382437</c:v>
                </c:pt>
                <c:pt idx="39">
                  <c:v>2.7235993796681979</c:v>
                </c:pt>
                <c:pt idx="40">
                  <c:v>2.7885352611981515</c:v>
                </c:pt>
                <c:pt idx="41">
                  <c:v>2.8532261427281056</c:v>
                </c:pt>
                <c:pt idx="42">
                  <c:v>2.9176720242580592</c:v>
                </c:pt>
                <c:pt idx="43">
                  <c:v>2.9818729057880131</c:v>
                </c:pt>
                <c:pt idx="44">
                  <c:v>3.045828787317967</c:v>
                </c:pt>
                <c:pt idx="45">
                  <c:v>3.1095396688479209</c:v>
                </c:pt>
                <c:pt idx="46">
                  <c:v>3.1730055503778742</c:v>
                </c:pt>
                <c:pt idx="47">
                  <c:v>3.2362264319078284</c:v>
                </c:pt>
                <c:pt idx="48">
                  <c:v>3.2992023134377821</c:v>
                </c:pt>
                <c:pt idx="49">
                  <c:v>3.3619331949677358</c:v>
                </c:pt>
                <c:pt idx="50">
                  <c:v>3.4244190764976894</c:v>
                </c:pt>
                <c:pt idx="51">
                  <c:v>3.4866599580276429</c:v>
                </c:pt>
                <c:pt idx="52">
                  <c:v>3.5486558395575969</c:v>
                </c:pt>
                <c:pt idx="53">
                  <c:v>3.6104067210875508</c:v>
                </c:pt>
                <c:pt idx="54">
                  <c:v>3.6719126026175051</c:v>
                </c:pt>
                <c:pt idx="55">
                  <c:v>3.7331734841474589</c:v>
                </c:pt>
                <c:pt idx="56">
                  <c:v>3.7941893656774122</c:v>
                </c:pt>
                <c:pt idx="57">
                  <c:v>3.8549602472073659</c:v>
                </c:pt>
                <c:pt idx="58">
                  <c:v>3.9154861287373195</c:v>
                </c:pt>
                <c:pt idx="59">
                  <c:v>3.9757670102672731</c:v>
                </c:pt>
                <c:pt idx="60">
                  <c:v>4.0358028917972275</c:v>
                </c:pt>
                <c:pt idx="61">
                  <c:v>4.095593773327181</c:v>
                </c:pt>
                <c:pt idx="62">
                  <c:v>4.1551396548571349</c:v>
                </c:pt>
                <c:pt idx="63">
                  <c:v>4.2144405363870892</c:v>
                </c:pt>
                <c:pt idx="64">
                  <c:v>4.273496417917042</c:v>
                </c:pt>
                <c:pt idx="65">
                  <c:v>4.3323072994469962</c:v>
                </c:pt>
                <c:pt idx="66">
                  <c:v>4.3908731809769508</c:v>
                </c:pt>
                <c:pt idx="67">
                  <c:v>4.449194062506904</c:v>
                </c:pt>
                <c:pt idx="68">
                  <c:v>4.5072699440368575</c:v>
                </c:pt>
                <c:pt idx="69">
                  <c:v>4.5651008255668115</c:v>
                </c:pt>
                <c:pt idx="70">
                  <c:v>4.622686707096765</c:v>
                </c:pt>
                <c:pt idx="71">
                  <c:v>4.6800275886267197</c:v>
                </c:pt>
                <c:pt idx="72">
                  <c:v>4.7371234701566731</c:v>
                </c:pt>
                <c:pt idx="73">
                  <c:v>4.7939743516866269</c:v>
                </c:pt>
                <c:pt idx="74">
                  <c:v>4.850580233216581</c:v>
                </c:pt>
                <c:pt idx="75">
                  <c:v>4.9069411147465338</c:v>
                </c:pt>
                <c:pt idx="76">
                  <c:v>4.9630569962764879</c:v>
                </c:pt>
                <c:pt idx="77">
                  <c:v>5.0189278778064423</c:v>
                </c:pt>
                <c:pt idx="78">
                  <c:v>5.0745537593363963</c:v>
                </c:pt>
                <c:pt idx="79">
                  <c:v>5.1299346408663498</c:v>
                </c:pt>
                <c:pt idx="80">
                  <c:v>5.1850705223963036</c:v>
                </c:pt>
                <c:pt idx="81">
                  <c:v>5.239961403926257</c:v>
                </c:pt>
                <c:pt idx="82">
                  <c:v>5.2946072854562107</c:v>
                </c:pt>
                <c:pt idx="83">
                  <c:v>5.3490081669861649</c:v>
                </c:pt>
                <c:pt idx="84">
                  <c:v>5.4031640485161185</c:v>
                </c:pt>
                <c:pt idx="85">
                  <c:v>5.4570749300460726</c:v>
                </c:pt>
                <c:pt idx="86">
                  <c:v>5.5107408115760261</c:v>
                </c:pt>
                <c:pt idx="87">
                  <c:v>5.5641616931059801</c:v>
                </c:pt>
                <c:pt idx="88">
                  <c:v>5.6173375746359344</c:v>
                </c:pt>
                <c:pt idx="89">
                  <c:v>5.6702684561658874</c:v>
                </c:pt>
                <c:pt idx="90">
                  <c:v>5.7229543376958416</c:v>
                </c:pt>
                <c:pt idx="91">
                  <c:v>5.7753952192257954</c:v>
                </c:pt>
                <c:pt idx="92">
                  <c:v>5.8275911007557486</c:v>
                </c:pt>
                <c:pt idx="93">
                  <c:v>5.8795419822857022</c:v>
                </c:pt>
                <c:pt idx="94">
                  <c:v>5.9312478638156572</c:v>
                </c:pt>
                <c:pt idx="95">
                  <c:v>5.9827087453456107</c:v>
                </c:pt>
                <c:pt idx="96">
                  <c:v>6.0339246268755637</c:v>
                </c:pt>
                <c:pt idx="97">
                  <c:v>6.0848955084055181</c:v>
                </c:pt>
                <c:pt idx="98">
                  <c:v>6.135621389935471</c:v>
                </c:pt>
                <c:pt idx="99">
                  <c:v>6.1861022714654252</c:v>
                </c:pt>
                <c:pt idx="100">
                  <c:v>6.2363381529953799</c:v>
                </c:pt>
                <c:pt idx="101">
                  <c:v>6.2863290345253331</c:v>
                </c:pt>
                <c:pt idx="102">
                  <c:v>6.3360749160552867</c:v>
                </c:pt>
                <c:pt idx="103">
                  <c:v>6.3855757975852399</c:v>
                </c:pt>
                <c:pt idx="104">
                  <c:v>6.4348316791151943</c:v>
                </c:pt>
                <c:pt idx="105">
                  <c:v>6.4838425606451473</c:v>
                </c:pt>
                <c:pt idx="106">
                  <c:v>6.5326084421751025</c:v>
                </c:pt>
                <c:pt idx="107">
                  <c:v>6.5811293237050563</c:v>
                </c:pt>
                <c:pt idx="108">
                  <c:v>6.6294052052350088</c:v>
                </c:pt>
                <c:pt idx="109">
                  <c:v>6.6774360867649634</c:v>
                </c:pt>
                <c:pt idx="110">
                  <c:v>6.7252219682949175</c:v>
                </c:pt>
                <c:pt idx="111">
                  <c:v>6.7727628498248711</c:v>
                </c:pt>
                <c:pt idx="112">
                  <c:v>6.8200587313548251</c:v>
                </c:pt>
                <c:pt idx="113">
                  <c:v>6.8671096128847786</c:v>
                </c:pt>
                <c:pt idx="114">
                  <c:v>6.9139154944147325</c:v>
                </c:pt>
                <c:pt idx="115">
                  <c:v>6.9604763759446859</c:v>
                </c:pt>
                <c:pt idx="116">
                  <c:v>7.0067922574746397</c:v>
                </c:pt>
                <c:pt idx="117">
                  <c:v>7.0528631390045931</c:v>
                </c:pt>
                <c:pt idx="118">
                  <c:v>7.0986890205345468</c:v>
                </c:pt>
                <c:pt idx="119">
                  <c:v>7.1442699020645009</c:v>
                </c:pt>
                <c:pt idx="120">
                  <c:v>7.1896057835944553</c:v>
                </c:pt>
                <c:pt idx="121">
                  <c:v>7.2346966651244093</c:v>
                </c:pt>
                <c:pt idx="122">
                  <c:v>7.2795425466543628</c:v>
                </c:pt>
                <c:pt idx="123">
                  <c:v>7.3241434281843167</c:v>
                </c:pt>
                <c:pt idx="124">
                  <c:v>7.3684993097142701</c:v>
                </c:pt>
                <c:pt idx="125">
                  <c:v>7.4126101912442239</c:v>
                </c:pt>
                <c:pt idx="126">
                  <c:v>7.4564760727741772</c:v>
                </c:pt>
                <c:pt idx="127">
                  <c:v>7.5000969543041309</c:v>
                </c:pt>
                <c:pt idx="128">
                  <c:v>7.5434728358340841</c:v>
                </c:pt>
                <c:pt idx="129">
                  <c:v>7.5866037173640386</c:v>
                </c:pt>
                <c:pt idx="130">
                  <c:v>7.6294895988939917</c:v>
                </c:pt>
                <c:pt idx="131">
                  <c:v>7.672130480423947</c:v>
                </c:pt>
                <c:pt idx="132">
                  <c:v>7.7145263619539008</c:v>
                </c:pt>
                <c:pt idx="133">
                  <c:v>7.7566772434838542</c:v>
                </c:pt>
                <c:pt idx="134">
                  <c:v>7.798583125013808</c:v>
                </c:pt>
                <c:pt idx="135">
                  <c:v>7.8402440065437613</c:v>
                </c:pt>
                <c:pt idx="136">
                  <c:v>7.881659888073715</c:v>
                </c:pt>
                <c:pt idx="137">
                  <c:v>7.9228307696036691</c:v>
                </c:pt>
                <c:pt idx="138">
                  <c:v>7.9637566511336226</c:v>
                </c:pt>
                <c:pt idx="139">
                  <c:v>8.0044375326635766</c:v>
                </c:pt>
                <c:pt idx="140">
                  <c:v>8.0448734141935301</c:v>
                </c:pt>
                <c:pt idx="141">
                  <c:v>8.085064295723484</c:v>
                </c:pt>
                <c:pt idx="142">
                  <c:v>8.1250101772534364</c:v>
                </c:pt>
                <c:pt idx="143">
                  <c:v>8.1647110587833929</c:v>
                </c:pt>
                <c:pt idx="144">
                  <c:v>8.2041669403133461</c:v>
                </c:pt>
                <c:pt idx="145">
                  <c:v>8.2433778218432998</c:v>
                </c:pt>
                <c:pt idx="146">
                  <c:v>8.2823437033732539</c:v>
                </c:pt>
                <c:pt idx="147">
                  <c:v>8.3210645849032066</c:v>
                </c:pt>
                <c:pt idx="148">
                  <c:v>8.3595404664331596</c:v>
                </c:pt>
                <c:pt idx="149">
                  <c:v>8.3977713479631149</c:v>
                </c:pt>
                <c:pt idx="150">
                  <c:v>8.4357572294930669</c:v>
                </c:pt>
                <c:pt idx="151">
                  <c:v>8.4734981110230212</c:v>
                </c:pt>
                <c:pt idx="152">
                  <c:v>8.5109939925529741</c:v>
                </c:pt>
                <c:pt idx="153">
                  <c:v>8.5482448740829291</c:v>
                </c:pt>
                <c:pt idx="154">
                  <c:v>8.5852507556128845</c:v>
                </c:pt>
                <c:pt idx="155">
                  <c:v>8.6220116371428368</c:v>
                </c:pt>
                <c:pt idx="156">
                  <c:v>8.6585275186727912</c:v>
                </c:pt>
                <c:pt idx="157">
                  <c:v>8.6947984002027443</c:v>
                </c:pt>
                <c:pt idx="158">
                  <c:v>8.7308242817326978</c:v>
                </c:pt>
                <c:pt idx="159">
                  <c:v>8.7666051632626516</c:v>
                </c:pt>
                <c:pt idx="160">
                  <c:v>8.8021410447926058</c:v>
                </c:pt>
                <c:pt idx="161">
                  <c:v>8.8374319263225587</c:v>
                </c:pt>
                <c:pt idx="162">
                  <c:v>8.8724778078525119</c:v>
                </c:pt>
                <c:pt idx="163">
                  <c:v>8.9072786893824656</c:v>
                </c:pt>
                <c:pt idx="164">
                  <c:v>8.9418345709124196</c:v>
                </c:pt>
                <c:pt idx="165">
                  <c:v>8.9761454524423741</c:v>
                </c:pt>
                <c:pt idx="166">
                  <c:v>9.0102113339723289</c:v>
                </c:pt>
                <c:pt idx="167">
                  <c:v>9.0440322155022823</c:v>
                </c:pt>
                <c:pt idx="168">
                  <c:v>9.0776080970322361</c:v>
                </c:pt>
                <c:pt idx="169">
                  <c:v>9.1109389785621886</c:v>
                </c:pt>
                <c:pt idx="170">
                  <c:v>9.1440248600921432</c:v>
                </c:pt>
                <c:pt idx="171">
                  <c:v>9.1768657416220965</c:v>
                </c:pt>
                <c:pt idx="172">
                  <c:v>9.2094616231520501</c:v>
                </c:pt>
                <c:pt idx="173">
                  <c:v>9.2418125046820041</c:v>
                </c:pt>
                <c:pt idx="174">
                  <c:v>9.2739183862119567</c:v>
                </c:pt>
                <c:pt idx="175">
                  <c:v>9.3057792677419116</c:v>
                </c:pt>
                <c:pt idx="176">
                  <c:v>9.337395149271865</c:v>
                </c:pt>
                <c:pt idx="177">
                  <c:v>9.3687660308018206</c:v>
                </c:pt>
                <c:pt idx="178">
                  <c:v>9.399891912331773</c:v>
                </c:pt>
                <c:pt idx="179">
                  <c:v>9.4307727938617276</c:v>
                </c:pt>
                <c:pt idx="180">
                  <c:v>9.4614086753916808</c:v>
                </c:pt>
                <c:pt idx="181">
                  <c:v>9.4917995569216345</c:v>
                </c:pt>
                <c:pt idx="182">
                  <c:v>9.5219454384515885</c:v>
                </c:pt>
                <c:pt idx="183">
                  <c:v>9.5518463199815429</c:v>
                </c:pt>
                <c:pt idx="184">
                  <c:v>9.5815022015114959</c:v>
                </c:pt>
                <c:pt idx="185">
                  <c:v>9.6109130830414493</c:v>
                </c:pt>
                <c:pt idx="186">
                  <c:v>9.6400789645714013</c:v>
                </c:pt>
                <c:pt idx="187">
                  <c:v>9.6689998461013573</c:v>
                </c:pt>
                <c:pt idx="188">
                  <c:v>9.6976757276313101</c:v>
                </c:pt>
                <c:pt idx="189">
                  <c:v>9.7261066091612651</c:v>
                </c:pt>
                <c:pt idx="190">
                  <c:v>9.7542924906912187</c:v>
                </c:pt>
                <c:pt idx="191">
                  <c:v>9.782233372221171</c:v>
                </c:pt>
                <c:pt idx="192">
                  <c:v>9.8099292537511253</c:v>
                </c:pt>
                <c:pt idx="193">
                  <c:v>9.8373801352810801</c:v>
                </c:pt>
                <c:pt idx="194">
                  <c:v>9.8645860168110335</c:v>
                </c:pt>
                <c:pt idx="195">
                  <c:v>9.8915468983409873</c:v>
                </c:pt>
                <c:pt idx="196">
                  <c:v>9.9182627798709397</c:v>
                </c:pt>
                <c:pt idx="197">
                  <c:v>9.9447336614008925</c:v>
                </c:pt>
                <c:pt idx="198">
                  <c:v>9.9709595429308475</c:v>
                </c:pt>
                <c:pt idx="199">
                  <c:v>9.9969404244608011</c:v>
                </c:pt>
                <c:pt idx="200">
                  <c:v>10.022676305990757</c:v>
                </c:pt>
                <c:pt idx="201">
                  <c:v>10.048167187520708</c:v>
                </c:pt>
                <c:pt idx="202">
                  <c:v>10.073413069050662</c:v>
                </c:pt>
                <c:pt idx="203">
                  <c:v>10.098413950580614</c:v>
                </c:pt>
                <c:pt idx="204">
                  <c:v>10.123169832110568</c:v>
                </c:pt>
                <c:pt idx="205">
                  <c:v>10.14768071364052</c:v>
                </c:pt>
                <c:pt idx="206">
                  <c:v>10.171946595170475</c:v>
                </c:pt>
                <c:pt idx="207">
                  <c:v>10.195967476700428</c:v>
                </c:pt>
                <c:pt idx="208">
                  <c:v>10.219743358230382</c:v>
                </c:pt>
                <c:pt idx="209">
                  <c:v>10.243274239760334</c:v>
                </c:pt>
                <c:pt idx="210">
                  <c:v>10.266560121290286</c:v>
                </c:pt>
                <c:pt idx="211">
                  <c:v>10.289601002820241</c:v>
                </c:pt>
                <c:pt idx="212">
                  <c:v>10.312396884350193</c:v>
                </c:pt>
                <c:pt idx="213">
                  <c:v>10.334947765880148</c:v>
                </c:pt>
                <c:pt idx="214">
                  <c:v>10.357253647410101</c:v>
                </c:pt>
                <c:pt idx="215">
                  <c:v>10.379314528940053</c:v>
                </c:pt>
                <c:pt idx="216">
                  <c:v>10.401130410470007</c:v>
                </c:pt>
                <c:pt idx="217">
                  <c:v>10.422701291999962</c:v>
                </c:pt>
                <c:pt idx="218">
                  <c:v>10.444027173529914</c:v>
                </c:pt>
                <c:pt idx="219">
                  <c:v>10.465108055059869</c:v>
                </c:pt>
                <c:pt idx="220">
                  <c:v>10.48594393658982</c:v>
                </c:pt>
                <c:pt idx="221">
                  <c:v>10.506534818119775</c:v>
                </c:pt>
                <c:pt idx="222">
                  <c:v>10.526880699649727</c:v>
                </c:pt>
                <c:pt idx="223">
                  <c:v>10.546981581179679</c:v>
                </c:pt>
                <c:pt idx="224">
                  <c:v>10.566837462709636</c:v>
                </c:pt>
                <c:pt idx="225">
                  <c:v>10.586448344239587</c:v>
                </c:pt>
                <c:pt idx="226">
                  <c:v>10.605814225769542</c:v>
                </c:pt>
                <c:pt idx="227">
                  <c:v>10.624935107299493</c:v>
                </c:pt>
                <c:pt idx="228">
                  <c:v>10.643810988829447</c:v>
                </c:pt>
                <c:pt idx="229">
                  <c:v>10.662441870359402</c:v>
                </c:pt>
                <c:pt idx="230">
                  <c:v>10.680827751889353</c:v>
                </c:pt>
                <c:pt idx="231">
                  <c:v>10.698968633419309</c:v>
                </c:pt>
                <c:pt idx="232">
                  <c:v>10.716864514949261</c:v>
                </c:pt>
                <c:pt idx="233">
                  <c:v>10.734515396479216</c:v>
                </c:pt>
                <c:pt idx="234">
                  <c:v>10.751921278009167</c:v>
                </c:pt>
                <c:pt idx="235">
                  <c:v>10.769082159539122</c:v>
                </c:pt>
                <c:pt idx="236">
                  <c:v>10.785998041069078</c:v>
                </c:pt>
                <c:pt idx="237">
                  <c:v>10.802668922599029</c:v>
                </c:pt>
                <c:pt idx="238">
                  <c:v>10.819094804128984</c:v>
                </c:pt>
                <c:pt idx="239">
                  <c:v>10.835275685658935</c:v>
                </c:pt>
                <c:pt idx="240">
                  <c:v>10.851211567188891</c:v>
                </c:pt>
                <c:pt idx="241">
                  <c:v>10.866902448718843</c:v>
                </c:pt>
                <c:pt idx="242">
                  <c:v>10.882348330248796</c:v>
                </c:pt>
                <c:pt idx="243">
                  <c:v>10.897549211778752</c:v>
                </c:pt>
                <c:pt idx="244">
                  <c:v>10.912505093308704</c:v>
                </c:pt>
                <c:pt idx="245">
                  <c:v>10.92721597483866</c:v>
                </c:pt>
                <c:pt idx="246">
                  <c:v>10.941681856368611</c:v>
                </c:pt>
                <c:pt idx="247">
                  <c:v>10.955902737898565</c:v>
                </c:pt>
                <c:pt idx="248">
                  <c:v>10.96987861942852</c:v>
                </c:pt>
                <c:pt idx="249">
                  <c:v>10.983609500958472</c:v>
                </c:pt>
                <c:pt idx="250">
                  <c:v>10.997095382488428</c:v>
                </c:pt>
                <c:pt idx="251">
                  <c:v>11.010336264018379</c:v>
                </c:pt>
                <c:pt idx="252">
                  <c:v>11.023332145548334</c:v>
                </c:pt>
                <c:pt idx="253">
                  <c:v>11.036083027078288</c:v>
                </c:pt>
                <c:pt idx="254">
                  <c:v>11.048588908608242</c:v>
                </c:pt>
                <c:pt idx="255">
                  <c:v>11.060849790138196</c:v>
                </c:pt>
                <c:pt idx="256">
                  <c:v>11.072865671668149</c:v>
                </c:pt>
                <c:pt idx="257">
                  <c:v>11.084636553198104</c:v>
                </c:pt>
                <c:pt idx="258">
                  <c:v>11.096162434728056</c:v>
                </c:pt>
                <c:pt idx="259">
                  <c:v>11.107443316258012</c:v>
                </c:pt>
                <c:pt idx="260">
                  <c:v>11.118479197787963</c:v>
                </c:pt>
                <c:pt idx="261">
                  <c:v>11.129270079317919</c:v>
                </c:pt>
                <c:pt idx="262">
                  <c:v>11.139815960847873</c:v>
                </c:pt>
                <c:pt idx="263">
                  <c:v>11.150116842377825</c:v>
                </c:pt>
                <c:pt idx="264">
                  <c:v>11.160172723907781</c:v>
                </c:pt>
                <c:pt idx="265">
                  <c:v>11.169983605437732</c:v>
                </c:pt>
                <c:pt idx="266">
                  <c:v>11.179549486967687</c:v>
                </c:pt>
                <c:pt idx="267">
                  <c:v>11.188870368497639</c:v>
                </c:pt>
                <c:pt idx="268">
                  <c:v>11.197946250027595</c:v>
                </c:pt>
                <c:pt idx="269">
                  <c:v>11.20677713155755</c:v>
                </c:pt>
                <c:pt idx="270">
                  <c:v>11.215363013087503</c:v>
                </c:pt>
                <c:pt idx="271">
                  <c:v>11.223703894617458</c:v>
                </c:pt>
                <c:pt idx="272">
                  <c:v>11.231799776147408</c:v>
                </c:pt>
                <c:pt idx="273">
                  <c:v>11.239650657677364</c:v>
                </c:pt>
                <c:pt idx="274">
                  <c:v>11.247256539207321</c:v>
                </c:pt>
                <c:pt idx="275">
                  <c:v>11.254617420737272</c:v>
                </c:pt>
                <c:pt idx="276">
                  <c:v>11.261733302267228</c:v>
                </c:pt>
                <c:pt idx="277">
                  <c:v>11.26860418379718</c:v>
                </c:pt>
                <c:pt idx="278">
                  <c:v>11.275230065327134</c:v>
                </c:pt>
                <c:pt idx="279">
                  <c:v>11.281610946857088</c:v>
                </c:pt>
                <c:pt idx="280">
                  <c:v>11.287746828387043</c:v>
                </c:pt>
                <c:pt idx="281">
                  <c:v>11.293637709916998</c:v>
                </c:pt>
                <c:pt idx="282">
                  <c:v>11.299283591446949</c:v>
                </c:pt>
                <c:pt idx="283">
                  <c:v>11.304684472976904</c:v>
                </c:pt>
                <c:pt idx="284">
                  <c:v>11.309840354506857</c:v>
                </c:pt>
                <c:pt idx="285">
                  <c:v>11.314751236036813</c:v>
                </c:pt>
                <c:pt idx="286">
                  <c:v>11.319417117566765</c:v>
                </c:pt>
                <c:pt idx="287">
                  <c:v>11.323837999096721</c:v>
                </c:pt>
                <c:pt idx="288">
                  <c:v>11.328013880626676</c:v>
                </c:pt>
                <c:pt idx="289">
                  <c:v>11.331944762156628</c:v>
                </c:pt>
                <c:pt idx="290">
                  <c:v>11.335630643686583</c:v>
                </c:pt>
                <c:pt idx="291">
                  <c:v>11.339071525216536</c:v>
                </c:pt>
                <c:pt idx="292">
                  <c:v>11.34226740674649</c:v>
                </c:pt>
                <c:pt idx="293">
                  <c:v>11.345218288276445</c:v>
                </c:pt>
                <c:pt idx="294">
                  <c:v>11.347924169806401</c:v>
                </c:pt>
                <c:pt idx="295">
                  <c:v>11.350385051336355</c:v>
                </c:pt>
                <c:pt idx="296">
                  <c:v>11.352600932866308</c:v>
                </c:pt>
                <c:pt idx="297">
                  <c:v>11.354571814396264</c:v>
                </c:pt>
                <c:pt idx="298">
                  <c:v>11.356297695926216</c:v>
                </c:pt>
                <c:pt idx="299">
                  <c:v>11.35777857745617</c:v>
                </c:pt>
                <c:pt idx="300">
                  <c:v>11.359014458986127</c:v>
                </c:pt>
                <c:pt idx="301">
                  <c:v>11.36000534051608</c:v>
                </c:pt>
                <c:pt idx="302">
                  <c:v>11.360751222046034</c:v>
                </c:pt>
                <c:pt idx="303">
                  <c:v>11.361252103575987</c:v>
                </c:pt>
                <c:pt idx="304">
                  <c:v>11.361507985105941</c:v>
                </c:pt>
                <c:pt idx="305">
                  <c:v>11.361518866635894</c:v>
                </c:pt>
                <c:pt idx="306">
                  <c:v>11.361284748165851</c:v>
                </c:pt>
                <c:pt idx="307">
                  <c:v>11.360805629695808</c:v>
                </c:pt>
                <c:pt idx="308">
                  <c:v>11.360081511225758</c:v>
                </c:pt>
                <c:pt idx="309">
                  <c:v>11.359112392755714</c:v>
                </c:pt>
                <c:pt idx="310">
                  <c:v>11.357898274285667</c:v>
                </c:pt>
                <c:pt idx="311">
                  <c:v>11.356439155815622</c:v>
                </c:pt>
                <c:pt idx="312">
                  <c:v>11.354735037345575</c:v>
                </c:pt>
                <c:pt idx="313">
                  <c:v>11.352785918875531</c:v>
                </c:pt>
                <c:pt idx="314">
                  <c:v>11.350591800405486</c:v>
                </c:pt>
                <c:pt idx="315">
                  <c:v>11.348152681935439</c:v>
                </c:pt>
                <c:pt idx="316">
                  <c:v>11.345468563465394</c:v>
                </c:pt>
                <c:pt idx="317">
                  <c:v>11.342539444995346</c:v>
                </c:pt>
                <c:pt idx="318">
                  <c:v>11.339365326525304</c:v>
                </c:pt>
                <c:pt idx="319">
                  <c:v>11.335946208055255</c:v>
                </c:pt>
                <c:pt idx="320">
                  <c:v>11.33228208958521</c:v>
                </c:pt>
                <c:pt idx="321">
                  <c:v>11.328372971115167</c:v>
                </c:pt>
                <c:pt idx="322">
                  <c:v>11.324218852645119</c:v>
                </c:pt>
                <c:pt idx="323">
                  <c:v>11.319819734175077</c:v>
                </c:pt>
                <c:pt idx="324">
                  <c:v>11.315175615705028</c:v>
                </c:pt>
                <c:pt idx="325">
                  <c:v>11.310286497234985</c:v>
                </c:pt>
                <c:pt idx="326">
                  <c:v>11.305152378764939</c:v>
                </c:pt>
                <c:pt idx="327">
                  <c:v>11.299773260294893</c:v>
                </c:pt>
                <c:pt idx="328">
                  <c:v>11.294149141824848</c:v>
                </c:pt>
                <c:pt idx="329">
                  <c:v>11.288280023354801</c:v>
                </c:pt>
                <c:pt idx="330">
                  <c:v>11.282165904884756</c:v>
                </c:pt>
                <c:pt idx="331">
                  <c:v>11.27580678641471</c:v>
                </c:pt>
                <c:pt idx="332">
                  <c:v>11.269202667944665</c:v>
                </c:pt>
                <c:pt idx="333">
                  <c:v>11.262353549474621</c:v>
                </c:pt>
                <c:pt idx="334">
                  <c:v>11.255259431004573</c:v>
                </c:pt>
                <c:pt idx="335">
                  <c:v>11.24792031253453</c:v>
                </c:pt>
                <c:pt idx="336">
                  <c:v>11.240336194064483</c:v>
                </c:pt>
                <c:pt idx="337">
                  <c:v>11.232507075594437</c:v>
                </c:pt>
                <c:pt idx="338">
                  <c:v>11.224432957124391</c:v>
                </c:pt>
                <c:pt idx="339">
                  <c:v>11.216113838654346</c:v>
                </c:pt>
                <c:pt idx="340">
                  <c:v>11.207549720184302</c:v>
                </c:pt>
                <c:pt idx="341">
                  <c:v>11.198740601714256</c:v>
                </c:pt>
                <c:pt idx="342">
                  <c:v>11.189686483244213</c:v>
                </c:pt>
                <c:pt idx="343">
                  <c:v>11.180387364774164</c:v>
                </c:pt>
                <c:pt idx="344">
                  <c:v>11.170843246304122</c:v>
                </c:pt>
                <c:pt idx="345">
                  <c:v>11.161054127834078</c:v>
                </c:pt>
                <c:pt idx="346">
                  <c:v>11.151020009364029</c:v>
                </c:pt>
                <c:pt idx="347">
                  <c:v>11.140740890893987</c:v>
                </c:pt>
                <c:pt idx="348">
                  <c:v>11.130216772423939</c:v>
                </c:pt>
                <c:pt idx="349">
                  <c:v>11.119447653953895</c:v>
                </c:pt>
                <c:pt idx="350">
                  <c:v>11.108433535483847</c:v>
                </c:pt>
                <c:pt idx="351">
                  <c:v>11.097174417013804</c:v>
                </c:pt>
                <c:pt idx="352">
                  <c:v>11.085670298543761</c:v>
                </c:pt>
                <c:pt idx="353">
                  <c:v>11.073921180073713</c:v>
                </c:pt>
                <c:pt idx="354">
                  <c:v>11.061927061603669</c:v>
                </c:pt>
                <c:pt idx="355">
                  <c:v>11.049687943133621</c:v>
                </c:pt>
                <c:pt idx="356">
                  <c:v>11.037203824663578</c:v>
                </c:pt>
                <c:pt idx="357">
                  <c:v>11.024474706193532</c:v>
                </c:pt>
                <c:pt idx="358">
                  <c:v>11.011500587723486</c:v>
                </c:pt>
                <c:pt idx="359">
                  <c:v>10.998281469253442</c:v>
                </c:pt>
                <c:pt idx="360">
                  <c:v>10.984817350783395</c:v>
                </c:pt>
                <c:pt idx="361">
                  <c:v>10.971108232313352</c:v>
                </c:pt>
                <c:pt idx="362">
                  <c:v>10.957154113843306</c:v>
                </c:pt>
                <c:pt idx="363">
                  <c:v>10.94295499537326</c:v>
                </c:pt>
                <c:pt idx="364">
                  <c:v>10.928510876903214</c:v>
                </c:pt>
                <c:pt idx="365">
                  <c:v>10.913821758433173</c:v>
                </c:pt>
                <c:pt idx="366">
                  <c:v>10.898887639963128</c:v>
                </c:pt>
                <c:pt idx="367">
                  <c:v>10.88370852149308</c:v>
                </c:pt>
                <c:pt idx="368">
                  <c:v>10.868284403023036</c:v>
                </c:pt>
                <c:pt idx="369">
                  <c:v>10.852615284552989</c:v>
                </c:pt>
                <c:pt idx="370">
                  <c:v>10.836701166082946</c:v>
                </c:pt>
                <c:pt idx="371">
                  <c:v>10.820542047612904</c:v>
                </c:pt>
                <c:pt idx="372">
                  <c:v>10.804137929142854</c:v>
                </c:pt>
                <c:pt idx="373">
                  <c:v>10.787488810672812</c:v>
                </c:pt>
                <c:pt idx="374">
                  <c:v>10.770594692202764</c:v>
                </c:pt>
                <c:pt idx="375">
                  <c:v>10.753455573732722</c:v>
                </c:pt>
                <c:pt idx="376">
                  <c:v>10.736071455262675</c:v>
                </c:pt>
                <c:pt idx="377">
                  <c:v>10.718442336792631</c:v>
                </c:pt>
                <c:pt idx="378">
                  <c:v>10.700568218322587</c:v>
                </c:pt>
                <c:pt idx="379">
                  <c:v>10.682449099852541</c:v>
                </c:pt>
                <c:pt idx="380">
                  <c:v>10.664084981382498</c:v>
                </c:pt>
                <c:pt idx="381">
                  <c:v>10.645475862912452</c:v>
                </c:pt>
                <c:pt idx="382">
                  <c:v>10.626621744442406</c:v>
                </c:pt>
                <c:pt idx="383">
                  <c:v>10.607522625972361</c:v>
                </c:pt>
                <c:pt idx="384">
                  <c:v>10.588178507502317</c:v>
                </c:pt>
                <c:pt idx="385">
                  <c:v>10.568589389032272</c:v>
                </c:pt>
                <c:pt idx="386">
                  <c:v>10.548755270562225</c:v>
                </c:pt>
                <c:pt idx="387">
                  <c:v>10.528676152092181</c:v>
                </c:pt>
                <c:pt idx="388">
                  <c:v>10.508352033622135</c:v>
                </c:pt>
                <c:pt idx="389">
                  <c:v>10.487782915152092</c:v>
                </c:pt>
                <c:pt idx="390">
                  <c:v>10.466968796682043</c:v>
                </c:pt>
                <c:pt idx="391">
                  <c:v>10.445909678212001</c:v>
                </c:pt>
                <c:pt idx="392">
                  <c:v>10.424605559741959</c:v>
                </c:pt>
                <c:pt idx="393">
                  <c:v>10.403056441271911</c:v>
                </c:pt>
                <c:pt idx="394">
                  <c:v>10.38126232280187</c:v>
                </c:pt>
                <c:pt idx="395">
                  <c:v>10.359223204331819</c:v>
                </c:pt>
                <c:pt idx="396">
                  <c:v>10.336939085861779</c:v>
                </c:pt>
                <c:pt idx="397">
                  <c:v>10.314409967391732</c:v>
                </c:pt>
                <c:pt idx="398">
                  <c:v>10.29163584892169</c:v>
                </c:pt>
                <c:pt idx="399">
                  <c:v>10.268616730451644</c:v>
                </c:pt>
                <c:pt idx="400">
                  <c:v>10.245352611981598</c:v>
                </c:pt>
                <c:pt idx="401">
                  <c:v>10.221843493511553</c:v>
                </c:pt>
                <c:pt idx="402">
                  <c:v>10.198089375041505</c:v>
                </c:pt>
                <c:pt idx="403">
                  <c:v>10.174090256571464</c:v>
                </c:pt>
                <c:pt idx="404">
                  <c:v>10.14984613810142</c:v>
                </c:pt>
                <c:pt idx="405">
                  <c:v>10.125357019631377</c:v>
                </c:pt>
                <c:pt idx="406">
                  <c:v>10.10062290116133</c:v>
                </c:pt>
                <c:pt idx="407">
                  <c:v>10.075643782691284</c:v>
                </c:pt>
                <c:pt idx="408">
                  <c:v>10.050419664221241</c:v>
                </c:pt>
                <c:pt idx="409">
                  <c:v>10.024950545751196</c:v>
                </c:pt>
                <c:pt idx="410">
                  <c:v>9.9992364272811507</c:v>
                </c:pt>
                <c:pt idx="411">
                  <c:v>9.9732773088111095</c:v>
                </c:pt>
                <c:pt idx="412">
                  <c:v>9.9470731903410581</c:v>
                </c:pt>
                <c:pt idx="413">
                  <c:v>9.9206240718710177</c:v>
                </c:pt>
                <c:pt idx="414">
                  <c:v>9.8939299534009741</c:v>
                </c:pt>
                <c:pt idx="415">
                  <c:v>9.8669908349309274</c:v>
                </c:pt>
                <c:pt idx="416">
                  <c:v>9.8398067164608811</c:v>
                </c:pt>
                <c:pt idx="417">
                  <c:v>9.8123775979908388</c:v>
                </c:pt>
                <c:pt idx="418">
                  <c:v>9.7847034795207932</c:v>
                </c:pt>
                <c:pt idx="419">
                  <c:v>9.7567843610507481</c:v>
                </c:pt>
                <c:pt idx="420">
                  <c:v>9.7286202425807069</c:v>
                </c:pt>
                <c:pt idx="421">
                  <c:v>9.700211124110659</c:v>
                </c:pt>
                <c:pt idx="422">
                  <c:v>9.6715570056406186</c:v>
                </c:pt>
                <c:pt idx="423">
                  <c:v>9.6426578871705679</c:v>
                </c:pt>
                <c:pt idx="424">
                  <c:v>9.6135137687005248</c:v>
                </c:pt>
                <c:pt idx="425">
                  <c:v>9.584124650230482</c:v>
                </c:pt>
                <c:pt idx="426">
                  <c:v>9.5544905317604361</c:v>
                </c:pt>
                <c:pt idx="427">
                  <c:v>9.5246114132903941</c:v>
                </c:pt>
                <c:pt idx="428">
                  <c:v>9.4944872948203489</c:v>
                </c:pt>
                <c:pt idx="429">
                  <c:v>9.4641181763503042</c:v>
                </c:pt>
                <c:pt idx="430">
                  <c:v>9.4335040578802634</c:v>
                </c:pt>
                <c:pt idx="431">
                  <c:v>9.4026449394102158</c:v>
                </c:pt>
                <c:pt idx="432">
                  <c:v>9.3715408209401687</c:v>
                </c:pt>
                <c:pt idx="433">
                  <c:v>9.3401917024701291</c:v>
                </c:pt>
                <c:pt idx="434">
                  <c:v>9.3085975840000827</c:v>
                </c:pt>
                <c:pt idx="435">
                  <c:v>9.2767584655300368</c:v>
                </c:pt>
                <c:pt idx="436">
                  <c:v>9.2446743470599912</c:v>
                </c:pt>
                <c:pt idx="437">
                  <c:v>9.2123452285899496</c:v>
                </c:pt>
                <c:pt idx="438">
                  <c:v>9.1797711101199049</c:v>
                </c:pt>
                <c:pt idx="439">
                  <c:v>9.146951991649857</c:v>
                </c:pt>
                <c:pt idx="440">
                  <c:v>9.1138878731798165</c:v>
                </c:pt>
                <c:pt idx="441">
                  <c:v>9.0805787547097729</c:v>
                </c:pt>
                <c:pt idx="442">
                  <c:v>9.0470246362397262</c:v>
                </c:pt>
                <c:pt idx="443">
                  <c:v>9.0132255177696869</c:v>
                </c:pt>
                <c:pt idx="444">
                  <c:v>8.9791813992996374</c:v>
                </c:pt>
                <c:pt idx="445">
                  <c:v>8.9448922808295954</c:v>
                </c:pt>
                <c:pt idx="446">
                  <c:v>8.9103581623595467</c:v>
                </c:pt>
                <c:pt idx="447">
                  <c:v>8.875579043889509</c:v>
                </c:pt>
                <c:pt idx="448">
                  <c:v>8.8405549254194646</c:v>
                </c:pt>
                <c:pt idx="449">
                  <c:v>8.8052858069494171</c:v>
                </c:pt>
                <c:pt idx="450">
                  <c:v>8.7697716884793735</c:v>
                </c:pt>
                <c:pt idx="451">
                  <c:v>8.7340125700093303</c:v>
                </c:pt>
                <c:pt idx="452">
                  <c:v>8.6980084515392839</c:v>
                </c:pt>
                <c:pt idx="453">
                  <c:v>8.661759333069238</c:v>
                </c:pt>
                <c:pt idx="454">
                  <c:v>8.6252652145991995</c:v>
                </c:pt>
                <c:pt idx="455">
                  <c:v>8.5885260961291543</c:v>
                </c:pt>
                <c:pt idx="456">
                  <c:v>8.551541977659106</c:v>
                </c:pt>
                <c:pt idx="457">
                  <c:v>8.5143128591890687</c:v>
                </c:pt>
                <c:pt idx="458">
                  <c:v>8.4768387407190211</c:v>
                </c:pt>
                <c:pt idx="459">
                  <c:v>8.4391196222489739</c:v>
                </c:pt>
                <c:pt idx="460">
                  <c:v>8.4011555037789307</c:v>
                </c:pt>
                <c:pt idx="461">
                  <c:v>8.3629463853088879</c:v>
                </c:pt>
                <c:pt idx="462">
                  <c:v>8.3244922668388455</c:v>
                </c:pt>
                <c:pt idx="463">
                  <c:v>8.2857931483687963</c:v>
                </c:pt>
                <c:pt idx="464">
                  <c:v>8.2468490298987582</c:v>
                </c:pt>
                <c:pt idx="465">
                  <c:v>8.2076599114287134</c:v>
                </c:pt>
                <c:pt idx="466">
                  <c:v>8.168225792958669</c:v>
                </c:pt>
                <c:pt idx="467">
                  <c:v>8.1285466744886179</c:v>
                </c:pt>
                <c:pt idx="468">
                  <c:v>8.0886225560185814</c:v>
                </c:pt>
                <c:pt idx="469">
                  <c:v>8.0484534375485346</c:v>
                </c:pt>
                <c:pt idx="470">
                  <c:v>8.0080393190784918</c:v>
                </c:pt>
                <c:pt idx="471">
                  <c:v>7.9673802006084529</c:v>
                </c:pt>
                <c:pt idx="472">
                  <c:v>7.9264760821384037</c:v>
                </c:pt>
                <c:pt idx="473">
                  <c:v>7.8853269636683585</c:v>
                </c:pt>
                <c:pt idx="474">
                  <c:v>7.8439328451983101</c:v>
                </c:pt>
                <c:pt idx="475">
                  <c:v>7.8022937267282728</c:v>
                </c:pt>
                <c:pt idx="476">
                  <c:v>7.7604096082582288</c:v>
                </c:pt>
                <c:pt idx="477">
                  <c:v>7.7182804897881816</c:v>
                </c:pt>
                <c:pt idx="478">
                  <c:v>7.6759063713181419</c:v>
                </c:pt>
                <c:pt idx="479">
                  <c:v>7.6332872528480955</c:v>
                </c:pt>
                <c:pt idx="480">
                  <c:v>7.5904231343780495</c:v>
                </c:pt>
                <c:pt idx="481">
                  <c:v>7.5473140159080039</c:v>
                </c:pt>
                <c:pt idx="482">
                  <c:v>7.5039598974379658</c:v>
                </c:pt>
                <c:pt idx="483">
                  <c:v>7.4603607789679174</c:v>
                </c:pt>
                <c:pt idx="484">
                  <c:v>7.4165166604978729</c:v>
                </c:pt>
                <c:pt idx="485">
                  <c:v>7.3724275420278325</c:v>
                </c:pt>
                <c:pt idx="486">
                  <c:v>7.3280934235577853</c:v>
                </c:pt>
                <c:pt idx="487">
                  <c:v>7.2835143050877456</c:v>
                </c:pt>
                <c:pt idx="488">
                  <c:v>7.2386901866176991</c:v>
                </c:pt>
                <c:pt idx="489">
                  <c:v>7.1936210681476567</c:v>
                </c:pt>
                <c:pt idx="490">
                  <c:v>7.148306949677611</c:v>
                </c:pt>
                <c:pt idx="491">
                  <c:v>7.1027478312075694</c:v>
                </c:pt>
                <c:pt idx="492">
                  <c:v>7.0569437127375281</c:v>
                </c:pt>
                <c:pt idx="493">
                  <c:v>7.0108945942674801</c:v>
                </c:pt>
                <c:pt idx="494">
                  <c:v>6.9646004757974396</c:v>
                </c:pt>
                <c:pt idx="495">
                  <c:v>6.9180613573273995</c:v>
                </c:pt>
                <c:pt idx="496">
                  <c:v>6.8712772388573526</c:v>
                </c:pt>
                <c:pt idx="497">
                  <c:v>6.8242481203873027</c:v>
                </c:pt>
                <c:pt idx="498">
                  <c:v>6.7769740019172602</c:v>
                </c:pt>
                <c:pt idx="499">
                  <c:v>6.7294548834472216</c:v>
                </c:pt>
                <c:pt idx="500">
                  <c:v>6.6816907649771764</c:v>
                </c:pt>
                <c:pt idx="501">
                  <c:v>6.633681646507128</c:v>
                </c:pt>
                <c:pt idx="502">
                  <c:v>6.5854275280370906</c:v>
                </c:pt>
                <c:pt idx="503">
                  <c:v>6.536928409567043</c:v>
                </c:pt>
                <c:pt idx="504">
                  <c:v>6.4881842910969993</c:v>
                </c:pt>
                <c:pt idx="505">
                  <c:v>6.4391951726269525</c:v>
                </c:pt>
                <c:pt idx="506">
                  <c:v>6.3899610541569167</c:v>
                </c:pt>
                <c:pt idx="507">
                  <c:v>6.3404819356868671</c:v>
                </c:pt>
                <c:pt idx="508">
                  <c:v>6.290757817216825</c:v>
                </c:pt>
                <c:pt idx="509">
                  <c:v>6.2407886987467869</c:v>
                </c:pt>
                <c:pt idx="510">
                  <c:v>6.1905745802767385</c:v>
                </c:pt>
                <c:pt idx="511">
                  <c:v>6.140115461806694</c:v>
                </c:pt>
                <c:pt idx="512">
                  <c:v>6.0894113433366499</c:v>
                </c:pt>
                <c:pt idx="513">
                  <c:v>6.0384622248666133</c:v>
                </c:pt>
                <c:pt idx="514">
                  <c:v>5.9872681063965629</c:v>
                </c:pt>
                <c:pt idx="515">
                  <c:v>5.93582898792652</c:v>
                </c:pt>
                <c:pt idx="516">
                  <c:v>5.8841448694564775</c:v>
                </c:pt>
                <c:pt idx="517">
                  <c:v>5.8322157509864354</c:v>
                </c:pt>
                <c:pt idx="518">
                  <c:v>5.7800416325163866</c:v>
                </c:pt>
                <c:pt idx="519">
                  <c:v>5.7276225140463453</c:v>
                </c:pt>
                <c:pt idx="520">
                  <c:v>5.6749583955763043</c:v>
                </c:pt>
                <c:pt idx="521">
                  <c:v>5.6220492771062567</c:v>
                </c:pt>
                <c:pt idx="522">
                  <c:v>5.5688951586362165</c:v>
                </c:pt>
                <c:pt idx="523">
                  <c:v>5.5154960401661768</c:v>
                </c:pt>
                <c:pt idx="524">
                  <c:v>5.4618519216961303</c:v>
                </c:pt>
                <c:pt idx="525">
                  <c:v>5.4079628032260842</c:v>
                </c:pt>
                <c:pt idx="526">
                  <c:v>5.3538286847560386</c:v>
                </c:pt>
                <c:pt idx="527">
                  <c:v>5.2994495662860004</c:v>
                </c:pt>
                <c:pt idx="528">
                  <c:v>5.2448254478159555</c:v>
                </c:pt>
                <c:pt idx="529">
                  <c:v>5.189956329345911</c:v>
                </c:pt>
                <c:pt idx="530">
                  <c:v>5.134842210875874</c:v>
                </c:pt>
                <c:pt idx="531">
                  <c:v>5.0794830924058232</c:v>
                </c:pt>
                <c:pt idx="532">
                  <c:v>5.0238789739357799</c:v>
                </c:pt>
                <c:pt idx="533">
                  <c:v>4.9680298554657298</c:v>
                </c:pt>
                <c:pt idx="534">
                  <c:v>4.9119357369956944</c:v>
                </c:pt>
                <c:pt idx="535">
                  <c:v>4.8555966185256523</c:v>
                </c:pt>
                <c:pt idx="536">
                  <c:v>4.7990125000556034</c:v>
                </c:pt>
                <c:pt idx="537">
                  <c:v>4.7421833815855692</c:v>
                </c:pt>
                <c:pt idx="538">
                  <c:v>4.6851092631155211</c:v>
                </c:pt>
                <c:pt idx="539">
                  <c:v>4.6277901446454806</c:v>
                </c:pt>
                <c:pt idx="540">
                  <c:v>4.5702260261754404</c:v>
                </c:pt>
                <c:pt idx="541">
                  <c:v>4.5124169077053935</c:v>
                </c:pt>
                <c:pt idx="542">
                  <c:v>4.454362789235347</c:v>
                </c:pt>
                <c:pt idx="543">
                  <c:v>4.3960636707653009</c:v>
                </c:pt>
                <c:pt idx="544">
                  <c:v>4.3375195522952694</c:v>
                </c:pt>
                <c:pt idx="545">
                  <c:v>4.278730433825217</c:v>
                </c:pt>
                <c:pt idx="546">
                  <c:v>4.2196963153551721</c:v>
                </c:pt>
                <c:pt idx="547">
                  <c:v>4.1604171968851347</c:v>
                </c:pt>
                <c:pt idx="548">
                  <c:v>4.1008930784150905</c:v>
                </c:pt>
                <c:pt idx="549">
                  <c:v>4.0411239599450468</c:v>
                </c:pt>
                <c:pt idx="550">
                  <c:v>3.9811098414750035</c:v>
                </c:pt>
                <c:pt idx="551">
                  <c:v>3.9208507230049605</c:v>
                </c:pt>
                <c:pt idx="552">
                  <c:v>3.860346604534918</c:v>
                </c:pt>
                <c:pt idx="553">
                  <c:v>3.7995974860648758</c:v>
                </c:pt>
                <c:pt idx="554">
                  <c:v>3.738603367594834</c:v>
                </c:pt>
                <c:pt idx="555">
                  <c:v>3.6773642491247855</c:v>
                </c:pt>
                <c:pt idx="556">
                  <c:v>3.6158801306547446</c:v>
                </c:pt>
                <c:pt idx="557">
                  <c:v>3.5541510121846969</c:v>
                </c:pt>
                <c:pt idx="558">
                  <c:v>3.4921768937146638</c:v>
                </c:pt>
                <c:pt idx="559">
                  <c:v>3.4299577752446098</c:v>
                </c:pt>
                <c:pt idx="560">
                  <c:v>3.3674936567745704</c:v>
                </c:pt>
                <c:pt idx="561">
                  <c:v>3.3047845383045313</c:v>
                </c:pt>
                <c:pt idx="562">
                  <c:v>3.2418304198344856</c:v>
                </c:pt>
                <c:pt idx="563">
                  <c:v>3.1786313013644403</c:v>
                </c:pt>
                <c:pt idx="564">
                  <c:v>3.1151871828943953</c:v>
                </c:pt>
                <c:pt idx="565">
                  <c:v>3.0514980644243579</c:v>
                </c:pt>
                <c:pt idx="566">
                  <c:v>2.9875639459543137</c:v>
                </c:pt>
                <c:pt idx="567">
                  <c:v>2.92338482748427</c:v>
                </c:pt>
                <c:pt idx="568">
                  <c:v>2.8589607090142337</c:v>
                </c:pt>
                <c:pt idx="569">
                  <c:v>2.7942915905441836</c:v>
                </c:pt>
                <c:pt idx="570">
                  <c:v>2.7293774720741411</c:v>
                </c:pt>
                <c:pt idx="571">
                  <c:v>2.6642183536040989</c:v>
                </c:pt>
                <c:pt idx="572">
                  <c:v>2.5988142351340571</c:v>
                </c:pt>
                <c:pt idx="573">
                  <c:v>2.5331651166640157</c:v>
                </c:pt>
                <c:pt idx="574">
                  <c:v>2.4672709981939676</c:v>
                </c:pt>
                <c:pt idx="575">
                  <c:v>2.4011318797239269</c:v>
                </c:pt>
                <c:pt idx="576">
                  <c:v>2.3347477612538867</c:v>
                </c:pt>
                <c:pt idx="577">
                  <c:v>2.2681186427838398</c:v>
                </c:pt>
                <c:pt idx="578">
                  <c:v>2.2012445243137932</c:v>
                </c:pt>
                <c:pt idx="579">
                  <c:v>2.1341254058437542</c:v>
                </c:pt>
                <c:pt idx="580">
                  <c:v>2.0667612873737085</c:v>
                </c:pt>
                <c:pt idx="581">
                  <c:v>1.9991521689036631</c:v>
                </c:pt>
                <c:pt idx="582">
                  <c:v>1.9312980504336252</c:v>
                </c:pt>
                <c:pt idx="583">
                  <c:v>1.8631989319635807</c:v>
                </c:pt>
                <c:pt idx="584">
                  <c:v>1.7948548134935365</c:v>
                </c:pt>
                <c:pt idx="585">
                  <c:v>1.7262656950234998</c:v>
                </c:pt>
                <c:pt idx="586">
                  <c:v>1.6574315765534564</c:v>
                </c:pt>
                <c:pt idx="587">
                  <c:v>1.5883524580834134</c:v>
                </c:pt>
                <c:pt idx="588">
                  <c:v>1.5190283396133708</c:v>
                </c:pt>
                <c:pt idx="589">
                  <c:v>1.4494592211433286</c:v>
                </c:pt>
                <c:pt idx="590">
                  <c:v>1.3796451026732797</c:v>
                </c:pt>
                <c:pt idx="591">
                  <c:v>1.3095859842032382</c:v>
                </c:pt>
                <c:pt idx="592">
                  <c:v>1.2392818657332043</c:v>
                </c:pt>
                <c:pt idx="593">
                  <c:v>1.1687327472631566</c:v>
                </c:pt>
                <c:pt idx="594">
                  <c:v>1.0979386287931092</c:v>
                </c:pt>
                <c:pt idx="595">
                  <c:v>1.0268995103230694</c:v>
                </c:pt>
                <c:pt idx="596">
                  <c:v>0.95561539185303701</c:v>
                </c:pt>
                <c:pt idx="597">
                  <c:v>0.88408627338299084</c:v>
                </c:pt>
                <c:pt idx="598">
                  <c:v>0.81231215491293796</c:v>
                </c:pt>
                <c:pt idx="599">
                  <c:v>0.74029303644289968</c:v>
                </c:pt>
                <c:pt idx="600">
                  <c:v>0.66802891797285469</c:v>
                </c:pt>
                <c:pt idx="601">
                  <c:v>0.59551979950281719</c:v>
                </c:pt>
                <c:pt idx="602">
                  <c:v>0.52276568103276588</c:v>
                </c:pt>
                <c:pt idx="603">
                  <c:v>0.44976656256272918</c:v>
                </c:pt>
                <c:pt idx="604">
                  <c:v>0.37652244409268576</c:v>
                </c:pt>
                <c:pt idx="605">
                  <c:v>0.30303332562264274</c:v>
                </c:pt>
                <c:pt idx="606">
                  <c:v>0.2292992071526001</c:v>
                </c:pt>
                <c:pt idx="607">
                  <c:v>0.15532008868256497</c:v>
                </c:pt>
                <c:pt idx="608">
                  <c:v>8.1095970212516022E-2</c:v>
                </c:pt>
                <c:pt idx="609">
                  <c:v>6.6268517424674656E-3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3040"/>
        <c:axId val="83963904"/>
      </c:scatterChart>
      <c:valAx>
        <c:axId val="8074304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x-displacement (m)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963904"/>
        <c:crosses val="autoZero"/>
        <c:crossBetween val="midCat"/>
      </c:valAx>
      <c:valAx>
        <c:axId val="8396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y</a:t>
                </a:r>
                <a:r>
                  <a:rPr lang="en-US" baseline="0"/>
                  <a:t>-</a:t>
                </a:r>
                <a:r>
                  <a:rPr lang="en-US"/>
                  <a:t>displacement (m)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07430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time versus y-displacement</a:t>
            </a:r>
          </a:p>
        </c:rich>
      </c:tx>
      <c:layout>
        <c:manualLayout>
          <c:xMode val="edge"/>
          <c:yMode val="edge"/>
          <c:x val="0.19898641346302304"/>
          <c:y val="3.1094943541414067E-3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air resistance</c:v>
          </c:tx>
          <c:marker>
            <c:symbol val="none"/>
          </c:marker>
          <c:xVal>
            <c:numRef>
              <c:f>Sheet1!$A$24:$A$1023</c:f>
              <c:numCache>
                <c:formatCode>0.00</c:formatCode>
                <c:ptCount val="1000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  <c:pt idx="201">
                  <c:v>1.0050000000000006</c:v>
                </c:pt>
                <c:pt idx="202">
                  <c:v>1.0100000000000005</c:v>
                </c:pt>
                <c:pt idx="203">
                  <c:v>1.0150000000000003</c:v>
                </c:pt>
                <c:pt idx="204">
                  <c:v>1.0200000000000002</c:v>
                </c:pt>
                <c:pt idx="205">
                  <c:v>1.0250000000000001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1.0399999999999998</c:v>
                </c:pt>
                <c:pt idx="209">
                  <c:v>1.0449999999999997</c:v>
                </c:pt>
                <c:pt idx="210">
                  <c:v>1.0499999999999996</c:v>
                </c:pt>
                <c:pt idx="211">
                  <c:v>1.0549999999999995</c:v>
                </c:pt>
                <c:pt idx="212">
                  <c:v>1.0599999999999994</c:v>
                </c:pt>
                <c:pt idx="213">
                  <c:v>1.0649999999999993</c:v>
                </c:pt>
                <c:pt idx="214">
                  <c:v>1.0699999999999992</c:v>
                </c:pt>
                <c:pt idx="215">
                  <c:v>1.0749999999999991</c:v>
                </c:pt>
                <c:pt idx="216">
                  <c:v>1.079999999999999</c:v>
                </c:pt>
                <c:pt idx="217">
                  <c:v>1.0849999999999989</c:v>
                </c:pt>
                <c:pt idx="218">
                  <c:v>1.0899999999999987</c:v>
                </c:pt>
                <c:pt idx="219">
                  <c:v>1.0949999999999986</c:v>
                </c:pt>
                <c:pt idx="220">
                  <c:v>1.0999999999999985</c:v>
                </c:pt>
                <c:pt idx="221">
                  <c:v>1.1049999999999984</c:v>
                </c:pt>
                <c:pt idx="222">
                  <c:v>1.1099999999999983</c:v>
                </c:pt>
                <c:pt idx="223">
                  <c:v>1.1149999999999982</c:v>
                </c:pt>
                <c:pt idx="224">
                  <c:v>1.1199999999999981</c:v>
                </c:pt>
                <c:pt idx="225">
                  <c:v>1.124999999999998</c:v>
                </c:pt>
                <c:pt idx="226">
                  <c:v>1.1299999999999979</c:v>
                </c:pt>
                <c:pt idx="227">
                  <c:v>1.1349999999999978</c:v>
                </c:pt>
                <c:pt idx="228">
                  <c:v>1.1399999999999977</c:v>
                </c:pt>
                <c:pt idx="229">
                  <c:v>1.1449999999999976</c:v>
                </c:pt>
                <c:pt idx="230">
                  <c:v>1.1499999999999975</c:v>
                </c:pt>
                <c:pt idx="231">
                  <c:v>1.1549999999999974</c:v>
                </c:pt>
                <c:pt idx="232">
                  <c:v>1.1599999999999973</c:v>
                </c:pt>
                <c:pt idx="233">
                  <c:v>1.1649999999999971</c:v>
                </c:pt>
                <c:pt idx="234">
                  <c:v>1.169999999999997</c:v>
                </c:pt>
                <c:pt idx="235">
                  <c:v>1.1749999999999969</c:v>
                </c:pt>
                <c:pt idx="236">
                  <c:v>1.1799999999999968</c:v>
                </c:pt>
                <c:pt idx="237">
                  <c:v>1.1849999999999967</c:v>
                </c:pt>
                <c:pt idx="238">
                  <c:v>1.1899999999999966</c:v>
                </c:pt>
                <c:pt idx="239">
                  <c:v>1.1949999999999965</c:v>
                </c:pt>
                <c:pt idx="240">
                  <c:v>1.1999999999999964</c:v>
                </c:pt>
                <c:pt idx="241">
                  <c:v>1.2049999999999963</c:v>
                </c:pt>
                <c:pt idx="242">
                  <c:v>1.2099999999999962</c:v>
                </c:pt>
                <c:pt idx="243">
                  <c:v>1.2149999999999961</c:v>
                </c:pt>
                <c:pt idx="244">
                  <c:v>1.219999999999996</c:v>
                </c:pt>
                <c:pt idx="245">
                  <c:v>1.2249999999999959</c:v>
                </c:pt>
                <c:pt idx="246">
                  <c:v>1.2299999999999958</c:v>
                </c:pt>
                <c:pt idx="247">
                  <c:v>1.2349999999999957</c:v>
                </c:pt>
                <c:pt idx="248">
                  <c:v>1.2399999999999956</c:v>
                </c:pt>
                <c:pt idx="249">
                  <c:v>1.2449999999999954</c:v>
                </c:pt>
                <c:pt idx="250">
                  <c:v>1.2499999999999953</c:v>
                </c:pt>
                <c:pt idx="251">
                  <c:v>1.2549999999999952</c:v>
                </c:pt>
                <c:pt idx="252">
                  <c:v>1.2599999999999951</c:v>
                </c:pt>
                <c:pt idx="253">
                  <c:v>1.264999999999995</c:v>
                </c:pt>
                <c:pt idx="254">
                  <c:v>1.2699999999999949</c:v>
                </c:pt>
                <c:pt idx="255">
                  <c:v>1.2749999999999948</c:v>
                </c:pt>
                <c:pt idx="256">
                  <c:v>1.2799999999999947</c:v>
                </c:pt>
                <c:pt idx="257">
                  <c:v>1.2849999999999946</c:v>
                </c:pt>
                <c:pt idx="258">
                  <c:v>1.2899999999999945</c:v>
                </c:pt>
                <c:pt idx="259">
                  <c:v>1.2949999999999944</c:v>
                </c:pt>
                <c:pt idx="260">
                  <c:v>1.2999999999999943</c:v>
                </c:pt>
                <c:pt idx="261">
                  <c:v>1.3049999999999942</c:v>
                </c:pt>
                <c:pt idx="262">
                  <c:v>1.3099999999999941</c:v>
                </c:pt>
                <c:pt idx="263">
                  <c:v>1.314999999999994</c:v>
                </c:pt>
                <c:pt idx="264">
                  <c:v>1.3199999999999938</c:v>
                </c:pt>
                <c:pt idx="265">
                  <c:v>1.3249999999999937</c:v>
                </c:pt>
                <c:pt idx="266">
                  <c:v>1.3299999999999936</c:v>
                </c:pt>
                <c:pt idx="267">
                  <c:v>1.3349999999999935</c:v>
                </c:pt>
                <c:pt idx="268">
                  <c:v>1.3399999999999934</c:v>
                </c:pt>
                <c:pt idx="269">
                  <c:v>1.3449999999999933</c:v>
                </c:pt>
                <c:pt idx="270">
                  <c:v>1.3499999999999932</c:v>
                </c:pt>
                <c:pt idx="271">
                  <c:v>1.3549999999999931</c:v>
                </c:pt>
                <c:pt idx="272">
                  <c:v>1.359999999999993</c:v>
                </c:pt>
                <c:pt idx="273">
                  <c:v>1.3649999999999929</c:v>
                </c:pt>
                <c:pt idx="274">
                  <c:v>1.3699999999999928</c:v>
                </c:pt>
                <c:pt idx="275">
                  <c:v>1.3749999999999927</c:v>
                </c:pt>
                <c:pt idx="276">
                  <c:v>1.3799999999999926</c:v>
                </c:pt>
                <c:pt idx="277">
                  <c:v>1.3849999999999925</c:v>
                </c:pt>
                <c:pt idx="278">
                  <c:v>1.3899999999999924</c:v>
                </c:pt>
                <c:pt idx="279">
                  <c:v>1.3949999999999922</c:v>
                </c:pt>
                <c:pt idx="280">
                  <c:v>1.3999999999999921</c:v>
                </c:pt>
                <c:pt idx="281">
                  <c:v>1.404999999999992</c:v>
                </c:pt>
                <c:pt idx="282">
                  <c:v>1.4099999999999919</c:v>
                </c:pt>
                <c:pt idx="283">
                  <c:v>1.4149999999999918</c:v>
                </c:pt>
                <c:pt idx="284">
                  <c:v>1.4199999999999917</c:v>
                </c:pt>
                <c:pt idx="285">
                  <c:v>1.4249999999999916</c:v>
                </c:pt>
                <c:pt idx="286">
                  <c:v>1.4299999999999915</c:v>
                </c:pt>
                <c:pt idx="287">
                  <c:v>1.4349999999999914</c:v>
                </c:pt>
                <c:pt idx="288">
                  <c:v>1.4399999999999913</c:v>
                </c:pt>
                <c:pt idx="289">
                  <c:v>1.4449999999999912</c:v>
                </c:pt>
                <c:pt idx="290">
                  <c:v>1.4499999999999911</c:v>
                </c:pt>
                <c:pt idx="291">
                  <c:v>1.454999999999991</c:v>
                </c:pt>
                <c:pt idx="292">
                  <c:v>1.4599999999999909</c:v>
                </c:pt>
                <c:pt idx="293">
                  <c:v>1.4649999999999908</c:v>
                </c:pt>
                <c:pt idx="294">
                  <c:v>1.4699999999999906</c:v>
                </c:pt>
                <c:pt idx="295">
                  <c:v>1.4749999999999905</c:v>
                </c:pt>
                <c:pt idx="296">
                  <c:v>1.4799999999999904</c:v>
                </c:pt>
                <c:pt idx="297">
                  <c:v>1.4849999999999903</c:v>
                </c:pt>
                <c:pt idx="298">
                  <c:v>1.4899999999999902</c:v>
                </c:pt>
                <c:pt idx="299">
                  <c:v>1.4949999999999901</c:v>
                </c:pt>
                <c:pt idx="300">
                  <c:v>1.49999999999999</c:v>
                </c:pt>
                <c:pt idx="301">
                  <c:v>1.5049999999999899</c:v>
                </c:pt>
                <c:pt idx="302">
                  <c:v>1.5099999999999898</c:v>
                </c:pt>
                <c:pt idx="303">
                  <c:v>1.5149999999999897</c:v>
                </c:pt>
                <c:pt idx="304">
                  <c:v>1.5199999999999896</c:v>
                </c:pt>
                <c:pt idx="305">
                  <c:v>1.5249999999999895</c:v>
                </c:pt>
                <c:pt idx="306">
                  <c:v>1.5299999999999894</c:v>
                </c:pt>
                <c:pt idx="307">
                  <c:v>1.5349999999999893</c:v>
                </c:pt>
                <c:pt idx="308">
                  <c:v>1.5399999999999892</c:v>
                </c:pt>
                <c:pt idx="309">
                  <c:v>1.544999999999989</c:v>
                </c:pt>
                <c:pt idx="310">
                  <c:v>1.5499999999999889</c:v>
                </c:pt>
                <c:pt idx="311">
                  <c:v>1.5549999999999888</c:v>
                </c:pt>
                <c:pt idx="312">
                  <c:v>1.5599999999999887</c:v>
                </c:pt>
                <c:pt idx="313">
                  <c:v>1.5649999999999886</c:v>
                </c:pt>
                <c:pt idx="314">
                  <c:v>1.5699999999999885</c:v>
                </c:pt>
                <c:pt idx="315">
                  <c:v>1.5749999999999884</c:v>
                </c:pt>
                <c:pt idx="316">
                  <c:v>1.5799999999999883</c:v>
                </c:pt>
                <c:pt idx="317">
                  <c:v>1.5849999999999882</c:v>
                </c:pt>
                <c:pt idx="318">
                  <c:v>1.5899999999999881</c:v>
                </c:pt>
                <c:pt idx="319">
                  <c:v>1.594999999999988</c:v>
                </c:pt>
                <c:pt idx="320">
                  <c:v>1.5999999999999879</c:v>
                </c:pt>
                <c:pt idx="321">
                  <c:v>1.6049999999999878</c:v>
                </c:pt>
                <c:pt idx="322">
                  <c:v>1.6099999999999877</c:v>
                </c:pt>
                <c:pt idx="323">
                  <c:v>1.6149999999999876</c:v>
                </c:pt>
                <c:pt idx="324">
                  <c:v>1.6199999999999875</c:v>
                </c:pt>
                <c:pt idx="325">
                  <c:v>1.6249999999999873</c:v>
                </c:pt>
                <c:pt idx="326">
                  <c:v>1.6299999999999872</c:v>
                </c:pt>
                <c:pt idx="327">
                  <c:v>1.6349999999999871</c:v>
                </c:pt>
                <c:pt idx="328">
                  <c:v>1.639999999999987</c:v>
                </c:pt>
                <c:pt idx="329">
                  <c:v>1.6449999999999869</c:v>
                </c:pt>
                <c:pt idx="330">
                  <c:v>1.6499999999999868</c:v>
                </c:pt>
                <c:pt idx="331">
                  <c:v>1.6549999999999867</c:v>
                </c:pt>
                <c:pt idx="332">
                  <c:v>1.6599999999999866</c:v>
                </c:pt>
                <c:pt idx="333">
                  <c:v>1.6649999999999865</c:v>
                </c:pt>
                <c:pt idx="334">
                  <c:v>1.6699999999999864</c:v>
                </c:pt>
                <c:pt idx="335">
                  <c:v>1.6749999999999863</c:v>
                </c:pt>
                <c:pt idx="336">
                  <c:v>1.6799999999999862</c:v>
                </c:pt>
                <c:pt idx="337">
                  <c:v>1.6849999999999861</c:v>
                </c:pt>
                <c:pt idx="338">
                  <c:v>1.689999999999986</c:v>
                </c:pt>
                <c:pt idx="339">
                  <c:v>1.6949999999999859</c:v>
                </c:pt>
                <c:pt idx="340">
                  <c:v>1.6999999999999857</c:v>
                </c:pt>
                <c:pt idx="341">
                  <c:v>1.7049999999999856</c:v>
                </c:pt>
                <c:pt idx="342">
                  <c:v>1.7099999999999855</c:v>
                </c:pt>
                <c:pt idx="343">
                  <c:v>1.7149999999999854</c:v>
                </c:pt>
                <c:pt idx="344">
                  <c:v>1.7199999999999853</c:v>
                </c:pt>
                <c:pt idx="345">
                  <c:v>1.7249999999999852</c:v>
                </c:pt>
                <c:pt idx="346">
                  <c:v>1.7299999999999851</c:v>
                </c:pt>
                <c:pt idx="347">
                  <c:v>1.734999999999985</c:v>
                </c:pt>
                <c:pt idx="348">
                  <c:v>1.7399999999999849</c:v>
                </c:pt>
                <c:pt idx="349">
                  <c:v>1.7449999999999848</c:v>
                </c:pt>
                <c:pt idx="350">
                  <c:v>1.7499999999999847</c:v>
                </c:pt>
                <c:pt idx="351">
                  <c:v>1.7549999999999846</c:v>
                </c:pt>
                <c:pt idx="352">
                  <c:v>1.7599999999999845</c:v>
                </c:pt>
                <c:pt idx="353">
                  <c:v>1.7649999999999844</c:v>
                </c:pt>
                <c:pt idx="354">
                  <c:v>1.7699999999999843</c:v>
                </c:pt>
                <c:pt idx="355">
                  <c:v>1.7749999999999841</c:v>
                </c:pt>
                <c:pt idx="356">
                  <c:v>1.779999999999984</c:v>
                </c:pt>
                <c:pt idx="357">
                  <c:v>1.7849999999999839</c:v>
                </c:pt>
                <c:pt idx="358">
                  <c:v>1.7899999999999838</c:v>
                </c:pt>
                <c:pt idx="359">
                  <c:v>1.7949999999999837</c:v>
                </c:pt>
                <c:pt idx="360">
                  <c:v>1.7999999999999836</c:v>
                </c:pt>
                <c:pt idx="361">
                  <c:v>1.8049999999999835</c:v>
                </c:pt>
                <c:pt idx="362">
                  <c:v>1.8099999999999834</c:v>
                </c:pt>
                <c:pt idx="363">
                  <c:v>1.8149999999999833</c:v>
                </c:pt>
                <c:pt idx="364">
                  <c:v>1.8199999999999832</c:v>
                </c:pt>
                <c:pt idx="365">
                  <c:v>1.8249999999999831</c:v>
                </c:pt>
                <c:pt idx="366">
                  <c:v>1.829999999999983</c:v>
                </c:pt>
                <c:pt idx="367">
                  <c:v>1.8349999999999829</c:v>
                </c:pt>
                <c:pt idx="368">
                  <c:v>1.8399999999999828</c:v>
                </c:pt>
                <c:pt idx="369">
                  <c:v>1.8449999999999827</c:v>
                </c:pt>
                <c:pt idx="370">
                  <c:v>1.8499999999999825</c:v>
                </c:pt>
                <c:pt idx="371">
                  <c:v>1.8549999999999824</c:v>
                </c:pt>
                <c:pt idx="372">
                  <c:v>1.8599999999999823</c:v>
                </c:pt>
                <c:pt idx="373">
                  <c:v>1.8649999999999822</c:v>
                </c:pt>
                <c:pt idx="374">
                  <c:v>1.8699999999999821</c:v>
                </c:pt>
                <c:pt idx="375">
                  <c:v>1.874999999999982</c:v>
                </c:pt>
                <c:pt idx="376">
                  <c:v>1.8799999999999819</c:v>
                </c:pt>
                <c:pt idx="377">
                  <c:v>1.8849999999999818</c:v>
                </c:pt>
                <c:pt idx="378">
                  <c:v>1.8899999999999817</c:v>
                </c:pt>
                <c:pt idx="379">
                  <c:v>1.8949999999999816</c:v>
                </c:pt>
                <c:pt idx="380">
                  <c:v>1.8999999999999815</c:v>
                </c:pt>
                <c:pt idx="381">
                  <c:v>1.9049999999999814</c:v>
                </c:pt>
                <c:pt idx="382">
                  <c:v>1.9099999999999813</c:v>
                </c:pt>
                <c:pt idx="383">
                  <c:v>1.9149999999999812</c:v>
                </c:pt>
                <c:pt idx="384">
                  <c:v>1.9199999999999811</c:v>
                </c:pt>
                <c:pt idx="385">
                  <c:v>1.9249999999999809</c:v>
                </c:pt>
                <c:pt idx="386">
                  <c:v>1.9299999999999808</c:v>
                </c:pt>
                <c:pt idx="387">
                  <c:v>1.9349999999999807</c:v>
                </c:pt>
                <c:pt idx="388">
                  <c:v>1.9399999999999806</c:v>
                </c:pt>
                <c:pt idx="389">
                  <c:v>1.9449999999999805</c:v>
                </c:pt>
                <c:pt idx="390">
                  <c:v>1.9499999999999804</c:v>
                </c:pt>
                <c:pt idx="391">
                  <c:v>1.9549999999999803</c:v>
                </c:pt>
                <c:pt idx="392">
                  <c:v>1.9599999999999802</c:v>
                </c:pt>
                <c:pt idx="393">
                  <c:v>1.9649999999999801</c:v>
                </c:pt>
                <c:pt idx="394">
                  <c:v>1.96999999999998</c:v>
                </c:pt>
                <c:pt idx="395">
                  <c:v>1.9749999999999799</c:v>
                </c:pt>
                <c:pt idx="396">
                  <c:v>1.9799999999999798</c:v>
                </c:pt>
                <c:pt idx="397">
                  <c:v>1.9849999999999797</c:v>
                </c:pt>
                <c:pt idx="398">
                  <c:v>1.9899999999999796</c:v>
                </c:pt>
                <c:pt idx="399">
                  <c:v>1.9949999999999795</c:v>
                </c:pt>
                <c:pt idx="400">
                  <c:v>1.9999999999999793</c:v>
                </c:pt>
                <c:pt idx="401">
                  <c:v>2.0049999999999795</c:v>
                </c:pt>
                <c:pt idx="402">
                  <c:v>2.0099999999999794</c:v>
                </c:pt>
                <c:pt idx="403">
                  <c:v>2.0149999999999793</c:v>
                </c:pt>
                <c:pt idx="404">
                  <c:v>2.0199999999999791</c:v>
                </c:pt>
                <c:pt idx="405">
                  <c:v>2.024999999999979</c:v>
                </c:pt>
                <c:pt idx="406">
                  <c:v>2.0299999999999789</c:v>
                </c:pt>
                <c:pt idx="407">
                  <c:v>2.0349999999999788</c:v>
                </c:pt>
                <c:pt idx="408">
                  <c:v>2.0399999999999787</c:v>
                </c:pt>
                <c:pt idx="409">
                  <c:v>2.0449999999999786</c:v>
                </c:pt>
                <c:pt idx="410">
                  <c:v>2.0499999999999785</c:v>
                </c:pt>
                <c:pt idx="411">
                  <c:v>2.0549999999999784</c:v>
                </c:pt>
                <c:pt idx="412">
                  <c:v>2.0599999999999783</c:v>
                </c:pt>
                <c:pt idx="413">
                  <c:v>2.0649999999999782</c:v>
                </c:pt>
                <c:pt idx="414">
                  <c:v>2.0699999999999781</c:v>
                </c:pt>
                <c:pt idx="415">
                  <c:v>2.074999999999978</c:v>
                </c:pt>
                <c:pt idx="416">
                  <c:v>2.0799999999999779</c:v>
                </c:pt>
                <c:pt idx="417">
                  <c:v>2.0849999999999778</c:v>
                </c:pt>
                <c:pt idx="418">
                  <c:v>2.0899999999999777</c:v>
                </c:pt>
                <c:pt idx="419">
                  <c:v>2.0949999999999775</c:v>
                </c:pt>
                <c:pt idx="420">
                  <c:v>2.0999999999999774</c:v>
                </c:pt>
                <c:pt idx="421">
                  <c:v>2.1049999999999773</c:v>
                </c:pt>
                <c:pt idx="422">
                  <c:v>2.1099999999999772</c:v>
                </c:pt>
                <c:pt idx="423">
                  <c:v>2.1149999999999771</c:v>
                </c:pt>
                <c:pt idx="424">
                  <c:v>2.119999999999977</c:v>
                </c:pt>
                <c:pt idx="425">
                  <c:v>2.1249999999999769</c:v>
                </c:pt>
                <c:pt idx="426">
                  <c:v>2.1299999999999768</c:v>
                </c:pt>
                <c:pt idx="427">
                  <c:v>2.1349999999999767</c:v>
                </c:pt>
                <c:pt idx="428">
                  <c:v>2.1399999999999766</c:v>
                </c:pt>
                <c:pt idx="429">
                  <c:v>2.1449999999999765</c:v>
                </c:pt>
                <c:pt idx="430">
                  <c:v>2.1499999999999764</c:v>
                </c:pt>
                <c:pt idx="431">
                  <c:v>2.1549999999999763</c:v>
                </c:pt>
                <c:pt idx="432">
                  <c:v>2.1599999999999762</c:v>
                </c:pt>
                <c:pt idx="433">
                  <c:v>2.1649999999999761</c:v>
                </c:pt>
                <c:pt idx="434">
                  <c:v>2.1699999999999759</c:v>
                </c:pt>
                <c:pt idx="435">
                  <c:v>2.1749999999999758</c:v>
                </c:pt>
                <c:pt idx="436">
                  <c:v>2.1799999999999757</c:v>
                </c:pt>
                <c:pt idx="437">
                  <c:v>2.1849999999999756</c:v>
                </c:pt>
                <c:pt idx="438">
                  <c:v>2.1899999999999755</c:v>
                </c:pt>
                <c:pt idx="439">
                  <c:v>2.1949999999999754</c:v>
                </c:pt>
                <c:pt idx="440">
                  <c:v>2.1999999999999753</c:v>
                </c:pt>
                <c:pt idx="441">
                  <c:v>2.2049999999999752</c:v>
                </c:pt>
                <c:pt idx="442">
                  <c:v>2.2099999999999751</c:v>
                </c:pt>
                <c:pt idx="443">
                  <c:v>2.214999999999975</c:v>
                </c:pt>
                <c:pt idx="444">
                  <c:v>2.2199999999999749</c:v>
                </c:pt>
                <c:pt idx="445">
                  <c:v>2.2249999999999748</c:v>
                </c:pt>
                <c:pt idx="446">
                  <c:v>2.2299999999999747</c:v>
                </c:pt>
                <c:pt idx="447">
                  <c:v>2.2349999999999746</c:v>
                </c:pt>
                <c:pt idx="448">
                  <c:v>2.2399999999999745</c:v>
                </c:pt>
                <c:pt idx="449">
                  <c:v>2.2449999999999743</c:v>
                </c:pt>
                <c:pt idx="450">
                  <c:v>2.2499999999999742</c:v>
                </c:pt>
                <c:pt idx="451">
                  <c:v>2.2549999999999741</c:v>
                </c:pt>
                <c:pt idx="452">
                  <c:v>2.259999999999974</c:v>
                </c:pt>
                <c:pt idx="453">
                  <c:v>2.2649999999999739</c:v>
                </c:pt>
                <c:pt idx="454">
                  <c:v>2.2699999999999738</c:v>
                </c:pt>
                <c:pt idx="455">
                  <c:v>2.2749999999999737</c:v>
                </c:pt>
                <c:pt idx="456">
                  <c:v>2.2799999999999736</c:v>
                </c:pt>
                <c:pt idx="457">
                  <c:v>2.2849999999999735</c:v>
                </c:pt>
                <c:pt idx="458">
                  <c:v>2.2899999999999734</c:v>
                </c:pt>
                <c:pt idx="459">
                  <c:v>2.2949999999999733</c:v>
                </c:pt>
                <c:pt idx="460">
                  <c:v>2.2999999999999732</c:v>
                </c:pt>
                <c:pt idx="461">
                  <c:v>2.3049999999999731</c:v>
                </c:pt>
                <c:pt idx="462">
                  <c:v>2.309999999999973</c:v>
                </c:pt>
                <c:pt idx="463">
                  <c:v>2.3149999999999729</c:v>
                </c:pt>
                <c:pt idx="464">
                  <c:v>2.3199999999999728</c:v>
                </c:pt>
                <c:pt idx="465">
                  <c:v>2.3249999999999726</c:v>
                </c:pt>
                <c:pt idx="466">
                  <c:v>2.3299999999999725</c:v>
                </c:pt>
                <c:pt idx="467">
                  <c:v>2.3349999999999724</c:v>
                </c:pt>
                <c:pt idx="468">
                  <c:v>2.3399999999999723</c:v>
                </c:pt>
                <c:pt idx="469">
                  <c:v>2.3449999999999722</c:v>
                </c:pt>
                <c:pt idx="470">
                  <c:v>2.3499999999999721</c:v>
                </c:pt>
                <c:pt idx="471">
                  <c:v>2.354999999999972</c:v>
                </c:pt>
                <c:pt idx="472">
                  <c:v>2.3599999999999719</c:v>
                </c:pt>
                <c:pt idx="473">
                  <c:v>2.3649999999999718</c:v>
                </c:pt>
                <c:pt idx="474">
                  <c:v>2.3699999999999717</c:v>
                </c:pt>
                <c:pt idx="475">
                  <c:v>2.3749999999999716</c:v>
                </c:pt>
                <c:pt idx="476">
                  <c:v>2.3799999999999715</c:v>
                </c:pt>
                <c:pt idx="477">
                  <c:v>2.3849999999999714</c:v>
                </c:pt>
                <c:pt idx="478">
                  <c:v>2.3899999999999713</c:v>
                </c:pt>
                <c:pt idx="479">
                  <c:v>2.3949999999999712</c:v>
                </c:pt>
                <c:pt idx="480">
                  <c:v>2.399999999999971</c:v>
                </c:pt>
                <c:pt idx="481">
                  <c:v>2.4049999999999709</c:v>
                </c:pt>
                <c:pt idx="482">
                  <c:v>2.4099999999999708</c:v>
                </c:pt>
                <c:pt idx="483">
                  <c:v>2.4149999999999707</c:v>
                </c:pt>
                <c:pt idx="484">
                  <c:v>2.4199999999999706</c:v>
                </c:pt>
                <c:pt idx="485">
                  <c:v>2.4249999999999705</c:v>
                </c:pt>
                <c:pt idx="486">
                  <c:v>2.4299999999999704</c:v>
                </c:pt>
                <c:pt idx="487">
                  <c:v>2.4349999999999703</c:v>
                </c:pt>
                <c:pt idx="488">
                  <c:v>2.4399999999999702</c:v>
                </c:pt>
                <c:pt idx="489">
                  <c:v>2.4449999999999701</c:v>
                </c:pt>
                <c:pt idx="490">
                  <c:v>2.44999999999997</c:v>
                </c:pt>
                <c:pt idx="491">
                  <c:v>2.4549999999999699</c:v>
                </c:pt>
                <c:pt idx="492">
                  <c:v>2.4599999999999698</c:v>
                </c:pt>
                <c:pt idx="493">
                  <c:v>2.4649999999999697</c:v>
                </c:pt>
                <c:pt idx="494">
                  <c:v>2.4699999999999696</c:v>
                </c:pt>
                <c:pt idx="495">
                  <c:v>2.4749999999999694</c:v>
                </c:pt>
                <c:pt idx="496">
                  <c:v>2.4799999999999693</c:v>
                </c:pt>
                <c:pt idx="497">
                  <c:v>2.4849999999999692</c:v>
                </c:pt>
                <c:pt idx="498">
                  <c:v>2.4899999999999691</c:v>
                </c:pt>
                <c:pt idx="499">
                  <c:v>2.494999999999969</c:v>
                </c:pt>
                <c:pt idx="500">
                  <c:v>2.4999999999999689</c:v>
                </c:pt>
                <c:pt idx="501">
                  <c:v>2.5049999999999688</c:v>
                </c:pt>
                <c:pt idx="502">
                  <c:v>2.5099999999999687</c:v>
                </c:pt>
                <c:pt idx="503">
                  <c:v>2.5149999999999686</c:v>
                </c:pt>
                <c:pt idx="504">
                  <c:v>2.5199999999999685</c:v>
                </c:pt>
                <c:pt idx="505">
                  <c:v>2.5249999999999684</c:v>
                </c:pt>
                <c:pt idx="506">
                  <c:v>2.5299999999999683</c:v>
                </c:pt>
                <c:pt idx="507">
                  <c:v>2.5349999999999682</c:v>
                </c:pt>
                <c:pt idx="508">
                  <c:v>2.5399999999999681</c:v>
                </c:pt>
                <c:pt idx="509">
                  <c:v>2.544999999999968</c:v>
                </c:pt>
                <c:pt idx="510">
                  <c:v>2.5499999999999678</c:v>
                </c:pt>
                <c:pt idx="511">
                  <c:v>2.5549999999999677</c:v>
                </c:pt>
                <c:pt idx="512">
                  <c:v>2.5599999999999676</c:v>
                </c:pt>
                <c:pt idx="513">
                  <c:v>2.5649999999999675</c:v>
                </c:pt>
                <c:pt idx="514">
                  <c:v>2.5699999999999674</c:v>
                </c:pt>
                <c:pt idx="515">
                  <c:v>2.5749999999999673</c:v>
                </c:pt>
                <c:pt idx="516">
                  <c:v>2.5799999999999672</c:v>
                </c:pt>
                <c:pt idx="517">
                  <c:v>2.5849999999999671</c:v>
                </c:pt>
                <c:pt idx="518">
                  <c:v>2.589999999999967</c:v>
                </c:pt>
                <c:pt idx="519">
                  <c:v>2.5949999999999669</c:v>
                </c:pt>
                <c:pt idx="520">
                  <c:v>2.5999999999999668</c:v>
                </c:pt>
                <c:pt idx="521">
                  <c:v>2.6049999999999667</c:v>
                </c:pt>
                <c:pt idx="522">
                  <c:v>2.6099999999999666</c:v>
                </c:pt>
                <c:pt idx="523">
                  <c:v>2.6149999999999665</c:v>
                </c:pt>
                <c:pt idx="524">
                  <c:v>2.6199999999999664</c:v>
                </c:pt>
                <c:pt idx="525">
                  <c:v>2.6249999999999662</c:v>
                </c:pt>
                <c:pt idx="526">
                  <c:v>2.6299999999999661</c:v>
                </c:pt>
                <c:pt idx="527">
                  <c:v>2.634999999999966</c:v>
                </c:pt>
                <c:pt idx="528">
                  <c:v>2.6399999999999659</c:v>
                </c:pt>
                <c:pt idx="529">
                  <c:v>2.6449999999999658</c:v>
                </c:pt>
                <c:pt idx="530">
                  <c:v>2.6499999999999657</c:v>
                </c:pt>
                <c:pt idx="531">
                  <c:v>2.6549999999999656</c:v>
                </c:pt>
                <c:pt idx="532">
                  <c:v>2.6599999999999655</c:v>
                </c:pt>
                <c:pt idx="533">
                  <c:v>2.6649999999999654</c:v>
                </c:pt>
                <c:pt idx="534">
                  <c:v>2.6699999999999653</c:v>
                </c:pt>
                <c:pt idx="535">
                  <c:v>2.6749999999999652</c:v>
                </c:pt>
                <c:pt idx="536">
                  <c:v>2.6799999999999651</c:v>
                </c:pt>
                <c:pt idx="537">
                  <c:v>2.684999999999965</c:v>
                </c:pt>
                <c:pt idx="538">
                  <c:v>2.6899999999999649</c:v>
                </c:pt>
                <c:pt idx="539">
                  <c:v>2.6949999999999648</c:v>
                </c:pt>
                <c:pt idx="540">
                  <c:v>2.6999999999999647</c:v>
                </c:pt>
                <c:pt idx="541">
                  <c:v>2.7049999999999645</c:v>
                </c:pt>
                <c:pt idx="542">
                  <c:v>2.7099999999999644</c:v>
                </c:pt>
                <c:pt idx="543">
                  <c:v>2.7149999999999643</c:v>
                </c:pt>
                <c:pt idx="544">
                  <c:v>2.7199999999999642</c:v>
                </c:pt>
                <c:pt idx="545">
                  <c:v>2.7249999999999641</c:v>
                </c:pt>
                <c:pt idx="546">
                  <c:v>2.729999999999964</c:v>
                </c:pt>
                <c:pt idx="547">
                  <c:v>2.7349999999999639</c:v>
                </c:pt>
                <c:pt idx="548">
                  <c:v>2.7399999999999638</c:v>
                </c:pt>
                <c:pt idx="549">
                  <c:v>2.7449999999999637</c:v>
                </c:pt>
                <c:pt idx="550">
                  <c:v>2.7499999999999636</c:v>
                </c:pt>
                <c:pt idx="551">
                  <c:v>2.7549999999999635</c:v>
                </c:pt>
                <c:pt idx="552">
                  <c:v>2.7599999999999634</c:v>
                </c:pt>
                <c:pt idx="553">
                  <c:v>2.7649999999999633</c:v>
                </c:pt>
                <c:pt idx="554">
                  <c:v>2.7699999999999632</c:v>
                </c:pt>
                <c:pt idx="555">
                  <c:v>2.7749999999999631</c:v>
                </c:pt>
                <c:pt idx="556">
                  <c:v>2.7799999999999629</c:v>
                </c:pt>
                <c:pt idx="557">
                  <c:v>2.7849999999999628</c:v>
                </c:pt>
                <c:pt idx="558">
                  <c:v>2.7899999999999627</c:v>
                </c:pt>
                <c:pt idx="559">
                  <c:v>2.7949999999999626</c:v>
                </c:pt>
                <c:pt idx="560">
                  <c:v>2.7999999999999625</c:v>
                </c:pt>
                <c:pt idx="561">
                  <c:v>2.8049999999999624</c:v>
                </c:pt>
                <c:pt idx="562">
                  <c:v>2.8099999999999623</c:v>
                </c:pt>
                <c:pt idx="563">
                  <c:v>2.8149999999999622</c:v>
                </c:pt>
                <c:pt idx="564">
                  <c:v>2.8199999999999621</c:v>
                </c:pt>
                <c:pt idx="565">
                  <c:v>2.824999999999962</c:v>
                </c:pt>
                <c:pt idx="566">
                  <c:v>2.8299999999999619</c:v>
                </c:pt>
                <c:pt idx="567">
                  <c:v>2.8349999999999618</c:v>
                </c:pt>
                <c:pt idx="568">
                  <c:v>2.8399999999999617</c:v>
                </c:pt>
                <c:pt idx="569">
                  <c:v>2.8449999999999616</c:v>
                </c:pt>
                <c:pt idx="570">
                  <c:v>2.8499999999999615</c:v>
                </c:pt>
                <c:pt idx="571">
                  <c:v>2.8549999999999613</c:v>
                </c:pt>
                <c:pt idx="572">
                  <c:v>2.8599999999999612</c:v>
                </c:pt>
                <c:pt idx="573">
                  <c:v>2.8649999999999611</c:v>
                </c:pt>
                <c:pt idx="574">
                  <c:v>2.869999999999961</c:v>
                </c:pt>
                <c:pt idx="575">
                  <c:v>2.8749999999999609</c:v>
                </c:pt>
                <c:pt idx="576">
                  <c:v>2.8799999999999608</c:v>
                </c:pt>
                <c:pt idx="577">
                  <c:v>2.8849999999999607</c:v>
                </c:pt>
                <c:pt idx="578">
                  <c:v>2.8899999999999606</c:v>
                </c:pt>
                <c:pt idx="579">
                  <c:v>2.8949999999999605</c:v>
                </c:pt>
                <c:pt idx="580">
                  <c:v>2.8999999999999604</c:v>
                </c:pt>
                <c:pt idx="581">
                  <c:v>2.9049999999999603</c:v>
                </c:pt>
                <c:pt idx="582">
                  <c:v>2.9099999999999602</c:v>
                </c:pt>
                <c:pt idx="583">
                  <c:v>2.9149999999999601</c:v>
                </c:pt>
                <c:pt idx="584">
                  <c:v>2.91999999999996</c:v>
                </c:pt>
                <c:pt idx="585">
                  <c:v>2.9249999999999599</c:v>
                </c:pt>
                <c:pt idx="586">
                  <c:v>2.9299999999999597</c:v>
                </c:pt>
                <c:pt idx="587">
                  <c:v>2.9349999999999596</c:v>
                </c:pt>
                <c:pt idx="588">
                  <c:v>2.9399999999999595</c:v>
                </c:pt>
                <c:pt idx="589">
                  <c:v>2.9449999999999594</c:v>
                </c:pt>
                <c:pt idx="590">
                  <c:v>2.9499999999999593</c:v>
                </c:pt>
                <c:pt idx="591">
                  <c:v>2.9549999999999592</c:v>
                </c:pt>
                <c:pt idx="592">
                  <c:v>2.9599999999999591</c:v>
                </c:pt>
                <c:pt idx="593">
                  <c:v>2.964999999999959</c:v>
                </c:pt>
                <c:pt idx="594">
                  <c:v>2.9699999999999589</c:v>
                </c:pt>
                <c:pt idx="595">
                  <c:v>2.9749999999999588</c:v>
                </c:pt>
                <c:pt idx="596">
                  <c:v>2.9799999999999587</c:v>
                </c:pt>
                <c:pt idx="597">
                  <c:v>2.9849999999999586</c:v>
                </c:pt>
                <c:pt idx="598">
                  <c:v>2.9899999999999585</c:v>
                </c:pt>
                <c:pt idx="599">
                  <c:v>2.9949999999999584</c:v>
                </c:pt>
                <c:pt idx="600">
                  <c:v>2.9999999999999583</c:v>
                </c:pt>
                <c:pt idx="601">
                  <c:v>3.0049999999999581</c:v>
                </c:pt>
                <c:pt idx="602">
                  <c:v>3.009999999999958</c:v>
                </c:pt>
                <c:pt idx="603">
                  <c:v>3.0149999999999579</c:v>
                </c:pt>
                <c:pt idx="604">
                  <c:v>3.0199999999999578</c:v>
                </c:pt>
                <c:pt idx="605">
                  <c:v>3.0249999999999577</c:v>
                </c:pt>
                <c:pt idx="606">
                  <c:v>3.0299999999999576</c:v>
                </c:pt>
                <c:pt idx="607">
                  <c:v>3.0349999999999575</c:v>
                </c:pt>
                <c:pt idx="608">
                  <c:v>3.0399999999999574</c:v>
                </c:pt>
                <c:pt idx="609">
                  <c:v>3.0449999999999573</c:v>
                </c:pt>
                <c:pt idx="610">
                  <c:v>3.0499999999999572</c:v>
                </c:pt>
                <c:pt idx="611">
                  <c:v>3.0549999999999571</c:v>
                </c:pt>
                <c:pt idx="612">
                  <c:v>3.059999999999957</c:v>
                </c:pt>
                <c:pt idx="613">
                  <c:v>3.0649999999999569</c:v>
                </c:pt>
                <c:pt idx="614">
                  <c:v>3.0699999999999568</c:v>
                </c:pt>
                <c:pt idx="615">
                  <c:v>3.0749999999999567</c:v>
                </c:pt>
                <c:pt idx="616">
                  <c:v>3.0799999999999566</c:v>
                </c:pt>
                <c:pt idx="617">
                  <c:v>3.0849999999999564</c:v>
                </c:pt>
                <c:pt idx="618">
                  <c:v>3.0899999999999563</c:v>
                </c:pt>
                <c:pt idx="619">
                  <c:v>3.0949999999999562</c:v>
                </c:pt>
                <c:pt idx="620">
                  <c:v>3.0999999999999561</c:v>
                </c:pt>
                <c:pt idx="621">
                  <c:v>3.104999999999956</c:v>
                </c:pt>
                <c:pt idx="622">
                  <c:v>3.1099999999999559</c:v>
                </c:pt>
                <c:pt idx="623">
                  <c:v>3.1149999999999558</c:v>
                </c:pt>
                <c:pt idx="624">
                  <c:v>3.1199999999999557</c:v>
                </c:pt>
                <c:pt idx="625">
                  <c:v>3.1249999999999556</c:v>
                </c:pt>
                <c:pt idx="626">
                  <c:v>3.1299999999999555</c:v>
                </c:pt>
                <c:pt idx="627">
                  <c:v>3.1349999999999554</c:v>
                </c:pt>
                <c:pt idx="628">
                  <c:v>3.1399999999999553</c:v>
                </c:pt>
                <c:pt idx="629">
                  <c:v>3.1449999999999552</c:v>
                </c:pt>
                <c:pt idx="630">
                  <c:v>3.1499999999999551</c:v>
                </c:pt>
                <c:pt idx="631">
                  <c:v>3.154999999999955</c:v>
                </c:pt>
                <c:pt idx="632">
                  <c:v>3.1599999999999548</c:v>
                </c:pt>
                <c:pt idx="633">
                  <c:v>3.1649999999999547</c:v>
                </c:pt>
                <c:pt idx="634">
                  <c:v>3.1699999999999546</c:v>
                </c:pt>
                <c:pt idx="635">
                  <c:v>3.1749999999999545</c:v>
                </c:pt>
                <c:pt idx="636">
                  <c:v>3.1799999999999544</c:v>
                </c:pt>
                <c:pt idx="637">
                  <c:v>3.1849999999999543</c:v>
                </c:pt>
                <c:pt idx="638">
                  <c:v>3.1899999999999542</c:v>
                </c:pt>
                <c:pt idx="639">
                  <c:v>3.1949999999999541</c:v>
                </c:pt>
                <c:pt idx="640">
                  <c:v>3.199999999999954</c:v>
                </c:pt>
                <c:pt idx="641">
                  <c:v>3.2049999999999539</c:v>
                </c:pt>
                <c:pt idx="642">
                  <c:v>3.2099999999999538</c:v>
                </c:pt>
                <c:pt idx="643">
                  <c:v>3.2149999999999537</c:v>
                </c:pt>
                <c:pt idx="644">
                  <c:v>3.2199999999999536</c:v>
                </c:pt>
                <c:pt idx="645">
                  <c:v>3.2249999999999535</c:v>
                </c:pt>
                <c:pt idx="646">
                  <c:v>3.2299999999999534</c:v>
                </c:pt>
                <c:pt idx="647">
                  <c:v>3.2349999999999532</c:v>
                </c:pt>
                <c:pt idx="648">
                  <c:v>3.2399999999999531</c:v>
                </c:pt>
                <c:pt idx="649">
                  <c:v>3.244999999999953</c:v>
                </c:pt>
                <c:pt idx="650">
                  <c:v>3.2499999999999529</c:v>
                </c:pt>
                <c:pt idx="651">
                  <c:v>3.2549999999999528</c:v>
                </c:pt>
                <c:pt idx="652">
                  <c:v>3.2599999999999527</c:v>
                </c:pt>
                <c:pt idx="653">
                  <c:v>3.2649999999999526</c:v>
                </c:pt>
                <c:pt idx="654">
                  <c:v>3.2699999999999525</c:v>
                </c:pt>
                <c:pt idx="655">
                  <c:v>3.2749999999999524</c:v>
                </c:pt>
                <c:pt idx="656">
                  <c:v>3.2799999999999523</c:v>
                </c:pt>
                <c:pt idx="657">
                  <c:v>3.2849999999999522</c:v>
                </c:pt>
                <c:pt idx="658">
                  <c:v>3.2899999999999521</c:v>
                </c:pt>
                <c:pt idx="659">
                  <c:v>3.294999999999952</c:v>
                </c:pt>
                <c:pt idx="660">
                  <c:v>3.2999999999999519</c:v>
                </c:pt>
                <c:pt idx="661">
                  <c:v>3.3049999999999518</c:v>
                </c:pt>
                <c:pt idx="662">
                  <c:v>3.3099999999999516</c:v>
                </c:pt>
                <c:pt idx="663">
                  <c:v>3.3149999999999515</c:v>
                </c:pt>
                <c:pt idx="664">
                  <c:v>3.3199999999999514</c:v>
                </c:pt>
                <c:pt idx="665">
                  <c:v>3.3249999999999513</c:v>
                </c:pt>
                <c:pt idx="666">
                  <c:v>3.3299999999999512</c:v>
                </c:pt>
                <c:pt idx="667">
                  <c:v>3.3349999999999511</c:v>
                </c:pt>
                <c:pt idx="668">
                  <c:v>3.339999999999951</c:v>
                </c:pt>
                <c:pt idx="669">
                  <c:v>3.3449999999999509</c:v>
                </c:pt>
                <c:pt idx="670">
                  <c:v>3.3499999999999508</c:v>
                </c:pt>
                <c:pt idx="671">
                  <c:v>3.3549999999999507</c:v>
                </c:pt>
                <c:pt idx="672">
                  <c:v>3.3599999999999506</c:v>
                </c:pt>
                <c:pt idx="673">
                  <c:v>3.3649999999999505</c:v>
                </c:pt>
                <c:pt idx="674">
                  <c:v>3.3699999999999504</c:v>
                </c:pt>
                <c:pt idx="675">
                  <c:v>3.3749999999999503</c:v>
                </c:pt>
                <c:pt idx="676">
                  <c:v>3.3799999999999502</c:v>
                </c:pt>
                <c:pt idx="677">
                  <c:v>3.38499999999995</c:v>
                </c:pt>
                <c:pt idx="678">
                  <c:v>3.3899999999999499</c:v>
                </c:pt>
                <c:pt idx="679">
                  <c:v>3.3949999999999498</c:v>
                </c:pt>
                <c:pt idx="680">
                  <c:v>3.3999999999999497</c:v>
                </c:pt>
                <c:pt idx="681">
                  <c:v>3.4049999999999496</c:v>
                </c:pt>
                <c:pt idx="682">
                  <c:v>3.4099999999999495</c:v>
                </c:pt>
                <c:pt idx="683">
                  <c:v>3.4149999999999494</c:v>
                </c:pt>
                <c:pt idx="684">
                  <c:v>3.4199999999999493</c:v>
                </c:pt>
                <c:pt idx="685">
                  <c:v>3.4249999999999492</c:v>
                </c:pt>
                <c:pt idx="686">
                  <c:v>3.4299999999999491</c:v>
                </c:pt>
                <c:pt idx="687">
                  <c:v>3.434999999999949</c:v>
                </c:pt>
                <c:pt idx="688">
                  <c:v>3.4399999999999489</c:v>
                </c:pt>
                <c:pt idx="689">
                  <c:v>3.4449999999999488</c:v>
                </c:pt>
                <c:pt idx="690">
                  <c:v>3.4499999999999487</c:v>
                </c:pt>
                <c:pt idx="691">
                  <c:v>3.4549999999999486</c:v>
                </c:pt>
                <c:pt idx="692">
                  <c:v>3.4599999999999485</c:v>
                </c:pt>
                <c:pt idx="693">
                  <c:v>3.4649999999999483</c:v>
                </c:pt>
                <c:pt idx="694">
                  <c:v>3.4699999999999482</c:v>
                </c:pt>
                <c:pt idx="695">
                  <c:v>3.4749999999999481</c:v>
                </c:pt>
                <c:pt idx="696">
                  <c:v>3.479999999999948</c:v>
                </c:pt>
                <c:pt idx="697">
                  <c:v>3.4849999999999479</c:v>
                </c:pt>
                <c:pt idx="698">
                  <c:v>3.4899999999999478</c:v>
                </c:pt>
                <c:pt idx="699">
                  <c:v>3.4949999999999477</c:v>
                </c:pt>
                <c:pt idx="700">
                  <c:v>3.4999999999999476</c:v>
                </c:pt>
                <c:pt idx="701">
                  <c:v>3.5049999999999475</c:v>
                </c:pt>
                <c:pt idx="702">
                  <c:v>3.5099999999999474</c:v>
                </c:pt>
                <c:pt idx="703">
                  <c:v>3.5149999999999473</c:v>
                </c:pt>
                <c:pt idx="704">
                  <c:v>3.5199999999999472</c:v>
                </c:pt>
                <c:pt idx="705">
                  <c:v>3.5249999999999471</c:v>
                </c:pt>
                <c:pt idx="706">
                  <c:v>3.529999999999947</c:v>
                </c:pt>
                <c:pt idx="707">
                  <c:v>3.5349999999999469</c:v>
                </c:pt>
                <c:pt idx="708">
                  <c:v>3.5399999999999467</c:v>
                </c:pt>
                <c:pt idx="709">
                  <c:v>3.5449999999999466</c:v>
                </c:pt>
                <c:pt idx="710">
                  <c:v>3.5499999999999465</c:v>
                </c:pt>
                <c:pt idx="711">
                  <c:v>3.5549999999999464</c:v>
                </c:pt>
                <c:pt idx="712">
                  <c:v>3.5599999999999463</c:v>
                </c:pt>
                <c:pt idx="713">
                  <c:v>3.5649999999999462</c:v>
                </c:pt>
                <c:pt idx="714">
                  <c:v>3.5699999999999461</c:v>
                </c:pt>
                <c:pt idx="715">
                  <c:v>3.574999999999946</c:v>
                </c:pt>
                <c:pt idx="716">
                  <c:v>3.5799999999999459</c:v>
                </c:pt>
                <c:pt idx="717">
                  <c:v>3.5849999999999458</c:v>
                </c:pt>
                <c:pt idx="718">
                  <c:v>3.5899999999999457</c:v>
                </c:pt>
                <c:pt idx="719">
                  <c:v>3.5949999999999456</c:v>
                </c:pt>
                <c:pt idx="720">
                  <c:v>3.5999999999999455</c:v>
                </c:pt>
                <c:pt idx="721">
                  <c:v>3.6049999999999454</c:v>
                </c:pt>
                <c:pt idx="722">
                  <c:v>3.6099999999999453</c:v>
                </c:pt>
                <c:pt idx="723">
                  <c:v>3.6149999999999451</c:v>
                </c:pt>
                <c:pt idx="724">
                  <c:v>3.619999999999945</c:v>
                </c:pt>
                <c:pt idx="725">
                  <c:v>3.6249999999999449</c:v>
                </c:pt>
                <c:pt idx="726">
                  <c:v>3.6299999999999448</c:v>
                </c:pt>
                <c:pt idx="727">
                  <c:v>3.6349999999999447</c:v>
                </c:pt>
                <c:pt idx="728">
                  <c:v>3.6399999999999446</c:v>
                </c:pt>
                <c:pt idx="729">
                  <c:v>3.6449999999999445</c:v>
                </c:pt>
                <c:pt idx="730">
                  <c:v>3.6499999999999444</c:v>
                </c:pt>
                <c:pt idx="731">
                  <c:v>3.6549999999999443</c:v>
                </c:pt>
                <c:pt idx="732">
                  <c:v>3.6599999999999442</c:v>
                </c:pt>
                <c:pt idx="733">
                  <c:v>3.6649999999999441</c:v>
                </c:pt>
                <c:pt idx="734">
                  <c:v>3.669999999999944</c:v>
                </c:pt>
                <c:pt idx="735">
                  <c:v>3.6749999999999439</c:v>
                </c:pt>
                <c:pt idx="736">
                  <c:v>3.6799999999999438</c:v>
                </c:pt>
                <c:pt idx="737">
                  <c:v>3.6849999999999437</c:v>
                </c:pt>
                <c:pt idx="738">
                  <c:v>3.6899999999999435</c:v>
                </c:pt>
                <c:pt idx="739">
                  <c:v>3.6949999999999434</c:v>
                </c:pt>
                <c:pt idx="740">
                  <c:v>3.6999999999999433</c:v>
                </c:pt>
                <c:pt idx="741">
                  <c:v>3.7049999999999432</c:v>
                </c:pt>
                <c:pt idx="742">
                  <c:v>3.7099999999999431</c:v>
                </c:pt>
                <c:pt idx="743">
                  <c:v>3.714999999999943</c:v>
                </c:pt>
                <c:pt idx="744">
                  <c:v>3.7199999999999429</c:v>
                </c:pt>
                <c:pt idx="745">
                  <c:v>3.7249999999999428</c:v>
                </c:pt>
                <c:pt idx="746">
                  <c:v>3.7299999999999427</c:v>
                </c:pt>
                <c:pt idx="747">
                  <c:v>3.7349999999999426</c:v>
                </c:pt>
                <c:pt idx="748">
                  <c:v>3.7399999999999425</c:v>
                </c:pt>
                <c:pt idx="749">
                  <c:v>3.7449999999999424</c:v>
                </c:pt>
                <c:pt idx="750">
                  <c:v>3.7499999999999423</c:v>
                </c:pt>
                <c:pt idx="751">
                  <c:v>3.7549999999999422</c:v>
                </c:pt>
                <c:pt idx="752">
                  <c:v>3.7599999999999421</c:v>
                </c:pt>
                <c:pt idx="753">
                  <c:v>3.7649999999999419</c:v>
                </c:pt>
                <c:pt idx="754">
                  <c:v>3.7699999999999418</c:v>
                </c:pt>
                <c:pt idx="755">
                  <c:v>3.7749999999999417</c:v>
                </c:pt>
                <c:pt idx="756">
                  <c:v>3.7799999999999416</c:v>
                </c:pt>
                <c:pt idx="757">
                  <c:v>3.7849999999999415</c:v>
                </c:pt>
                <c:pt idx="758">
                  <c:v>3.7899999999999414</c:v>
                </c:pt>
                <c:pt idx="759">
                  <c:v>3.7949999999999413</c:v>
                </c:pt>
                <c:pt idx="760">
                  <c:v>3.7999999999999412</c:v>
                </c:pt>
                <c:pt idx="761">
                  <c:v>3.8049999999999411</c:v>
                </c:pt>
                <c:pt idx="762">
                  <c:v>3.809999999999941</c:v>
                </c:pt>
                <c:pt idx="763">
                  <c:v>3.8149999999999409</c:v>
                </c:pt>
                <c:pt idx="764">
                  <c:v>3.8199999999999408</c:v>
                </c:pt>
                <c:pt idx="765">
                  <c:v>3.8249999999999407</c:v>
                </c:pt>
                <c:pt idx="766">
                  <c:v>3.8299999999999406</c:v>
                </c:pt>
                <c:pt idx="767">
                  <c:v>3.8349999999999405</c:v>
                </c:pt>
                <c:pt idx="768">
                  <c:v>3.8399999999999403</c:v>
                </c:pt>
                <c:pt idx="769">
                  <c:v>3.8449999999999402</c:v>
                </c:pt>
                <c:pt idx="770">
                  <c:v>3.8499999999999401</c:v>
                </c:pt>
                <c:pt idx="771">
                  <c:v>3.85499999999994</c:v>
                </c:pt>
                <c:pt idx="772">
                  <c:v>3.8599999999999399</c:v>
                </c:pt>
                <c:pt idx="773">
                  <c:v>3.8649999999999398</c:v>
                </c:pt>
                <c:pt idx="774">
                  <c:v>3.8699999999999397</c:v>
                </c:pt>
                <c:pt idx="775">
                  <c:v>3.8749999999999396</c:v>
                </c:pt>
                <c:pt idx="776">
                  <c:v>3.8799999999999395</c:v>
                </c:pt>
                <c:pt idx="777">
                  <c:v>3.8849999999999394</c:v>
                </c:pt>
                <c:pt idx="778">
                  <c:v>3.8899999999999393</c:v>
                </c:pt>
                <c:pt idx="779">
                  <c:v>3.8949999999999392</c:v>
                </c:pt>
                <c:pt idx="780">
                  <c:v>3.8999999999999391</c:v>
                </c:pt>
                <c:pt idx="781">
                  <c:v>3.904999999999939</c:v>
                </c:pt>
                <c:pt idx="782">
                  <c:v>3.9099999999999389</c:v>
                </c:pt>
                <c:pt idx="783">
                  <c:v>3.9149999999999388</c:v>
                </c:pt>
                <c:pt idx="784">
                  <c:v>3.9199999999999386</c:v>
                </c:pt>
                <c:pt idx="785">
                  <c:v>3.9249999999999385</c:v>
                </c:pt>
                <c:pt idx="786">
                  <c:v>3.9299999999999384</c:v>
                </c:pt>
                <c:pt idx="787">
                  <c:v>3.9349999999999383</c:v>
                </c:pt>
                <c:pt idx="788">
                  <c:v>3.9399999999999382</c:v>
                </c:pt>
                <c:pt idx="789">
                  <c:v>3.9449999999999381</c:v>
                </c:pt>
                <c:pt idx="790">
                  <c:v>3.949999999999938</c:v>
                </c:pt>
                <c:pt idx="791">
                  <c:v>3.9549999999999379</c:v>
                </c:pt>
                <c:pt idx="792">
                  <c:v>3.9599999999999378</c:v>
                </c:pt>
                <c:pt idx="793">
                  <c:v>3.9649999999999377</c:v>
                </c:pt>
                <c:pt idx="794">
                  <c:v>3.9699999999999376</c:v>
                </c:pt>
                <c:pt idx="795">
                  <c:v>3.9749999999999375</c:v>
                </c:pt>
                <c:pt idx="796">
                  <c:v>3.9799999999999374</c:v>
                </c:pt>
                <c:pt idx="797">
                  <c:v>3.9849999999999373</c:v>
                </c:pt>
                <c:pt idx="798">
                  <c:v>3.9899999999999372</c:v>
                </c:pt>
                <c:pt idx="799">
                  <c:v>3.994999999999937</c:v>
                </c:pt>
                <c:pt idx="800">
                  <c:v>3.9999999999999369</c:v>
                </c:pt>
                <c:pt idx="801">
                  <c:v>4.0049999999999368</c:v>
                </c:pt>
                <c:pt idx="802">
                  <c:v>4.0099999999999367</c:v>
                </c:pt>
                <c:pt idx="803">
                  <c:v>4.0149999999999366</c:v>
                </c:pt>
                <c:pt idx="804">
                  <c:v>4.0199999999999365</c:v>
                </c:pt>
                <c:pt idx="805">
                  <c:v>4.0249999999999364</c:v>
                </c:pt>
                <c:pt idx="806">
                  <c:v>4.0299999999999363</c:v>
                </c:pt>
                <c:pt idx="807">
                  <c:v>4.0349999999999362</c:v>
                </c:pt>
                <c:pt idx="808">
                  <c:v>4.0399999999999361</c:v>
                </c:pt>
                <c:pt idx="809">
                  <c:v>4.044999999999936</c:v>
                </c:pt>
                <c:pt idx="810">
                  <c:v>4.0499999999999359</c:v>
                </c:pt>
                <c:pt idx="811">
                  <c:v>4.0549999999999358</c:v>
                </c:pt>
                <c:pt idx="812">
                  <c:v>4.0599999999999357</c:v>
                </c:pt>
                <c:pt idx="813">
                  <c:v>4.0649999999999356</c:v>
                </c:pt>
                <c:pt idx="814">
                  <c:v>4.0699999999999354</c:v>
                </c:pt>
                <c:pt idx="815">
                  <c:v>4.0749999999999353</c:v>
                </c:pt>
                <c:pt idx="816">
                  <c:v>4.0799999999999352</c:v>
                </c:pt>
                <c:pt idx="817">
                  <c:v>4.0849999999999351</c:v>
                </c:pt>
                <c:pt idx="818">
                  <c:v>4.089999999999935</c:v>
                </c:pt>
                <c:pt idx="819">
                  <c:v>4.0949999999999349</c:v>
                </c:pt>
                <c:pt idx="820">
                  <c:v>4.0999999999999348</c:v>
                </c:pt>
                <c:pt idx="821">
                  <c:v>4.1049999999999347</c:v>
                </c:pt>
                <c:pt idx="822">
                  <c:v>4.1099999999999346</c:v>
                </c:pt>
                <c:pt idx="823">
                  <c:v>4.1149999999999345</c:v>
                </c:pt>
                <c:pt idx="824">
                  <c:v>4.1199999999999344</c:v>
                </c:pt>
                <c:pt idx="825">
                  <c:v>4.1249999999999343</c:v>
                </c:pt>
                <c:pt idx="826">
                  <c:v>4.1299999999999342</c:v>
                </c:pt>
                <c:pt idx="827">
                  <c:v>4.1349999999999341</c:v>
                </c:pt>
                <c:pt idx="828">
                  <c:v>4.139999999999934</c:v>
                </c:pt>
                <c:pt idx="829">
                  <c:v>4.1449999999999338</c:v>
                </c:pt>
                <c:pt idx="830">
                  <c:v>4.1499999999999337</c:v>
                </c:pt>
                <c:pt idx="831">
                  <c:v>4.1549999999999336</c:v>
                </c:pt>
                <c:pt idx="832">
                  <c:v>4.1599999999999335</c:v>
                </c:pt>
                <c:pt idx="833">
                  <c:v>4.1649999999999334</c:v>
                </c:pt>
                <c:pt idx="834">
                  <c:v>4.1699999999999333</c:v>
                </c:pt>
                <c:pt idx="835">
                  <c:v>4.1749999999999332</c:v>
                </c:pt>
                <c:pt idx="836">
                  <c:v>4.1799999999999331</c:v>
                </c:pt>
                <c:pt idx="837">
                  <c:v>4.184999999999933</c:v>
                </c:pt>
                <c:pt idx="838">
                  <c:v>4.1899999999999329</c:v>
                </c:pt>
                <c:pt idx="839">
                  <c:v>4.1949999999999328</c:v>
                </c:pt>
                <c:pt idx="840">
                  <c:v>4.1999999999999327</c:v>
                </c:pt>
                <c:pt idx="841">
                  <c:v>4.2049999999999326</c:v>
                </c:pt>
                <c:pt idx="842">
                  <c:v>4.2099999999999325</c:v>
                </c:pt>
                <c:pt idx="843">
                  <c:v>4.2149999999999324</c:v>
                </c:pt>
                <c:pt idx="844">
                  <c:v>4.2199999999999322</c:v>
                </c:pt>
                <c:pt idx="845">
                  <c:v>4.2249999999999321</c:v>
                </c:pt>
                <c:pt idx="846">
                  <c:v>4.229999999999932</c:v>
                </c:pt>
                <c:pt idx="847">
                  <c:v>4.2349999999999319</c:v>
                </c:pt>
                <c:pt idx="848">
                  <c:v>4.2399999999999318</c:v>
                </c:pt>
                <c:pt idx="849">
                  <c:v>4.2449999999999317</c:v>
                </c:pt>
                <c:pt idx="850">
                  <c:v>4.2499999999999316</c:v>
                </c:pt>
                <c:pt idx="851">
                  <c:v>4.2549999999999315</c:v>
                </c:pt>
                <c:pt idx="852">
                  <c:v>4.2599999999999314</c:v>
                </c:pt>
                <c:pt idx="853">
                  <c:v>4.2649999999999313</c:v>
                </c:pt>
                <c:pt idx="854">
                  <c:v>4.2699999999999312</c:v>
                </c:pt>
                <c:pt idx="855">
                  <c:v>4.2749999999999311</c:v>
                </c:pt>
                <c:pt idx="856">
                  <c:v>4.279999999999931</c:v>
                </c:pt>
                <c:pt idx="857">
                  <c:v>4.2849999999999309</c:v>
                </c:pt>
                <c:pt idx="858">
                  <c:v>4.2899999999999308</c:v>
                </c:pt>
                <c:pt idx="859">
                  <c:v>4.2949999999999307</c:v>
                </c:pt>
                <c:pt idx="860">
                  <c:v>4.2999999999999305</c:v>
                </c:pt>
                <c:pt idx="861">
                  <c:v>4.3049999999999304</c:v>
                </c:pt>
                <c:pt idx="862">
                  <c:v>4.3099999999999303</c:v>
                </c:pt>
                <c:pt idx="863">
                  <c:v>4.3149999999999302</c:v>
                </c:pt>
                <c:pt idx="864">
                  <c:v>4.3199999999999301</c:v>
                </c:pt>
                <c:pt idx="865">
                  <c:v>4.32499999999993</c:v>
                </c:pt>
                <c:pt idx="866">
                  <c:v>4.3299999999999299</c:v>
                </c:pt>
                <c:pt idx="867">
                  <c:v>4.3349999999999298</c:v>
                </c:pt>
                <c:pt idx="868">
                  <c:v>4.3399999999999297</c:v>
                </c:pt>
                <c:pt idx="869">
                  <c:v>4.3449999999999296</c:v>
                </c:pt>
                <c:pt idx="870">
                  <c:v>4.3499999999999295</c:v>
                </c:pt>
                <c:pt idx="871">
                  <c:v>4.3549999999999294</c:v>
                </c:pt>
                <c:pt idx="872">
                  <c:v>4.3599999999999293</c:v>
                </c:pt>
                <c:pt idx="873">
                  <c:v>4.3649999999999292</c:v>
                </c:pt>
                <c:pt idx="874">
                  <c:v>4.3699999999999291</c:v>
                </c:pt>
                <c:pt idx="875">
                  <c:v>4.3749999999999289</c:v>
                </c:pt>
                <c:pt idx="876">
                  <c:v>4.3799999999999288</c:v>
                </c:pt>
                <c:pt idx="877">
                  <c:v>4.3849999999999287</c:v>
                </c:pt>
                <c:pt idx="878">
                  <c:v>4.3899999999999286</c:v>
                </c:pt>
                <c:pt idx="879">
                  <c:v>4.3949999999999285</c:v>
                </c:pt>
                <c:pt idx="880">
                  <c:v>4.3999999999999284</c:v>
                </c:pt>
                <c:pt idx="881">
                  <c:v>4.4049999999999283</c:v>
                </c:pt>
                <c:pt idx="882">
                  <c:v>4.4099999999999282</c:v>
                </c:pt>
                <c:pt idx="883">
                  <c:v>4.4149999999999281</c:v>
                </c:pt>
                <c:pt idx="884">
                  <c:v>4.419999999999928</c:v>
                </c:pt>
                <c:pt idx="885">
                  <c:v>4.4249999999999279</c:v>
                </c:pt>
                <c:pt idx="886">
                  <c:v>4.4299999999999278</c:v>
                </c:pt>
                <c:pt idx="887">
                  <c:v>4.4349999999999277</c:v>
                </c:pt>
                <c:pt idx="888">
                  <c:v>4.4399999999999276</c:v>
                </c:pt>
                <c:pt idx="889">
                  <c:v>4.4449999999999275</c:v>
                </c:pt>
                <c:pt idx="890">
                  <c:v>4.4499999999999273</c:v>
                </c:pt>
                <c:pt idx="891">
                  <c:v>4.4549999999999272</c:v>
                </c:pt>
                <c:pt idx="892">
                  <c:v>4.4599999999999271</c:v>
                </c:pt>
                <c:pt idx="893">
                  <c:v>4.464999999999927</c:v>
                </c:pt>
                <c:pt idx="894">
                  <c:v>4.4699999999999269</c:v>
                </c:pt>
                <c:pt idx="895">
                  <c:v>4.4749999999999268</c:v>
                </c:pt>
                <c:pt idx="896">
                  <c:v>4.4799999999999267</c:v>
                </c:pt>
                <c:pt idx="897">
                  <c:v>4.4849999999999266</c:v>
                </c:pt>
                <c:pt idx="898">
                  <c:v>4.4899999999999265</c:v>
                </c:pt>
                <c:pt idx="899">
                  <c:v>4.4949999999999264</c:v>
                </c:pt>
                <c:pt idx="900">
                  <c:v>4.4999999999999263</c:v>
                </c:pt>
                <c:pt idx="901">
                  <c:v>4.5049999999999262</c:v>
                </c:pt>
                <c:pt idx="902">
                  <c:v>4.5099999999999261</c:v>
                </c:pt>
                <c:pt idx="903">
                  <c:v>4.514999999999926</c:v>
                </c:pt>
                <c:pt idx="904">
                  <c:v>4.5199999999999259</c:v>
                </c:pt>
                <c:pt idx="905">
                  <c:v>4.5249999999999257</c:v>
                </c:pt>
                <c:pt idx="906">
                  <c:v>4.5299999999999256</c:v>
                </c:pt>
                <c:pt idx="907">
                  <c:v>4.5349999999999255</c:v>
                </c:pt>
                <c:pt idx="908">
                  <c:v>4.5399999999999254</c:v>
                </c:pt>
                <c:pt idx="909">
                  <c:v>4.5449999999999253</c:v>
                </c:pt>
                <c:pt idx="910">
                  <c:v>4.5499999999999252</c:v>
                </c:pt>
                <c:pt idx="911">
                  <c:v>4.5549999999999251</c:v>
                </c:pt>
                <c:pt idx="912">
                  <c:v>4.559999999999925</c:v>
                </c:pt>
                <c:pt idx="913">
                  <c:v>4.5649999999999249</c:v>
                </c:pt>
                <c:pt idx="914">
                  <c:v>4.5699999999999248</c:v>
                </c:pt>
                <c:pt idx="915">
                  <c:v>4.5749999999999247</c:v>
                </c:pt>
                <c:pt idx="916">
                  <c:v>4.5799999999999246</c:v>
                </c:pt>
                <c:pt idx="917">
                  <c:v>4.5849999999999245</c:v>
                </c:pt>
                <c:pt idx="918">
                  <c:v>4.5899999999999244</c:v>
                </c:pt>
                <c:pt idx="919">
                  <c:v>4.5949999999999243</c:v>
                </c:pt>
                <c:pt idx="920">
                  <c:v>4.5999999999999241</c:v>
                </c:pt>
                <c:pt idx="921">
                  <c:v>4.604999999999924</c:v>
                </c:pt>
                <c:pt idx="922">
                  <c:v>4.6099999999999239</c:v>
                </c:pt>
                <c:pt idx="923">
                  <c:v>4.6149999999999238</c:v>
                </c:pt>
                <c:pt idx="924">
                  <c:v>4.6199999999999237</c:v>
                </c:pt>
                <c:pt idx="925">
                  <c:v>4.6249999999999236</c:v>
                </c:pt>
                <c:pt idx="926">
                  <c:v>4.6299999999999235</c:v>
                </c:pt>
                <c:pt idx="927">
                  <c:v>4.6349999999999234</c:v>
                </c:pt>
                <c:pt idx="928">
                  <c:v>4.6399999999999233</c:v>
                </c:pt>
                <c:pt idx="929">
                  <c:v>4.6449999999999232</c:v>
                </c:pt>
                <c:pt idx="930">
                  <c:v>4.6499999999999231</c:v>
                </c:pt>
                <c:pt idx="931">
                  <c:v>4.654999999999923</c:v>
                </c:pt>
                <c:pt idx="932">
                  <c:v>4.6599999999999229</c:v>
                </c:pt>
                <c:pt idx="933">
                  <c:v>4.6649999999999228</c:v>
                </c:pt>
                <c:pt idx="934">
                  <c:v>4.6699999999999227</c:v>
                </c:pt>
                <c:pt idx="935">
                  <c:v>4.6749999999999226</c:v>
                </c:pt>
                <c:pt idx="936">
                  <c:v>4.6799999999999224</c:v>
                </c:pt>
                <c:pt idx="937">
                  <c:v>4.6849999999999223</c:v>
                </c:pt>
                <c:pt idx="938">
                  <c:v>4.6899999999999222</c:v>
                </c:pt>
                <c:pt idx="939">
                  <c:v>4.6949999999999221</c:v>
                </c:pt>
                <c:pt idx="940">
                  <c:v>4.699999999999922</c:v>
                </c:pt>
                <c:pt idx="941">
                  <c:v>4.7049999999999219</c:v>
                </c:pt>
                <c:pt idx="942">
                  <c:v>4.7099999999999218</c:v>
                </c:pt>
                <c:pt idx="943">
                  <c:v>4.7149999999999217</c:v>
                </c:pt>
                <c:pt idx="944">
                  <c:v>4.7199999999999216</c:v>
                </c:pt>
                <c:pt idx="945">
                  <c:v>4.7249999999999215</c:v>
                </c:pt>
                <c:pt idx="946">
                  <c:v>4.7299999999999214</c:v>
                </c:pt>
                <c:pt idx="947">
                  <c:v>4.7349999999999213</c:v>
                </c:pt>
                <c:pt idx="948">
                  <c:v>4.7399999999999212</c:v>
                </c:pt>
                <c:pt idx="949">
                  <c:v>4.7449999999999211</c:v>
                </c:pt>
                <c:pt idx="950">
                  <c:v>4.749999999999921</c:v>
                </c:pt>
                <c:pt idx="951">
                  <c:v>4.7549999999999208</c:v>
                </c:pt>
                <c:pt idx="952">
                  <c:v>4.7599999999999207</c:v>
                </c:pt>
                <c:pt idx="953">
                  <c:v>4.7649999999999206</c:v>
                </c:pt>
                <c:pt idx="954">
                  <c:v>4.7699999999999205</c:v>
                </c:pt>
                <c:pt idx="955">
                  <c:v>4.7749999999999204</c:v>
                </c:pt>
                <c:pt idx="956">
                  <c:v>4.7799999999999203</c:v>
                </c:pt>
                <c:pt idx="957">
                  <c:v>4.7849999999999202</c:v>
                </c:pt>
                <c:pt idx="958">
                  <c:v>4.7899999999999201</c:v>
                </c:pt>
                <c:pt idx="959">
                  <c:v>4.79499999999992</c:v>
                </c:pt>
                <c:pt idx="960">
                  <c:v>4.7999999999999199</c:v>
                </c:pt>
                <c:pt idx="961">
                  <c:v>4.8049999999999198</c:v>
                </c:pt>
                <c:pt idx="962">
                  <c:v>4.8099999999999197</c:v>
                </c:pt>
                <c:pt idx="963">
                  <c:v>4.8149999999999196</c:v>
                </c:pt>
                <c:pt idx="964">
                  <c:v>4.8199999999999195</c:v>
                </c:pt>
                <c:pt idx="965">
                  <c:v>4.8249999999999194</c:v>
                </c:pt>
                <c:pt idx="966">
                  <c:v>4.8299999999999192</c:v>
                </c:pt>
                <c:pt idx="967">
                  <c:v>4.8349999999999191</c:v>
                </c:pt>
                <c:pt idx="968">
                  <c:v>4.839999999999919</c:v>
                </c:pt>
                <c:pt idx="969">
                  <c:v>4.8449999999999189</c:v>
                </c:pt>
                <c:pt idx="970">
                  <c:v>4.8499999999999188</c:v>
                </c:pt>
                <c:pt idx="971">
                  <c:v>4.8549999999999187</c:v>
                </c:pt>
                <c:pt idx="972">
                  <c:v>4.8599999999999186</c:v>
                </c:pt>
                <c:pt idx="973">
                  <c:v>4.8649999999999185</c:v>
                </c:pt>
                <c:pt idx="974">
                  <c:v>4.8699999999999184</c:v>
                </c:pt>
                <c:pt idx="975">
                  <c:v>4.8749999999999183</c:v>
                </c:pt>
                <c:pt idx="976">
                  <c:v>4.8799999999999182</c:v>
                </c:pt>
                <c:pt idx="977">
                  <c:v>4.8849999999999181</c:v>
                </c:pt>
                <c:pt idx="978">
                  <c:v>4.889999999999918</c:v>
                </c:pt>
                <c:pt idx="979">
                  <c:v>4.8949999999999179</c:v>
                </c:pt>
                <c:pt idx="980">
                  <c:v>4.8999999999999178</c:v>
                </c:pt>
                <c:pt idx="981">
                  <c:v>4.9049999999999176</c:v>
                </c:pt>
                <c:pt idx="982">
                  <c:v>4.9099999999999175</c:v>
                </c:pt>
                <c:pt idx="983">
                  <c:v>4.9149999999999174</c:v>
                </c:pt>
                <c:pt idx="984">
                  <c:v>4.9199999999999173</c:v>
                </c:pt>
                <c:pt idx="985">
                  <c:v>4.9249999999999172</c:v>
                </c:pt>
                <c:pt idx="986">
                  <c:v>4.9299999999999171</c:v>
                </c:pt>
                <c:pt idx="987">
                  <c:v>4.934999999999917</c:v>
                </c:pt>
                <c:pt idx="988">
                  <c:v>4.9399999999999169</c:v>
                </c:pt>
                <c:pt idx="989">
                  <c:v>4.9449999999999168</c:v>
                </c:pt>
                <c:pt idx="990">
                  <c:v>4.9499999999999167</c:v>
                </c:pt>
                <c:pt idx="991">
                  <c:v>4.9549999999999166</c:v>
                </c:pt>
                <c:pt idx="992">
                  <c:v>4.9599999999999165</c:v>
                </c:pt>
                <c:pt idx="993">
                  <c:v>4.9649999999999164</c:v>
                </c:pt>
                <c:pt idx="994">
                  <c:v>4.9699999999999163</c:v>
                </c:pt>
                <c:pt idx="995">
                  <c:v>4.9749999999999162</c:v>
                </c:pt>
                <c:pt idx="996">
                  <c:v>4.979999999999916</c:v>
                </c:pt>
                <c:pt idx="997">
                  <c:v>4.9849999999999159</c:v>
                </c:pt>
                <c:pt idx="998">
                  <c:v>4.9899999999999158</c:v>
                </c:pt>
                <c:pt idx="999">
                  <c:v>4.9949999999999157</c:v>
                </c:pt>
              </c:numCache>
            </c:numRef>
          </c:xVal>
          <c:yVal>
            <c:numRef>
              <c:f>Sheet1!$O$24:$O$1023</c:f>
              <c:numCache>
                <c:formatCode>0.00</c:formatCode>
                <c:ptCount val="1000"/>
                <c:pt idx="0">
                  <c:v>0</c:v>
                </c:pt>
                <c:pt idx="1">
                  <c:v>7.4160210195485188E-2</c:v>
                </c:pt>
                <c:pt idx="2">
                  <c:v>0.14786955738683191</c:v>
                </c:pt>
                <c:pt idx="3">
                  <c:v>0.2211303245129774</c:v>
                </c:pt>
                <c:pt idx="4">
                  <c:v>0.29394476946173509</c:v>
                </c:pt>
                <c:pt idx="5">
                  <c:v>0.3663151254042305</c:v>
                </c:pt>
                <c:pt idx="6">
                  <c:v>0.43824360112362426</c:v>
                </c:pt>
                <c:pt idx="7">
                  <c:v>0.50973238133823817</c:v>
                </c:pt>
                <c:pt idx="8">
                  <c:v>0.58078362701919883</c:v>
                </c:pt>
                <c:pt idx="9">
                  <c:v>0.65139947570271028</c:v>
                </c:pt>
                <c:pt idx="10">
                  <c:v>0.72158204179706398</c:v>
                </c:pt>
                <c:pt idx="11">
                  <c:v>0.79133341688449266</c:v>
                </c:pt>
                <c:pt idx="12">
                  <c:v>0.86065567001797139</c:v>
                </c:pt>
                <c:pt idx="13">
                  <c:v>0.92955084801306775</c:v>
                </c:pt>
                <c:pt idx="14">
                  <c:v>0.99802097573493953</c:v>
                </c:pt>
                <c:pt idx="15">
                  <c:v>1.0660680563805767</c:v>
                </c:pt>
                <c:pt idx="16">
                  <c:v>1.1336940717563824</c:v>
                </c:pt>
                <c:pt idx="17">
                  <c:v>1.2009009825511852</c:v>
                </c:pt>
                <c:pt idx="18">
                  <c:v>1.2676907286047727</c:v>
                </c:pt>
                <c:pt idx="19">
                  <c:v>1.334065229172035</c:v>
                </c:pt>
                <c:pt idx="20">
                  <c:v>1.4000263831828026</c:v>
                </c:pt>
                <c:pt idx="21">
                  <c:v>1.4655760694974662</c:v>
                </c:pt>
                <c:pt idx="22">
                  <c:v>1.5307161471584572</c:v>
                </c:pt>
                <c:pt idx="23">
                  <c:v>1.5954484556376716</c:v>
                </c:pt>
                <c:pt idx="24">
                  <c:v>1.6597748150799154</c:v>
                </c:pt>
                <c:pt idx="25">
                  <c:v>1.7236970265424483</c:v>
                </c:pt>
                <c:pt idx="26">
                  <c:v>1.7872168722307009</c:v>
                </c:pt>
                <c:pt idx="27">
                  <c:v>1.8503361157302394</c:v>
                </c:pt>
                <c:pt idx="28">
                  <c:v>1.9130565022350492</c:v>
                </c:pt>
                <c:pt idx="29">
                  <c:v>1.9753797587722082</c:v>
                </c:pt>
                <c:pt idx="30">
                  <c:v>2.037307594423019</c:v>
                </c:pt>
                <c:pt idx="31">
                  <c:v>2.0988417005406657</c:v>
                </c:pt>
                <c:pt idx="32">
                  <c:v>2.1599837509644644</c:v>
                </c:pt>
                <c:pt idx="33">
                  <c:v>2.2207354022307677</c:v>
                </c:pt>
                <c:pt idx="34">
                  <c:v>2.2810982937805897</c:v>
                </c:pt>
                <c:pt idx="35">
                  <c:v>2.3410740481640118</c:v>
                </c:pt>
                <c:pt idx="36">
                  <c:v>2.4006642712414306</c:v>
                </c:pt>
                <c:pt idx="37">
                  <c:v>2.4598705523817048</c:v>
                </c:pt>
                <c:pt idx="38">
                  <c:v>2.518694464657262</c:v>
                </c:pt>
                <c:pt idx="39">
                  <c:v>2.5771375650362209</c:v>
                </c:pt>
                <c:pt idx="40">
                  <c:v>2.635201394571582</c:v>
                </c:pt>
                <c:pt idx="41">
                  <c:v>2.6928874785875463</c:v>
                </c:pt>
                <c:pt idx="42">
                  <c:v>2.7501973268630096</c:v>
                </c:pt>
                <c:pt idx="43">
                  <c:v>2.8071324338122881</c:v>
                </c:pt>
                <c:pt idx="44">
                  <c:v>2.8636942786631256</c:v>
                </c:pt>
                <c:pt idx="45">
                  <c:v>2.9198843256320317</c:v>
                </c:pt>
                <c:pt idx="46">
                  <c:v>2.9757040240969994</c:v>
                </c:pt>
                <c:pt idx="47">
                  <c:v>3.031154808767651</c:v>
                </c:pt>
                <c:pt idx="48">
                  <c:v>3.0862380998528605</c:v>
                </c:pt>
                <c:pt idx="49">
                  <c:v>3.1409553032258946</c:v>
                </c:pt>
                <c:pt idx="50">
                  <c:v>3.195307810587122</c:v>
                </c:pt>
                <c:pt idx="51">
                  <c:v>3.2492969996243311</c:v>
                </c:pt>
                <c:pt idx="52">
                  <c:v>3.3029242341707037</c:v>
                </c:pt>
                <c:pt idx="53">
                  <c:v>3.3561908643604821</c:v>
                </c:pt>
                <c:pt idx="54">
                  <c:v>3.4090982267823748</c:v>
                </c:pt>
                <c:pt idx="55">
                  <c:v>3.4616476446307414</c:v>
                </c:pt>
                <c:pt idx="56">
                  <c:v>3.5138404278545945</c:v>
                </c:pt>
                <c:pt idx="57">
                  <c:v>3.5656778733044598</c:v>
                </c:pt>
                <c:pt idx="58">
                  <c:v>3.617161264877133</c:v>
                </c:pt>
                <c:pt idx="59">
                  <c:v>3.668291873658367</c:v>
                </c:pt>
                <c:pt idx="60">
                  <c:v>3.7190709580635342</c:v>
                </c:pt>
                <c:pt idx="61">
                  <c:v>3.7694997639762922</c:v>
                </c:pt>
                <c:pt idx="62">
                  <c:v>3.8195795248852922</c:v>
                </c:pt>
                <c:pt idx="63">
                  <c:v>3.8693114620189664</c:v>
                </c:pt>
                <c:pt idx="64">
                  <c:v>3.9186967844784251</c:v>
                </c:pt>
                <c:pt idx="65">
                  <c:v>3.9677366893684991</c:v>
                </c:pt>
                <c:pt idx="66">
                  <c:v>4.0164323619269604</c:v>
                </c:pt>
                <c:pt idx="67">
                  <c:v>4.0647849756519516</c:v>
                </c:pt>
                <c:pt idx="68">
                  <c:v>4.1127956924276603</c:v>
                </c:pt>
                <c:pt idx="69">
                  <c:v>4.1604656626482637</c:v>
                </c:pt>
                <c:pt idx="70">
                  <c:v>4.2077960253401763</c:v>
                </c:pt>
                <c:pt idx="71">
                  <c:v>4.2547879082826352</c:v>
                </c:pt>
                <c:pt idx="72">
                  <c:v>4.3014424281266432</c:v>
                </c:pt>
                <c:pt idx="73">
                  <c:v>4.3477606905123087</c:v>
                </c:pt>
                <c:pt idx="74">
                  <c:v>4.3937437901846019</c:v>
                </c:pt>
                <c:pt idx="75">
                  <c:v>4.4393928111075631</c:v>
                </c:pt>
                <c:pt idx="76">
                  <c:v>4.4847088265769832</c:v>
                </c:pt>
                <c:pt idx="77">
                  <c:v>4.5296928993315886</c:v>
                </c:pt>
                <c:pt idx="78">
                  <c:v>4.5743460816627568</c:v>
                </c:pt>
                <c:pt idx="79">
                  <c:v>4.6186694155227812</c:v>
                </c:pt>
                <c:pt idx="80">
                  <c:v>4.6626639326317258</c:v>
                </c:pt>
                <c:pt idx="81">
                  <c:v>4.7063306545828754</c:v>
                </c:pt>
                <c:pt idx="82">
                  <c:v>4.7496705929468241</c:v>
                </c:pt>
                <c:pt idx="83">
                  <c:v>4.7926847493742137</c:v>
                </c:pt>
                <c:pt idx="84">
                  <c:v>4.835374115697153</c:v>
                </c:pt>
                <c:pt idx="85">
                  <c:v>4.8777396740293382</c:v>
                </c:pt>
                <c:pt idx="86">
                  <c:v>4.9197823968648979</c:v>
                </c:pt>
                <c:pt idx="87">
                  <c:v>4.9615032471759868</c:v>
                </c:pt>
                <c:pt idx="88">
                  <c:v>5.0029031785091469</c:v>
                </c:pt>
                <c:pt idx="89">
                  <c:v>5.0439831350804649</c:v>
                </c:pt>
                <c:pt idx="90">
                  <c:v>5.0847440518695377</c:v>
                </c:pt>
                <c:pt idx="91">
                  <c:v>5.1251868547122772</c:v>
                </c:pt>
                <c:pt idx="92">
                  <c:v>5.1653124603925686</c:v>
                </c:pt>
                <c:pt idx="93">
                  <c:v>5.2051217767328044</c:v>
                </c:pt>
                <c:pt idx="94">
                  <c:v>5.2446157026833156</c:v>
                </c:pt>
                <c:pt idx="95">
                  <c:v>5.2837951284107199</c:v>
                </c:pt>
                <c:pt idx="96">
                  <c:v>5.3226609353852039</c:v>
                </c:pt>
                <c:pt idx="97">
                  <c:v>5.3612139964667636</c:v>
                </c:pt>
                <c:pt idx="98">
                  <c:v>5.3994551759904166</c:v>
                </c:pt>
                <c:pt idx="99">
                  <c:v>5.4373853298504082</c:v>
                </c:pt>
                <c:pt idx="100">
                  <c:v>5.4750053055834282</c:v>
                </c:pt>
                <c:pt idx="101">
                  <c:v>5.5123159424508614</c:v>
                </c:pt>
                <c:pt idx="102">
                  <c:v>5.5493180715200809</c:v>
                </c:pt>
                <c:pt idx="103">
                  <c:v>5.5860125157448079</c:v>
                </c:pt>
                <c:pt idx="104">
                  <c:v>5.6224000900445583</c:v>
                </c:pt>
                <c:pt idx="105">
                  <c:v>5.6584816013831833</c:v>
                </c:pt>
                <c:pt idx="106">
                  <c:v>5.6942578488465321</c:v>
                </c:pt>
                <c:pt idx="107">
                  <c:v>5.7297296237192441</c:v>
                </c:pt>
                <c:pt idx="108">
                  <c:v>5.764897709560695</c:v>
                </c:pt>
                <c:pt idx="109">
                  <c:v>5.7997628822801062</c:v>
                </c:pt>
                <c:pt idx="110">
                  <c:v>5.834325910210838</c:v>
                </c:pt>
                <c:pt idx="111">
                  <c:v>5.8685875541838817</c:v>
                </c:pt>
                <c:pt idx="112">
                  <c:v>5.9025485676005642</c:v>
                </c:pt>
                <c:pt idx="113">
                  <c:v>5.9362096965044815</c:v>
                </c:pt>
                <c:pt idx="114">
                  <c:v>5.9695716796526774</c:v>
                </c:pt>
                <c:pt idx="115">
                  <c:v>6.002635248586083</c:v>
                </c:pt>
                <c:pt idx="116">
                  <c:v>6.0354011276992274</c:v>
                </c:pt>
                <c:pt idx="117">
                  <c:v>6.0678700343092391</c:v>
                </c:pt>
                <c:pt idx="118">
                  <c:v>6.1000426787241517</c:v>
                </c:pt>
                <c:pt idx="119">
                  <c:v>6.131919764310525</c:v>
                </c:pt>
                <c:pt idx="120">
                  <c:v>6.1635019875603971</c:v>
                </c:pt>
                <c:pt idx="121">
                  <c:v>6.1947900381575858</c:v>
                </c:pt>
                <c:pt idx="122">
                  <c:v>6.2257845990433474</c:v>
                </c:pt>
                <c:pt idx="123">
                  <c:v>6.2564863464814069</c:v>
                </c:pt>
                <c:pt idx="124">
                  <c:v>6.2868959501223758</c:v>
                </c:pt>
                <c:pt idx="125">
                  <c:v>6.3170140730675701</c:v>
                </c:pt>
                <c:pt idx="126">
                  <c:v>6.346841371932241</c:v>
                </c:pt>
                <c:pt idx="127">
                  <c:v>6.3763784969082309</c:v>
                </c:pt>
                <c:pt idx="128">
                  <c:v>6.4056260918260675</c:v>
                </c:pt>
                <c:pt idx="129">
                  <c:v>6.4345847942165095</c:v>
                </c:pt>
                <c:pt idx="130">
                  <c:v>6.463255235371558</c:v>
                </c:pt>
                <c:pt idx="131">
                  <c:v>6.4916380404049416</c:v>
                </c:pt>
                <c:pt idx="132">
                  <c:v>6.5197338283120887</c:v>
                </c:pt>
                <c:pt idx="133">
                  <c:v>6.5475432120296055</c:v>
                </c:pt>
                <c:pt idx="134">
                  <c:v>6.5750667984942632</c:v>
                </c:pt>
                <c:pt idx="135">
                  <c:v>6.6023051887015081</c:v>
                </c:pt>
                <c:pt idx="136">
                  <c:v>6.629258977763512</c:v>
                </c:pt>
                <c:pt idx="137">
                  <c:v>6.6559287549667676</c:v>
                </c:pt>
                <c:pt idx="138">
                  <c:v>6.6823151038292439</c:v>
                </c:pt>
                <c:pt idx="139">
                  <c:v>6.7084186021571126</c:v>
                </c:pt>
                <c:pt idx="140">
                  <c:v>6.7342398221010562</c:v>
                </c:pt>
                <c:pt idx="141">
                  <c:v>6.7597793302121696</c:v>
                </c:pt>
                <c:pt idx="142">
                  <c:v>6.7850376874974643</c:v>
                </c:pt>
                <c:pt idx="143">
                  <c:v>6.8100154494749887</c:v>
                </c:pt>
                <c:pt idx="144">
                  <c:v>6.8347131662285747</c:v>
                </c:pt>
                <c:pt idx="145">
                  <c:v>6.8591313824622189</c:v>
                </c:pt>
                <c:pt idx="146">
                  <c:v>6.8832706375541131</c:v>
                </c:pt>
                <c:pt idx="147">
                  <c:v>6.9071314656103295</c:v>
                </c:pt>
                <c:pt idx="148">
                  <c:v>6.9307143955181747</c:v>
                </c:pt>
                <c:pt idx="149">
                  <c:v>6.9540199509992213</c:v>
                </c:pt>
                <c:pt idx="150">
                  <c:v>6.9770486506620273</c:v>
                </c:pt>
                <c:pt idx="151">
                  <c:v>6.9998010080545541</c:v>
                </c:pt>
                <c:pt idx="152">
                  <c:v>7.0222775317162887</c:v>
                </c:pt>
                <c:pt idx="153">
                  <c:v>7.0444787252300891</c:v>
                </c:pt>
                <c:pt idx="154">
                  <c:v>7.0664050872737514</c:v>
                </c:pt>
                <c:pt idx="155">
                  <c:v>7.088057111671314</c:v>
                </c:pt>
                <c:pt idx="156">
                  <c:v>7.1094352874441116</c:v>
                </c:pt>
                <c:pt idx="157">
                  <c:v>7.1305400988615766</c:v>
                </c:pt>
                <c:pt idx="158">
                  <c:v>7.1513720254918116</c:v>
                </c:pt>
                <c:pt idx="159">
                  <c:v>7.1719315422519321</c:v>
                </c:pt>
                <c:pt idx="160">
                  <c:v>7.1922191194581906</c:v>
                </c:pt>
                <c:pt idx="161">
                  <c:v>7.2122352228758899</c:v>
                </c:pt>
                <c:pt idx="162">
                  <c:v>7.2319803137690997</c:v>
                </c:pt>
                <c:pt idx="163">
                  <c:v>7.2514548489501767</c:v>
                </c:pt>
                <c:pt idx="164">
                  <c:v>7.2706592808291033</c:v>
                </c:pt>
                <c:pt idx="165">
                  <c:v>7.2895940574626472</c:v>
                </c:pt>
                <c:pt idx="166">
                  <c:v>7.3082596226033569</c:v>
                </c:pt>
                <c:pt idx="167">
                  <c:v>7.3266564157483947</c:v>
                </c:pt>
                <c:pt idx="168">
                  <c:v>7.3447848721882174</c:v>
                </c:pt>
                <c:pt idx="169">
                  <c:v>7.362645423055115</c:v>
                </c:pt>
                <c:pt idx="170">
                  <c:v>7.3802384953716089</c:v>
                </c:pt>
                <c:pt idx="171">
                  <c:v>7.3975645120987208</c:v>
                </c:pt>
                <c:pt idx="172">
                  <c:v>7.4146238921841228</c:v>
                </c:pt>
                <c:pt idx="173">
                  <c:v>7.4314170506101638</c:v>
                </c:pt>
                <c:pt idx="174">
                  <c:v>7.4479443984417966</c:v>
                </c:pt>
                <c:pt idx="175">
                  <c:v>7.4642063428743954</c:v>
                </c:pt>
                <c:pt idx="176">
                  <c:v>7.480203287281479</c:v>
                </c:pt>
                <c:pt idx="177">
                  <c:v>7.4959356312623475</c:v>
                </c:pt>
                <c:pt idx="178">
                  <c:v>7.5114037706896317</c:v>
                </c:pt>
                <c:pt idx="179">
                  <c:v>7.5266080977567684</c:v>
                </c:pt>
                <c:pt idx="180">
                  <c:v>7.5415490010254</c:v>
                </c:pt>
                <c:pt idx="181">
                  <c:v>7.5562268654727118</c:v>
                </c:pt>
                <c:pt idx="182">
                  <c:v>7.5706420725387069</c:v>
                </c:pt>
                <c:pt idx="183">
                  <c:v>7.5847950001734246</c:v>
                </c:pt>
                <c:pt idx="184">
                  <c:v>7.5986860228841078</c:v>
                </c:pt>
                <c:pt idx="185">
                  <c:v>7.6123155117823273</c:v>
                </c:pt>
                <c:pt idx="186">
                  <c:v>7.6256838346310607</c:v>
                </c:pt>
                <c:pt idx="187">
                  <c:v>7.638791355891736</c:v>
                </c:pt>
                <c:pt idx="188">
                  <c:v>7.6516384367712433</c:v>
                </c:pt>
                <c:pt idx="189">
                  <c:v>7.6642254352689143</c:v>
                </c:pt>
                <c:pt idx="190">
                  <c:v>7.676552706223478</c:v>
                </c:pt>
                <c:pt idx="191">
                  <c:v>7.6886206013599931</c:v>
                </c:pt>
                <c:pt idx="192">
                  <c:v>7.700429469336763</c:v>
                </c:pt>
                <c:pt idx="193">
                  <c:v>7.7119796557922315</c:v>
                </c:pt>
                <c:pt idx="194">
                  <c:v>7.7232715033918673</c:v>
                </c:pt>
                <c:pt idx="195">
                  <c:v>7.7343053518750358</c:v>
                </c:pt>
                <c:pt idx="196">
                  <c:v>7.7450815381018625</c:v>
                </c:pt>
                <c:pt idx="197">
                  <c:v>7.7556003961000881</c:v>
                </c:pt>
                <c:pt idx="198">
                  <c:v>7.7658622571119187</c:v>
                </c:pt>
                <c:pt idx="199">
                  <c:v>7.7758674496408728</c:v>
                </c:pt>
                <c:pt idx="200">
                  <c:v>7.7856162994986198</c:v>
                </c:pt>
                <c:pt idx="201">
                  <c:v>7.7951091298518236</c:v>
                </c:pt>
                <c:pt idx="202">
                  <c:v>7.804346261268976</c:v>
                </c:pt>
                <c:pt idx="203">
                  <c:v>7.8133280117672355</c:v>
                </c:pt>
                <c:pt idx="204">
                  <c:v>7.822054696859257</c:v>
                </c:pt>
                <c:pt idx="205">
                  <c:v>7.8305266296000271</c:v>
                </c:pt>
                <c:pt idx="206">
                  <c:v>7.838744120633689</c:v>
                </c:pt>
                <c:pt idx="207">
                  <c:v>7.8467074782403676</c:v>
                </c:pt>
                <c:pt idx="208">
                  <c:v>7.8544170083829883</c:v>
                </c:pt>
                <c:pt idx="209">
                  <c:v>7.8618730147540896</c:v>
                </c:pt>
                <c:pt idx="210">
                  <c:v>7.8690757988226263</c:v>
                </c:pt>
                <c:pt idx="211">
                  <c:v>7.8760256598807628</c:v>
                </c:pt>
                <c:pt idx="212">
                  <c:v>7.8827228950906543</c:v>
                </c:pt>
                <c:pt idx="213">
                  <c:v>7.8891677995312106</c:v>
                </c:pt>
                <c:pt idx="214">
                  <c:v>7.8953606662448408</c:v>
                </c:pt>
                <c:pt idx="215">
                  <c:v>7.9013017862841783</c:v>
                </c:pt>
                <c:pt idx="216">
                  <c:v>7.9069914487587809</c:v>
                </c:pt>
                <c:pt idx="217">
                  <c:v>7.9124299408817969</c:v>
                </c:pt>
                <c:pt idx="218">
                  <c:v>7.9176175480166018</c:v>
                </c:pt>
                <c:pt idx="219">
                  <c:v>7.9225545537233977</c:v>
                </c:pt>
                <c:pt idx="220">
                  <c:v>7.9272412398057659</c:v>
                </c:pt>
                <c:pt idx="221">
                  <c:v>7.9316778863571775</c:v>
                </c:pt>
                <c:pt idx="222">
                  <c:v>7.935864771807446</c:v>
                </c:pt>
                <c:pt idx="223">
                  <c:v>7.9398021729691246</c:v>
                </c:pt>
                <c:pt idx="224">
                  <c:v>7.9434903650838402</c:v>
                </c:pt>
                <c:pt idx="225">
                  <c:v>7.9469296218685557</c:v>
                </c:pt>
                <c:pt idx="226">
                  <c:v>7.9501202155617552</c:v>
                </c:pt>
                <c:pt idx="227">
                  <c:v>7.9530624169695505</c:v>
                </c:pt>
                <c:pt idx="228">
                  <c:v>7.9557564955116939</c:v>
                </c:pt>
                <c:pt idx="229">
                  <c:v>7.9582027192674953</c:v>
                </c:pt>
                <c:pt idx="230">
                  <c:v>7.9604013550216397</c:v>
                </c:pt>
                <c:pt idx="231">
                  <c:v>7.9623526683098884</c:v>
                </c:pt>
                <c:pt idx="232">
                  <c:v>7.9640569234646659</c:v>
                </c:pt>
                <c:pt idx="233">
                  <c:v>7.9655143836605165</c:v>
                </c:pt>
                <c:pt idx="234">
                  <c:v>7.9667253109594309</c:v>
                </c:pt>
                <c:pt idx="235">
                  <c:v>7.9676899663560299</c:v>
                </c:pt>
                <c:pt idx="236">
                  <c:v>7.9684086098225917</c:v>
                </c:pt>
                <c:pt idx="237">
                  <c:v>7.9688815003539304</c:v>
                </c:pt>
                <c:pt idx="238">
                  <c:v>7.9691088960120977</c:v>
                </c:pt>
                <c:pt idx="239">
                  <c:v>7.9690910539709128</c:v>
                </c:pt>
                <c:pt idx="240">
                  <c:v>7.9688282305603062</c:v>
                </c:pt>
                <c:pt idx="241">
                  <c:v>7.9683206813104714</c:v>
                </c:pt>
                <c:pt idx="242">
                  <c:v>7.9675686609958092</c:v>
                </c:pt>
                <c:pt idx="243">
                  <c:v>7.9665724236786657</c:v>
                </c:pt>
                <c:pt idx="244">
                  <c:v>7.9653322227528447</c:v>
                </c:pt>
                <c:pt idx="245">
                  <c:v>7.9638483109868909</c:v>
                </c:pt>
                <c:pt idx="246">
                  <c:v>7.9621209405671349</c:v>
                </c:pt>
                <c:pt idx="247">
                  <c:v>7.9601503631404871</c:v>
                </c:pt>
                <c:pt idx="248">
                  <c:v>7.9579368298569744</c:v>
                </c:pt>
                <c:pt idx="249">
                  <c:v>7.9554805914120115</c:v>
                </c:pt>
                <c:pt idx="250">
                  <c:v>7.9527818980883902</c:v>
                </c:pt>
                <c:pt idx="251">
                  <c:v>7.9498409997979875</c:v>
                </c:pt>
                <c:pt idx="252">
                  <c:v>7.9466581461231778</c:v>
                </c:pt>
                <c:pt idx="253">
                  <c:v>7.9432335863579384</c:v>
                </c:pt>
                <c:pt idx="254">
                  <c:v>7.9395675695486414</c:v>
                </c:pt>
                <c:pt idx="255">
                  <c:v>7.9356603445345275</c:v>
                </c:pt>
                <c:pt idx="256">
                  <c:v>7.9315121599878422</c:v>
                </c:pt>
                <c:pt idx="257">
                  <c:v>7.9271232644536349</c:v>
                </c:pt>
                <c:pt idx="258">
                  <c:v>7.9224939063892084</c:v>
                </c:pt>
                <c:pt idx="259">
                  <c:v>7.9176243342032109</c:v>
                </c:pt>
                <c:pt idx="260">
                  <c:v>7.9125147962943609</c:v>
                </c:pt>
                <c:pt idx="261">
                  <c:v>7.9071655410897952</c:v>
                </c:pt>
                <c:pt idx="262">
                  <c:v>7.9015768170830398</c:v>
                </c:pt>
                <c:pt idx="263">
                  <c:v>7.8957488728715832</c:v>
                </c:pt>
                <c:pt idx="264">
                  <c:v>7.8896819571940568</c:v>
                </c:pt>
                <c:pt idx="265">
                  <c:v>7.8833763189670041</c:v>
                </c:pt>
                <c:pt idx="266">
                  <c:v>7.876832207321236</c:v>
                </c:pt>
                <c:pt idx="267">
                  <c:v>7.870049871637768</c:v>
                </c:pt>
                <c:pt idx="268">
                  <c:v>7.8630295615833283</c:v>
                </c:pt>
                <c:pt idx="269">
                  <c:v>7.8557715271454267</c:v>
                </c:pt>
                <c:pt idx="270">
                  <c:v>7.8482760186669847</c:v>
                </c:pt>
                <c:pt idx="271">
                  <c:v>7.8405432868805169</c:v>
                </c:pt>
                <c:pt idx="272">
                  <c:v>7.8325735829418566</c:v>
                </c:pt>
                <c:pt idx="273">
                  <c:v>7.8243671584634216</c:v>
                </c:pt>
                <c:pt idx="274">
                  <c:v>7.8159242655470127</c:v>
                </c:pt>
                <c:pt idx="275">
                  <c:v>7.8072451568161414</c:v>
                </c:pt>
                <c:pt idx="276">
                  <c:v>7.798330085447879</c:v>
                </c:pt>
                <c:pt idx="277">
                  <c:v>7.7891793052042262</c:v>
                </c:pt>
                <c:pt idx="278">
                  <c:v>7.7797930704629934</c:v>
                </c:pt>
                <c:pt idx="279">
                  <c:v>7.7701716362481905</c:v>
                </c:pt>
                <c:pt idx="280">
                  <c:v>7.7603152582599222</c:v>
                </c:pt>
                <c:pt idx="281">
                  <c:v>7.7502241929037838</c:v>
                </c:pt>
                <c:pt idx="282">
                  <c:v>7.7398986973197541</c:v>
                </c:pt>
                <c:pt idx="283">
                  <c:v>7.729339029410581</c:v>
                </c:pt>
                <c:pt idx="284">
                  <c:v>7.7185454478696593</c:v>
                </c:pt>
                <c:pt idx="285">
                  <c:v>7.7075182122083961</c:v>
                </c:pt>
                <c:pt idx="286">
                  <c:v>7.696257582783061</c:v>
                </c:pt>
                <c:pt idx="287">
                  <c:v>7.6847638208211206</c:v>
                </c:pt>
                <c:pt idx="288">
                  <c:v>7.6730371884470534</c:v>
                </c:pt>
                <c:pt idx="289">
                  <c:v>7.6610779487076428</c:v>
                </c:pt>
                <c:pt idx="290">
                  <c:v>7.6488863655967494</c:v>
                </c:pt>
                <c:pt idx="291">
                  <c:v>7.6364627040795616</c:v>
                </c:pt>
                <c:pt idx="292">
                  <c:v>7.6238072301163173</c:v>
                </c:pt>
                <c:pt idx="293">
                  <c:v>7.6109202106855065</c:v>
                </c:pt>
                <c:pt idx="294">
                  <c:v>7.5978019138065429</c:v>
                </c:pt>
                <c:pt idx="295">
                  <c:v>7.5844526085619135</c:v>
                </c:pt>
                <c:pt idx="296">
                  <c:v>7.5708725651188038</c:v>
                </c:pt>
                <c:pt idx="297">
                  <c:v>7.5570620547501912</c:v>
                </c:pt>
                <c:pt idx="298">
                  <c:v>7.5430213498554224</c:v>
                </c:pt>
                <c:pt idx="299">
                  <c:v>7.5287507239802602</c:v>
                </c:pt>
                <c:pt idx="300">
                  <c:v>7.5142504518364106</c:v>
                </c:pt>
                <c:pt idx="301">
                  <c:v>7.4995208093205257</c:v>
                </c:pt>
                <c:pt idx="302">
                  <c:v>7.4845620735326905</c:v>
                </c:pt>
                <c:pt idx="303">
                  <c:v>7.4693745227943857</c:v>
                </c:pt>
                <c:pt idx="304">
                  <c:v>7.4539584366659373</c:v>
                </c:pt>
                <c:pt idx="305">
                  <c:v>7.4383140959634506</c:v>
                </c:pt>
                <c:pt idx="306">
                  <c:v>7.4224417827752296</c:v>
                </c:pt>
                <c:pt idx="307">
                  <c:v>7.4063417804776881</c:v>
                </c:pt>
                <c:pt idx="308">
                  <c:v>7.3900143737507538</c:v>
                </c:pt>
                <c:pt idx="309">
                  <c:v>7.3734598485927654</c:v>
                </c:pt>
                <c:pt idx="310">
                  <c:v>7.3566784923348694</c:v>
                </c:pt>
                <c:pt idx="311">
                  <c:v>7.3396705936549163</c:v>
                </c:pt>
                <c:pt idx="312">
                  <c:v>7.3224364425908623</c:v>
                </c:pt>
                <c:pt idx="313">
                  <c:v>7.3049763305536803</c:v>
                </c:pt>
                <c:pt idx="314">
                  <c:v>7.2872905503397796</c:v>
                </c:pt>
                <c:pt idx="315">
                  <c:v>7.2693793961429396</c:v>
                </c:pt>
                <c:pt idx="316">
                  <c:v>7.2512431635657677</c:v>
                </c:pt>
                <c:pt idx="317">
                  <c:v>7.2328821496306732</c:v>
                </c:pt>
                <c:pt idx="318">
                  <c:v>7.2142966527903738</c:v>
                </c:pt>
                <c:pt idx="319">
                  <c:v>7.1954869729379292</c:v>
                </c:pt>
                <c:pt idx="320">
                  <c:v>7.1764534114163094</c:v>
                </c:pt>
                <c:pt idx="321">
                  <c:v>7.157196271027507</c:v>
                </c:pt>
                <c:pt idx="322">
                  <c:v>7.1377158560411882</c:v>
                </c:pt>
                <c:pt idx="323">
                  <c:v>7.1180124722028975</c:v>
                </c:pt>
                <c:pt idx="324">
                  <c:v>7.0980864267418093</c:v>
                </c:pt>
                <c:pt idx="325">
                  <c:v>7.0779380283780444</c:v>
                </c:pt>
                <c:pt idx="326">
                  <c:v>7.0575675873295438</c:v>
                </c:pt>
                <c:pt idx="327">
                  <c:v>7.036975415318512</c:v>
                </c:pt>
                <c:pt idx="328">
                  <c:v>7.0161618255774325</c:v>
                </c:pt>
                <c:pt idx="329">
                  <c:v>6.9951271328546616</c:v>
                </c:pt>
                <c:pt idx="330">
                  <c:v>6.9738716534196037</c:v>
                </c:pt>
                <c:pt idx="331">
                  <c:v>6.952395705067473</c:v>
                </c:pt>
                <c:pt idx="332">
                  <c:v>6.9306996071236515</c:v>
                </c:pt>
                <c:pt idx="333">
                  <c:v>6.9087836804476392</c:v>
                </c:pt>
                <c:pt idx="334">
                  <c:v>6.8866482474366126</c:v>
                </c:pt>
                <c:pt idx="335">
                  <c:v>6.8642936320285877</c:v>
                </c:pt>
                <c:pt idx="336">
                  <c:v>6.8417201597051989</c:v>
                </c:pt>
                <c:pt idx="337">
                  <c:v>6.8189281574940939</c:v>
                </c:pt>
                <c:pt idx="338">
                  <c:v>6.7959179539709549</c:v>
                </c:pt>
                <c:pt idx="339">
                  <c:v>6.7726898792611481</c:v>
                </c:pt>
                <c:pt idx="340">
                  <c:v>6.7492442650410061</c:v>
                </c:pt>
                <c:pt idx="341">
                  <c:v>6.7255814445387534</c:v>
                </c:pt>
                <c:pt idx="342">
                  <c:v>6.7017017525350751</c:v>
                </c:pt>
                <c:pt idx="343">
                  <c:v>6.6776055253633357</c:v>
                </c:pt>
                <c:pt idx="344">
                  <c:v>6.6532931009094538</c:v>
                </c:pt>
                <c:pt idx="345">
                  <c:v>6.6287648186114385</c:v>
                </c:pt>
                <c:pt idx="346">
                  <c:v>6.6040210194585933</c:v>
                </c:pt>
                <c:pt idx="347">
                  <c:v>6.5790620459903879</c:v>
                </c:pt>
                <c:pt idx="348">
                  <c:v>6.5538882422950113</c:v>
                </c:pt>
                <c:pt idx="349">
                  <c:v>6.5284999540076027</c:v>
                </c:pt>
                <c:pt idx="350">
                  <c:v>6.5028975283081758</c:v>
                </c:pt>
                <c:pt idx="351">
                  <c:v>6.4770813139192285</c:v>
                </c:pt>
                <c:pt idx="352">
                  <c:v>6.4510516611030555</c:v>
                </c:pt>
                <c:pt idx="353">
                  <c:v>6.4248089216587623</c:v>
                </c:pt>
                <c:pt idx="354">
                  <c:v>6.3983534489189893</c:v>
                </c:pt>
                <c:pt idx="355">
                  <c:v>6.3716855977463434</c:v>
                </c:pt>
                <c:pt idx="356">
                  <c:v>6.3448057245295564</c:v>
                </c:pt>
                <c:pt idx="357">
                  <c:v>6.3177141871793605</c:v>
                </c:pt>
                <c:pt idx="358">
                  <c:v>6.2904113451240926</c:v>
                </c:pt>
                <c:pt idx="359">
                  <c:v>6.2628975593050358</c:v>
                </c:pt>
                <c:pt idx="360">
                  <c:v>6.2351731921714979</c:v>
                </c:pt>
                <c:pt idx="361">
                  <c:v>6.2072386076756301</c:v>
                </c:pt>
                <c:pt idx="362">
                  <c:v>6.179094171266998</c:v>
                </c:pt>
                <c:pt idx="363">
                  <c:v>6.1507402498869039</c:v>
                </c:pt>
                <c:pt idx="364">
                  <c:v>6.1221772119624669</c:v>
                </c:pt>
                <c:pt idx="365">
                  <c:v>6.0934054274004668</c:v>
                </c:pt>
                <c:pt idx="366">
                  <c:v>6.064425267580952</c:v>
                </c:pt>
                <c:pt idx="367">
                  <c:v>6.0352371053506246</c:v>
                </c:pt>
                <c:pt idx="368">
                  <c:v>6.0058413150160002</c:v>
                </c:pt>
                <c:pt idx="369">
                  <c:v>5.976238272336345</c:v>
                </c:pt>
                <c:pt idx="370">
                  <c:v>5.9464283545164056</c:v>
                </c:pt>
                <c:pt idx="371">
                  <c:v>5.9164119401989241</c:v>
                </c:pt>
                <c:pt idx="372">
                  <c:v>5.88618940945695</c:v>
                </c:pt>
                <c:pt idx="373">
                  <c:v>5.8557611437859514</c:v>
                </c:pt>
                <c:pt idx="374">
                  <c:v>5.8251275260957307</c:v>
                </c:pt>
                <c:pt idx="375">
                  <c:v>5.7942889407021445</c:v>
                </c:pt>
                <c:pt idx="376">
                  <c:v>5.7632457733186415</c:v>
                </c:pt>
                <c:pt idx="377">
                  <c:v>5.7319984110476128</c:v>
                </c:pt>
                <c:pt idx="378">
                  <c:v>5.7005472423715631</c:v>
                </c:pt>
                <c:pt idx="379">
                  <c:v>5.6688926571441094</c:v>
                </c:pt>
                <c:pt idx="380">
                  <c:v>5.6370350465808059</c:v>
                </c:pt>
                <c:pt idx="381">
                  <c:v>5.6049748032498039</c:v>
                </c:pt>
                <c:pt idx="382">
                  <c:v>5.5727123210623475</c:v>
                </c:pt>
                <c:pt idx="383">
                  <c:v>5.540247995263111</c:v>
                </c:pt>
                <c:pt idx="384">
                  <c:v>5.5075822224203792</c:v>
                </c:pt>
                <c:pt idx="385">
                  <c:v>5.4747154004160823</c:v>
                </c:pt>
                <c:pt idx="386">
                  <c:v>5.4416479284356756</c:v>
                </c:pt>
                <c:pt idx="387">
                  <c:v>5.4083802069578812</c:v>
                </c:pt>
                <c:pt idx="388">
                  <c:v>5.3749126377442877</c:v>
                </c:pt>
                <c:pt idx="389">
                  <c:v>5.3412456238288142</c:v>
                </c:pt>
                <c:pt idx="390">
                  <c:v>5.3073795695070407</c:v>
                </c:pt>
                <c:pt idx="391">
                  <c:v>5.2733148803254135</c:v>
                </c:pt>
                <c:pt idx="392">
                  <c:v>5.2390519630703176</c:v>
                </c:pt>
                <c:pt idx="393">
                  <c:v>5.2045912257570368</c:v>
                </c:pt>
                <c:pt idx="394">
                  <c:v>5.1699330776185874</c:v>
                </c:pt>
                <c:pt idx="395">
                  <c:v>5.1350779290944404</c:v>
                </c:pt>
                <c:pt idx="396">
                  <c:v>5.1000261918191327</c:v>
                </c:pt>
                <c:pt idx="397">
                  <c:v>5.0647782786107687</c:v>
                </c:pt>
                <c:pt idx="398">
                  <c:v>5.0293346034594171</c:v>
                </c:pt>
                <c:pt idx="399">
                  <c:v>4.9936955815154063</c:v>
                </c:pt>
                <c:pt idx="400">
                  <c:v>4.9578616290775201</c:v>
                </c:pt>
                <c:pt idx="401">
                  <c:v>4.921833163581101</c:v>
                </c:pt>
                <c:pt idx="402">
                  <c:v>4.8856106035860574</c:v>
                </c:pt>
                <c:pt idx="403">
                  <c:v>4.8491943687647838</c:v>
                </c:pt>
                <c:pt idx="404">
                  <c:v>4.8125848798899957</c:v>
                </c:pt>
                <c:pt idx="405">
                  <c:v>4.7757825588224785</c:v>
                </c:pt>
                <c:pt idx="406">
                  <c:v>4.7387878284987597</c:v>
                </c:pt>
                <c:pt idx="407">
                  <c:v>4.7016011129186994</c:v>
                </c:pt>
                <c:pt idx="408">
                  <c:v>4.6642228371330114</c:v>
                </c:pt>
                <c:pt idx="409">
                  <c:v>4.6266534272307096</c:v>
                </c:pt>
                <c:pt idx="410">
                  <c:v>4.5888933103264842</c:v>
                </c:pt>
                <c:pt idx="411">
                  <c:v>4.5509429145480178</c:v>
                </c:pt>
                <c:pt idx="412">
                  <c:v>4.5128026690232312</c:v>
                </c:pt>
                <c:pt idx="413">
                  <c:v>4.4744730038674723</c:v>
                </c:pt>
                <c:pt idx="414">
                  <c:v>4.4359543501706469</c:v>
                </c:pt>
                <c:pt idx="415">
                  <c:v>4.3972471399842945</c:v>
                </c:pt>
                <c:pt idx="416">
                  <c:v>4.3583518063086073</c:v>
                </c:pt>
                <c:pt idx="417">
                  <c:v>4.319268783079405</c:v>
                </c:pt>
                <c:pt idx="418">
                  <c:v>4.2799985051550573</c:v>
                </c:pt>
                <c:pt idx="419">
                  <c:v>4.240541408303363</c:v>
                </c:pt>
                <c:pt idx="420">
                  <c:v>4.2008979291883852</c:v>
                </c:pt>
                <c:pt idx="421">
                  <c:v>4.1610685053572478</c:v>
                </c:pt>
                <c:pt idx="422">
                  <c:v>4.12105357522689</c:v>
                </c:pt>
                <c:pt idx="423">
                  <c:v>4.0808535780707897</c:v>
                </c:pt>
                <c:pt idx="424">
                  <c:v>4.0404689540056502</c:v>
                </c:pt>
                <c:pt idx="425">
                  <c:v>3.9999001439780568</c:v>
                </c:pt>
                <c:pt idx="426">
                  <c:v>3.9591475897511028</c:v>
                </c:pt>
                <c:pt idx="427">
                  <c:v>3.918211733890991</c:v>
                </c:pt>
                <c:pt idx="428">
                  <c:v>3.8770930197536084</c:v>
                </c:pt>
                <c:pt idx="429">
                  <c:v>3.8357918914710791</c:v>
                </c:pt>
                <c:pt idx="430">
                  <c:v>3.7943087939382965</c:v>
                </c:pt>
                <c:pt idx="431">
                  <c:v>3.7526441727994375</c:v>
                </c:pt>
                <c:pt idx="432">
                  <c:v>3.7107984744344589</c:v>
                </c:pt>
                <c:pt idx="433">
                  <c:v>3.6687721459455811</c:v>
                </c:pt>
                <c:pt idx="434">
                  <c:v>3.6265656351437583</c:v>
                </c:pt>
                <c:pt idx="435">
                  <c:v>3.5841793905351369</c:v>
                </c:pt>
                <c:pt idx="436">
                  <c:v>3.5416138613075079</c:v>
                </c:pt>
                <c:pt idx="437">
                  <c:v>3.4988694973167509</c:v>
                </c:pt>
                <c:pt idx="438">
                  <c:v>3.4559467490732731</c:v>
                </c:pt>
                <c:pt idx="439">
                  <c:v>3.4128460677284451</c:v>
                </c:pt>
                <c:pt idx="440">
                  <c:v>3.3695679050610368</c:v>
                </c:pt>
                <c:pt idx="441">
                  <c:v>3.3261127134636514</c:v>
                </c:pt>
                <c:pt idx="442">
                  <c:v>3.282480945929164</c:v>
                </c:pt>
                <c:pt idx="443">
                  <c:v>3.2386730560371615</c:v>
                </c:pt>
                <c:pt idx="444">
                  <c:v>3.1946894979403901</c:v>
                </c:pt>
                <c:pt idx="445">
                  <c:v>3.1505307263512101</c:v>
                </c:pt>
                <c:pt idx="446">
                  <c:v>3.1061971965280568</c:v>
                </c:pt>
                <c:pt idx="447">
                  <c:v>3.0616893642619156</c:v>
                </c:pt>
                <c:pt idx="448">
                  <c:v>3.0170076858628057</c:v>
                </c:pt>
                <c:pt idx="449">
                  <c:v>2.9721526181462794</c:v>
                </c:pt>
                <c:pt idx="450">
                  <c:v>2.9271246184199362</c:v>
                </c:pt>
                <c:pt idx="451">
                  <c:v>2.881924144469953</c:v>
                </c:pt>
                <c:pt idx="452">
                  <c:v>2.8365516545476317</c:v>
                </c:pt>
                <c:pt idx="453">
                  <c:v>2.7910076073559682</c:v>
                </c:pt>
                <c:pt idx="454">
                  <c:v>2.7452924620362396</c:v>
                </c:pt>
                <c:pt idx="455">
                  <c:v>2.6994066781546171</c:v>
                </c:pt>
                <c:pt idx="456">
                  <c:v>2.6533507156887985</c:v>
                </c:pt>
                <c:pt idx="457">
                  <c:v>2.6071250350146693</c:v>
                </c:pt>
                <c:pt idx="458">
                  <c:v>2.5607300968929883</c:v>
                </c:pt>
                <c:pt idx="459">
                  <c:v>2.5141663624561015</c:v>
                </c:pt>
                <c:pt idx="460">
                  <c:v>2.4674342931946835</c:v>
                </c:pt>
                <c:pt idx="461">
                  <c:v>2.4205343509445112</c:v>
                </c:pt>
                <c:pt idx="462">
                  <c:v>2.3734669978732681</c:v>
                </c:pt>
                <c:pt idx="463">
                  <c:v>2.3262326964673803</c:v>
                </c:pt>
                <c:pt idx="464">
                  <c:v>2.2788319095188871</c:v>
                </c:pt>
                <c:pt idx="465">
                  <c:v>2.2312651001123469</c:v>
                </c:pt>
                <c:pt idx="466">
                  <c:v>2.1835327316117792</c:v>
                </c:pt>
                <c:pt idx="467">
                  <c:v>2.135635267647642</c:v>
                </c:pt>
                <c:pt idx="468">
                  <c:v>2.0875731721038511</c:v>
                </c:pt>
                <c:pt idx="469">
                  <c:v>2.0393469091048351</c:v>
                </c:pt>
                <c:pt idx="470">
                  <c:v>1.9909569430026337</c:v>
                </c:pt>
                <c:pt idx="471">
                  <c:v>1.9424037383640358</c:v>
                </c:pt>
                <c:pt idx="472">
                  <c:v>1.8936877599577611</c:v>
                </c:pt>
                <c:pt idx="473">
                  <c:v>1.8448094727416853</c:v>
                </c:pt>
                <c:pt idx="474">
                  <c:v>1.7957693418501091</c:v>
                </c:pt>
                <c:pt idx="475">
                  <c:v>1.7465678325810736</c:v>
                </c:pt>
                <c:pt idx="476">
                  <c:v>1.6972054103837217</c:v>
                </c:pt>
                <c:pt idx="477">
                  <c:v>1.6476825408457065</c:v>
                </c:pt>
                <c:pt idx="478">
                  <c:v>1.5979996896806494</c:v>
                </c:pt>
                <c:pt idx="479">
                  <c:v>1.5481573227156458</c:v>
                </c:pt>
                <c:pt idx="480">
                  <c:v>1.4981559058788216</c:v>
                </c:pt>
                <c:pt idx="481">
                  <c:v>1.4479959051869409</c:v>
                </c:pt>
                <c:pt idx="482">
                  <c:v>1.3976777867330645</c:v>
                </c:pt>
                <c:pt idx="483">
                  <c:v>1.3472020166742622</c:v>
                </c:pt>
                <c:pt idx="484">
                  <c:v>1.2965690612193774</c:v>
                </c:pt>
                <c:pt idx="485">
                  <c:v>1.2457793866168467</c:v>
                </c:pt>
                <c:pt idx="486">
                  <c:v>1.1948334591425731</c:v>
                </c:pt>
                <c:pt idx="487">
                  <c:v>1.1437317450878564</c:v>
                </c:pt>
                <c:pt idx="488">
                  <c:v>1.0924747107473789</c:v>
                </c:pt>
                <c:pt idx="489">
                  <c:v>1.0410628224072487</c:v>
                </c:pt>
                <c:pt idx="490">
                  <c:v>0.98949654633310091</c:v>
                </c:pt>
                <c:pt idx="491">
                  <c:v>0.93777634875825633</c:v>
                </c:pt>
                <c:pt idx="492">
                  <c:v>0.88590269587194026</c:v>
                </c:pt>
                <c:pt idx="493">
                  <c:v>0.83387605380756091</c:v>
                </c:pt>
                <c:pt idx="494">
                  <c:v>0.78169688863104769</c:v>
                </c:pt>
                <c:pt idx="495">
                  <c:v>0.72936566632925115</c:v>
                </c:pt>
                <c:pt idx="496">
                  <c:v>0.67688285279840399</c:v>
                </c:pt>
                <c:pt idx="497">
                  <c:v>0.62424891383264458</c:v>
                </c:pt>
                <c:pt idx="498">
                  <c:v>0.57146431511260298</c:v>
                </c:pt>
                <c:pt idx="499">
                  <c:v>0.51852952219405068</c:v>
                </c:pt>
                <c:pt idx="500">
                  <c:v>0.46544500049661369</c:v>
                </c:pt>
                <c:pt idx="501">
                  <c:v>0.41221121529255023</c:v>
                </c:pt>
                <c:pt idx="502">
                  <c:v>0.35882863169559326</c:v>
                </c:pt>
                <c:pt idx="503">
                  <c:v>0.30529771464985844</c:v>
                </c:pt>
                <c:pt idx="504">
                  <c:v>0.25161892891881793</c:v>
                </c:pt>
                <c:pt idx="505">
                  <c:v>0.19779273907434025</c:v>
                </c:pt>
                <c:pt idx="506">
                  <c:v>0.14381960948579731</c:v>
                </c:pt>
                <c:pt idx="507">
                  <c:v>8.9700004309238204E-2</c:v>
                </c:pt>
                <c:pt idx="508">
                  <c:v>3.5434387476630996E-2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no air resistance</c:v>
          </c:tx>
          <c:marker>
            <c:symbol val="none"/>
          </c:marker>
          <c:xVal>
            <c:numRef>
              <c:f>Sheet1!$A$24:$A$1023</c:f>
              <c:numCache>
                <c:formatCode>0.00</c:formatCode>
                <c:ptCount val="1000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  <c:pt idx="201">
                  <c:v>1.0050000000000006</c:v>
                </c:pt>
                <c:pt idx="202">
                  <c:v>1.0100000000000005</c:v>
                </c:pt>
                <c:pt idx="203">
                  <c:v>1.0150000000000003</c:v>
                </c:pt>
                <c:pt idx="204">
                  <c:v>1.0200000000000002</c:v>
                </c:pt>
                <c:pt idx="205">
                  <c:v>1.0250000000000001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1.0399999999999998</c:v>
                </c:pt>
                <c:pt idx="209">
                  <c:v>1.0449999999999997</c:v>
                </c:pt>
                <c:pt idx="210">
                  <c:v>1.0499999999999996</c:v>
                </c:pt>
                <c:pt idx="211">
                  <c:v>1.0549999999999995</c:v>
                </c:pt>
                <c:pt idx="212">
                  <c:v>1.0599999999999994</c:v>
                </c:pt>
                <c:pt idx="213">
                  <c:v>1.0649999999999993</c:v>
                </c:pt>
                <c:pt idx="214">
                  <c:v>1.0699999999999992</c:v>
                </c:pt>
                <c:pt idx="215">
                  <c:v>1.0749999999999991</c:v>
                </c:pt>
                <c:pt idx="216">
                  <c:v>1.079999999999999</c:v>
                </c:pt>
                <c:pt idx="217">
                  <c:v>1.0849999999999989</c:v>
                </c:pt>
                <c:pt idx="218">
                  <c:v>1.0899999999999987</c:v>
                </c:pt>
                <c:pt idx="219">
                  <c:v>1.0949999999999986</c:v>
                </c:pt>
                <c:pt idx="220">
                  <c:v>1.0999999999999985</c:v>
                </c:pt>
                <c:pt idx="221">
                  <c:v>1.1049999999999984</c:v>
                </c:pt>
                <c:pt idx="222">
                  <c:v>1.1099999999999983</c:v>
                </c:pt>
                <c:pt idx="223">
                  <c:v>1.1149999999999982</c:v>
                </c:pt>
                <c:pt idx="224">
                  <c:v>1.1199999999999981</c:v>
                </c:pt>
                <c:pt idx="225">
                  <c:v>1.124999999999998</c:v>
                </c:pt>
                <c:pt idx="226">
                  <c:v>1.1299999999999979</c:v>
                </c:pt>
                <c:pt idx="227">
                  <c:v>1.1349999999999978</c:v>
                </c:pt>
                <c:pt idx="228">
                  <c:v>1.1399999999999977</c:v>
                </c:pt>
                <c:pt idx="229">
                  <c:v>1.1449999999999976</c:v>
                </c:pt>
                <c:pt idx="230">
                  <c:v>1.1499999999999975</c:v>
                </c:pt>
                <c:pt idx="231">
                  <c:v>1.1549999999999974</c:v>
                </c:pt>
                <c:pt idx="232">
                  <c:v>1.1599999999999973</c:v>
                </c:pt>
                <c:pt idx="233">
                  <c:v>1.1649999999999971</c:v>
                </c:pt>
                <c:pt idx="234">
                  <c:v>1.169999999999997</c:v>
                </c:pt>
                <c:pt idx="235">
                  <c:v>1.1749999999999969</c:v>
                </c:pt>
                <c:pt idx="236">
                  <c:v>1.1799999999999968</c:v>
                </c:pt>
                <c:pt idx="237">
                  <c:v>1.1849999999999967</c:v>
                </c:pt>
                <c:pt idx="238">
                  <c:v>1.1899999999999966</c:v>
                </c:pt>
                <c:pt idx="239">
                  <c:v>1.1949999999999965</c:v>
                </c:pt>
                <c:pt idx="240">
                  <c:v>1.1999999999999964</c:v>
                </c:pt>
                <c:pt idx="241">
                  <c:v>1.2049999999999963</c:v>
                </c:pt>
                <c:pt idx="242">
                  <c:v>1.2099999999999962</c:v>
                </c:pt>
                <c:pt idx="243">
                  <c:v>1.2149999999999961</c:v>
                </c:pt>
                <c:pt idx="244">
                  <c:v>1.219999999999996</c:v>
                </c:pt>
                <c:pt idx="245">
                  <c:v>1.2249999999999959</c:v>
                </c:pt>
                <c:pt idx="246">
                  <c:v>1.2299999999999958</c:v>
                </c:pt>
                <c:pt idx="247">
                  <c:v>1.2349999999999957</c:v>
                </c:pt>
                <c:pt idx="248">
                  <c:v>1.2399999999999956</c:v>
                </c:pt>
                <c:pt idx="249">
                  <c:v>1.2449999999999954</c:v>
                </c:pt>
                <c:pt idx="250">
                  <c:v>1.2499999999999953</c:v>
                </c:pt>
                <c:pt idx="251">
                  <c:v>1.2549999999999952</c:v>
                </c:pt>
                <c:pt idx="252">
                  <c:v>1.2599999999999951</c:v>
                </c:pt>
                <c:pt idx="253">
                  <c:v>1.264999999999995</c:v>
                </c:pt>
                <c:pt idx="254">
                  <c:v>1.2699999999999949</c:v>
                </c:pt>
                <c:pt idx="255">
                  <c:v>1.2749999999999948</c:v>
                </c:pt>
                <c:pt idx="256">
                  <c:v>1.2799999999999947</c:v>
                </c:pt>
                <c:pt idx="257">
                  <c:v>1.2849999999999946</c:v>
                </c:pt>
                <c:pt idx="258">
                  <c:v>1.2899999999999945</c:v>
                </c:pt>
                <c:pt idx="259">
                  <c:v>1.2949999999999944</c:v>
                </c:pt>
                <c:pt idx="260">
                  <c:v>1.2999999999999943</c:v>
                </c:pt>
                <c:pt idx="261">
                  <c:v>1.3049999999999942</c:v>
                </c:pt>
                <c:pt idx="262">
                  <c:v>1.3099999999999941</c:v>
                </c:pt>
                <c:pt idx="263">
                  <c:v>1.314999999999994</c:v>
                </c:pt>
                <c:pt idx="264">
                  <c:v>1.3199999999999938</c:v>
                </c:pt>
                <c:pt idx="265">
                  <c:v>1.3249999999999937</c:v>
                </c:pt>
                <c:pt idx="266">
                  <c:v>1.3299999999999936</c:v>
                </c:pt>
                <c:pt idx="267">
                  <c:v>1.3349999999999935</c:v>
                </c:pt>
                <c:pt idx="268">
                  <c:v>1.3399999999999934</c:v>
                </c:pt>
                <c:pt idx="269">
                  <c:v>1.3449999999999933</c:v>
                </c:pt>
                <c:pt idx="270">
                  <c:v>1.3499999999999932</c:v>
                </c:pt>
                <c:pt idx="271">
                  <c:v>1.3549999999999931</c:v>
                </c:pt>
                <c:pt idx="272">
                  <c:v>1.359999999999993</c:v>
                </c:pt>
                <c:pt idx="273">
                  <c:v>1.3649999999999929</c:v>
                </c:pt>
                <c:pt idx="274">
                  <c:v>1.3699999999999928</c:v>
                </c:pt>
                <c:pt idx="275">
                  <c:v>1.3749999999999927</c:v>
                </c:pt>
                <c:pt idx="276">
                  <c:v>1.3799999999999926</c:v>
                </c:pt>
                <c:pt idx="277">
                  <c:v>1.3849999999999925</c:v>
                </c:pt>
                <c:pt idx="278">
                  <c:v>1.3899999999999924</c:v>
                </c:pt>
                <c:pt idx="279">
                  <c:v>1.3949999999999922</c:v>
                </c:pt>
                <c:pt idx="280">
                  <c:v>1.3999999999999921</c:v>
                </c:pt>
                <c:pt idx="281">
                  <c:v>1.404999999999992</c:v>
                </c:pt>
                <c:pt idx="282">
                  <c:v>1.4099999999999919</c:v>
                </c:pt>
                <c:pt idx="283">
                  <c:v>1.4149999999999918</c:v>
                </c:pt>
                <c:pt idx="284">
                  <c:v>1.4199999999999917</c:v>
                </c:pt>
                <c:pt idx="285">
                  <c:v>1.4249999999999916</c:v>
                </c:pt>
                <c:pt idx="286">
                  <c:v>1.4299999999999915</c:v>
                </c:pt>
                <c:pt idx="287">
                  <c:v>1.4349999999999914</c:v>
                </c:pt>
                <c:pt idx="288">
                  <c:v>1.4399999999999913</c:v>
                </c:pt>
                <c:pt idx="289">
                  <c:v>1.4449999999999912</c:v>
                </c:pt>
                <c:pt idx="290">
                  <c:v>1.4499999999999911</c:v>
                </c:pt>
                <c:pt idx="291">
                  <c:v>1.454999999999991</c:v>
                </c:pt>
                <c:pt idx="292">
                  <c:v>1.4599999999999909</c:v>
                </c:pt>
                <c:pt idx="293">
                  <c:v>1.4649999999999908</c:v>
                </c:pt>
                <c:pt idx="294">
                  <c:v>1.4699999999999906</c:v>
                </c:pt>
                <c:pt idx="295">
                  <c:v>1.4749999999999905</c:v>
                </c:pt>
                <c:pt idx="296">
                  <c:v>1.4799999999999904</c:v>
                </c:pt>
                <c:pt idx="297">
                  <c:v>1.4849999999999903</c:v>
                </c:pt>
                <c:pt idx="298">
                  <c:v>1.4899999999999902</c:v>
                </c:pt>
                <c:pt idx="299">
                  <c:v>1.4949999999999901</c:v>
                </c:pt>
                <c:pt idx="300">
                  <c:v>1.49999999999999</c:v>
                </c:pt>
                <c:pt idx="301">
                  <c:v>1.5049999999999899</c:v>
                </c:pt>
                <c:pt idx="302">
                  <c:v>1.5099999999999898</c:v>
                </c:pt>
                <c:pt idx="303">
                  <c:v>1.5149999999999897</c:v>
                </c:pt>
                <c:pt idx="304">
                  <c:v>1.5199999999999896</c:v>
                </c:pt>
                <c:pt idx="305">
                  <c:v>1.5249999999999895</c:v>
                </c:pt>
                <c:pt idx="306">
                  <c:v>1.5299999999999894</c:v>
                </c:pt>
                <c:pt idx="307">
                  <c:v>1.5349999999999893</c:v>
                </c:pt>
                <c:pt idx="308">
                  <c:v>1.5399999999999892</c:v>
                </c:pt>
                <c:pt idx="309">
                  <c:v>1.544999999999989</c:v>
                </c:pt>
                <c:pt idx="310">
                  <c:v>1.5499999999999889</c:v>
                </c:pt>
                <c:pt idx="311">
                  <c:v>1.5549999999999888</c:v>
                </c:pt>
                <c:pt idx="312">
                  <c:v>1.5599999999999887</c:v>
                </c:pt>
                <c:pt idx="313">
                  <c:v>1.5649999999999886</c:v>
                </c:pt>
                <c:pt idx="314">
                  <c:v>1.5699999999999885</c:v>
                </c:pt>
                <c:pt idx="315">
                  <c:v>1.5749999999999884</c:v>
                </c:pt>
                <c:pt idx="316">
                  <c:v>1.5799999999999883</c:v>
                </c:pt>
                <c:pt idx="317">
                  <c:v>1.5849999999999882</c:v>
                </c:pt>
                <c:pt idx="318">
                  <c:v>1.5899999999999881</c:v>
                </c:pt>
                <c:pt idx="319">
                  <c:v>1.594999999999988</c:v>
                </c:pt>
                <c:pt idx="320">
                  <c:v>1.5999999999999879</c:v>
                </c:pt>
                <c:pt idx="321">
                  <c:v>1.6049999999999878</c:v>
                </c:pt>
                <c:pt idx="322">
                  <c:v>1.6099999999999877</c:v>
                </c:pt>
                <c:pt idx="323">
                  <c:v>1.6149999999999876</c:v>
                </c:pt>
                <c:pt idx="324">
                  <c:v>1.6199999999999875</c:v>
                </c:pt>
                <c:pt idx="325">
                  <c:v>1.6249999999999873</c:v>
                </c:pt>
                <c:pt idx="326">
                  <c:v>1.6299999999999872</c:v>
                </c:pt>
                <c:pt idx="327">
                  <c:v>1.6349999999999871</c:v>
                </c:pt>
                <c:pt idx="328">
                  <c:v>1.639999999999987</c:v>
                </c:pt>
                <c:pt idx="329">
                  <c:v>1.6449999999999869</c:v>
                </c:pt>
                <c:pt idx="330">
                  <c:v>1.6499999999999868</c:v>
                </c:pt>
                <c:pt idx="331">
                  <c:v>1.6549999999999867</c:v>
                </c:pt>
                <c:pt idx="332">
                  <c:v>1.6599999999999866</c:v>
                </c:pt>
                <c:pt idx="333">
                  <c:v>1.6649999999999865</c:v>
                </c:pt>
                <c:pt idx="334">
                  <c:v>1.6699999999999864</c:v>
                </c:pt>
                <c:pt idx="335">
                  <c:v>1.6749999999999863</c:v>
                </c:pt>
                <c:pt idx="336">
                  <c:v>1.6799999999999862</c:v>
                </c:pt>
                <c:pt idx="337">
                  <c:v>1.6849999999999861</c:v>
                </c:pt>
                <c:pt idx="338">
                  <c:v>1.689999999999986</c:v>
                </c:pt>
                <c:pt idx="339">
                  <c:v>1.6949999999999859</c:v>
                </c:pt>
                <c:pt idx="340">
                  <c:v>1.6999999999999857</c:v>
                </c:pt>
                <c:pt idx="341">
                  <c:v>1.7049999999999856</c:v>
                </c:pt>
                <c:pt idx="342">
                  <c:v>1.7099999999999855</c:v>
                </c:pt>
                <c:pt idx="343">
                  <c:v>1.7149999999999854</c:v>
                </c:pt>
                <c:pt idx="344">
                  <c:v>1.7199999999999853</c:v>
                </c:pt>
                <c:pt idx="345">
                  <c:v>1.7249999999999852</c:v>
                </c:pt>
                <c:pt idx="346">
                  <c:v>1.7299999999999851</c:v>
                </c:pt>
                <c:pt idx="347">
                  <c:v>1.734999999999985</c:v>
                </c:pt>
                <c:pt idx="348">
                  <c:v>1.7399999999999849</c:v>
                </c:pt>
                <c:pt idx="349">
                  <c:v>1.7449999999999848</c:v>
                </c:pt>
                <c:pt idx="350">
                  <c:v>1.7499999999999847</c:v>
                </c:pt>
                <c:pt idx="351">
                  <c:v>1.7549999999999846</c:v>
                </c:pt>
                <c:pt idx="352">
                  <c:v>1.7599999999999845</c:v>
                </c:pt>
                <c:pt idx="353">
                  <c:v>1.7649999999999844</c:v>
                </c:pt>
                <c:pt idx="354">
                  <c:v>1.7699999999999843</c:v>
                </c:pt>
                <c:pt idx="355">
                  <c:v>1.7749999999999841</c:v>
                </c:pt>
                <c:pt idx="356">
                  <c:v>1.779999999999984</c:v>
                </c:pt>
                <c:pt idx="357">
                  <c:v>1.7849999999999839</c:v>
                </c:pt>
                <c:pt idx="358">
                  <c:v>1.7899999999999838</c:v>
                </c:pt>
                <c:pt idx="359">
                  <c:v>1.7949999999999837</c:v>
                </c:pt>
                <c:pt idx="360">
                  <c:v>1.7999999999999836</c:v>
                </c:pt>
                <c:pt idx="361">
                  <c:v>1.8049999999999835</c:v>
                </c:pt>
                <c:pt idx="362">
                  <c:v>1.8099999999999834</c:v>
                </c:pt>
                <c:pt idx="363">
                  <c:v>1.8149999999999833</c:v>
                </c:pt>
                <c:pt idx="364">
                  <c:v>1.8199999999999832</c:v>
                </c:pt>
                <c:pt idx="365">
                  <c:v>1.8249999999999831</c:v>
                </c:pt>
                <c:pt idx="366">
                  <c:v>1.829999999999983</c:v>
                </c:pt>
                <c:pt idx="367">
                  <c:v>1.8349999999999829</c:v>
                </c:pt>
                <c:pt idx="368">
                  <c:v>1.8399999999999828</c:v>
                </c:pt>
                <c:pt idx="369">
                  <c:v>1.8449999999999827</c:v>
                </c:pt>
                <c:pt idx="370">
                  <c:v>1.8499999999999825</c:v>
                </c:pt>
                <c:pt idx="371">
                  <c:v>1.8549999999999824</c:v>
                </c:pt>
                <c:pt idx="372">
                  <c:v>1.8599999999999823</c:v>
                </c:pt>
                <c:pt idx="373">
                  <c:v>1.8649999999999822</c:v>
                </c:pt>
                <c:pt idx="374">
                  <c:v>1.8699999999999821</c:v>
                </c:pt>
                <c:pt idx="375">
                  <c:v>1.874999999999982</c:v>
                </c:pt>
                <c:pt idx="376">
                  <c:v>1.8799999999999819</c:v>
                </c:pt>
                <c:pt idx="377">
                  <c:v>1.8849999999999818</c:v>
                </c:pt>
                <c:pt idx="378">
                  <c:v>1.8899999999999817</c:v>
                </c:pt>
                <c:pt idx="379">
                  <c:v>1.8949999999999816</c:v>
                </c:pt>
                <c:pt idx="380">
                  <c:v>1.8999999999999815</c:v>
                </c:pt>
                <c:pt idx="381">
                  <c:v>1.9049999999999814</c:v>
                </c:pt>
                <c:pt idx="382">
                  <c:v>1.9099999999999813</c:v>
                </c:pt>
                <c:pt idx="383">
                  <c:v>1.9149999999999812</c:v>
                </c:pt>
                <c:pt idx="384">
                  <c:v>1.9199999999999811</c:v>
                </c:pt>
                <c:pt idx="385">
                  <c:v>1.9249999999999809</c:v>
                </c:pt>
                <c:pt idx="386">
                  <c:v>1.9299999999999808</c:v>
                </c:pt>
                <c:pt idx="387">
                  <c:v>1.9349999999999807</c:v>
                </c:pt>
                <c:pt idx="388">
                  <c:v>1.9399999999999806</c:v>
                </c:pt>
                <c:pt idx="389">
                  <c:v>1.9449999999999805</c:v>
                </c:pt>
                <c:pt idx="390">
                  <c:v>1.9499999999999804</c:v>
                </c:pt>
                <c:pt idx="391">
                  <c:v>1.9549999999999803</c:v>
                </c:pt>
                <c:pt idx="392">
                  <c:v>1.9599999999999802</c:v>
                </c:pt>
                <c:pt idx="393">
                  <c:v>1.9649999999999801</c:v>
                </c:pt>
                <c:pt idx="394">
                  <c:v>1.96999999999998</c:v>
                </c:pt>
                <c:pt idx="395">
                  <c:v>1.9749999999999799</c:v>
                </c:pt>
                <c:pt idx="396">
                  <c:v>1.9799999999999798</c:v>
                </c:pt>
                <c:pt idx="397">
                  <c:v>1.9849999999999797</c:v>
                </c:pt>
                <c:pt idx="398">
                  <c:v>1.9899999999999796</c:v>
                </c:pt>
                <c:pt idx="399">
                  <c:v>1.9949999999999795</c:v>
                </c:pt>
                <c:pt idx="400">
                  <c:v>1.9999999999999793</c:v>
                </c:pt>
                <c:pt idx="401">
                  <c:v>2.0049999999999795</c:v>
                </c:pt>
                <c:pt idx="402">
                  <c:v>2.0099999999999794</c:v>
                </c:pt>
                <c:pt idx="403">
                  <c:v>2.0149999999999793</c:v>
                </c:pt>
                <c:pt idx="404">
                  <c:v>2.0199999999999791</c:v>
                </c:pt>
                <c:pt idx="405">
                  <c:v>2.024999999999979</c:v>
                </c:pt>
                <c:pt idx="406">
                  <c:v>2.0299999999999789</c:v>
                </c:pt>
                <c:pt idx="407">
                  <c:v>2.0349999999999788</c:v>
                </c:pt>
                <c:pt idx="408">
                  <c:v>2.0399999999999787</c:v>
                </c:pt>
                <c:pt idx="409">
                  <c:v>2.0449999999999786</c:v>
                </c:pt>
                <c:pt idx="410">
                  <c:v>2.0499999999999785</c:v>
                </c:pt>
                <c:pt idx="411">
                  <c:v>2.0549999999999784</c:v>
                </c:pt>
                <c:pt idx="412">
                  <c:v>2.0599999999999783</c:v>
                </c:pt>
                <c:pt idx="413">
                  <c:v>2.0649999999999782</c:v>
                </c:pt>
                <c:pt idx="414">
                  <c:v>2.0699999999999781</c:v>
                </c:pt>
                <c:pt idx="415">
                  <c:v>2.074999999999978</c:v>
                </c:pt>
                <c:pt idx="416">
                  <c:v>2.0799999999999779</c:v>
                </c:pt>
                <c:pt idx="417">
                  <c:v>2.0849999999999778</c:v>
                </c:pt>
                <c:pt idx="418">
                  <c:v>2.0899999999999777</c:v>
                </c:pt>
                <c:pt idx="419">
                  <c:v>2.0949999999999775</c:v>
                </c:pt>
                <c:pt idx="420">
                  <c:v>2.0999999999999774</c:v>
                </c:pt>
                <c:pt idx="421">
                  <c:v>2.1049999999999773</c:v>
                </c:pt>
                <c:pt idx="422">
                  <c:v>2.1099999999999772</c:v>
                </c:pt>
                <c:pt idx="423">
                  <c:v>2.1149999999999771</c:v>
                </c:pt>
                <c:pt idx="424">
                  <c:v>2.119999999999977</c:v>
                </c:pt>
                <c:pt idx="425">
                  <c:v>2.1249999999999769</c:v>
                </c:pt>
                <c:pt idx="426">
                  <c:v>2.1299999999999768</c:v>
                </c:pt>
                <c:pt idx="427">
                  <c:v>2.1349999999999767</c:v>
                </c:pt>
                <c:pt idx="428">
                  <c:v>2.1399999999999766</c:v>
                </c:pt>
                <c:pt idx="429">
                  <c:v>2.1449999999999765</c:v>
                </c:pt>
                <c:pt idx="430">
                  <c:v>2.1499999999999764</c:v>
                </c:pt>
                <c:pt idx="431">
                  <c:v>2.1549999999999763</c:v>
                </c:pt>
                <c:pt idx="432">
                  <c:v>2.1599999999999762</c:v>
                </c:pt>
                <c:pt idx="433">
                  <c:v>2.1649999999999761</c:v>
                </c:pt>
                <c:pt idx="434">
                  <c:v>2.1699999999999759</c:v>
                </c:pt>
                <c:pt idx="435">
                  <c:v>2.1749999999999758</c:v>
                </c:pt>
                <c:pt idx="436">
                  <c:v>2.1799999999999757</c:v>
                </c:pt>
                <c:pt idx="437">
                  <c:v>2.1849999999999756</c:v>
                </c:pt>
                <c:pt idx="438">
                  <c:v>2.1899999999999755</c:v>
                </c:pt>
                <c:pt idx="439">
                  <c:v>2.1949999999999754</c:v>
                </c:pt>
                <c:pt idx="440">
                  <c:v>2.1999999999999753</c:v>
                </c:pt>
                <c:pt idx="441">
                  <c:v>2.2049999999999752</c:v>
                </c:pt>
                <c:pt idx="442">
                  <c:v>2.2099999999999751</c:v>
                </c:pt>
                <c:pt idx="443">
                  <c:v>2.214999999999975</c:v>
                </c:pt>
                <c:pt idx="444">
                  <c:v>2.2199999999999749</c:v>
                </c:pt>
                <c:pt idx="445">
                  <c:v>2.2249999999999748</c:v>
                </c:pt>
                <c:pt idx="446">
                  <c:v>2.2299999999999747</c:v>
                </c:pt>
                <c:pt idx="447">
                  <c:v>2.2349999999999746</c:v>
                </c:pt>
                <c:pt idx="448">
                  <c:v>2.2399999999999745</c:v>
                </c:pt>
                <c:pt idx="449">
                  <c:v>2.2449999999999743</c:v>
                </c:pt>
                <c:pt idx="450">
                  <c:v>2.2499999999999742</c:v>
                </c:pt>
                <c:pt idx="451">
                  <c:v>2.2549999999999741</c:v>
                </c:pt>
                <c:pt idx="452">
                  <c:v>2.259999999999974</c:v>
                </c:pt>
                <c:pt idx="453">
                  <c:v>2.2649999999999739</c:v>
                </c:pt>
                <c:pt idx="454">
                  <c:v>2.2699999999999738</c:v>
                </c:pt>
                <c:pt idx="455">
                  <c:v>2.2749999999999737</c:v>
                </c:pt>
                <c:pt idx="456">
                  <c:v>2.2799999999999736</c:v>
                </c:pt>
                <c:pt idx="457">
                  <c:v>2.2849999999999735</c:v>
                </c:pt>
                <c:pt idx="458">
                  <c:v>2.2899999999999734</c:v>
                </c:pt>
                <c:pt idx="459">
                  <c:v>2.2949999999999733</c:v>
                </c:pt>
                <c:pt idx="460">
                  <c:v>2.2999999999999732</c:v>
                </c:pt>
                <c:pt idx="461">
                  <c:v>2.3049999999999731</c:v>
                </c:pt>
                <c:pt idx="462">
                  <c:v>2.309999999999973</c:v>
                </c:pt>
                <c:pt idx="463">
                  <c:v>2.3149999999999729</c:v>
                </c:pt>
                <c:pt idx="464">
                  <c:v>2.3199999999999728</c:v>
                </c:pt>
                <c:pt idx="465">
                  <c:v>2.3249999999999726</c:v>
                </c:pt>
                <c:pt idx="466">
                  <c:v>2.3299999999999725</c:v>
                </c:pt>
                <c:pt idx="467">
                  <c:v>2.3349999999999724</c:v>
                </c:pt>
                <c:pt idx="468">
                  <c:v>2.3399999999999723</c:v>
                </c:pt>
                <c:pt idx="469">
                  <c:v>2.3449999999999722</c:v>
                </c:pt>
                <c:pt idx="470">
                  <c:v>2.3499999999999721</c:v>
                </c:pt>
                <c:pt idx="471">
                  <c:v>2.354999999999972</c:v>
                </c:pt>
                <c:pt idx="472">
                  <c:v>2.3599999999999719</c:v>
                </c:pt>
                <c:pt idx="473">
                  <c:v>2.3649999999999718</c:v>
                </c:pt>
                <c:pt idx="474">
                  <c:v>2.3699999999999717</c:v>
                </c:pt>
                <c:pt idx="475">
                  <c:v>2.3749999999999716</c:v>
                </c:pt>
                <c:pt idx="476">
                  <c:v>2.3799999999999715</c:v>
                </c:pt>
                <c:pt idx="477">
                  <c:v>2.3849999999999714</c:v>
                </c:pt>
                <c:pt idx="478">
                  <c:v>2.3899999999999713</c:v>
                </c:pt>
                <c:pt idx="479">
                  <c:v>2.3949999999999712</c:v>
                </c:pt>
                <c:pt idx="480">
                  <c:v>2.399999999999971</c:v>
                </c:pt>
                <c:pt idx="481">
                  <c:v>2.4049999999999709</c:v>
                </c:pt>
                <c:pt idx="482">
                  <c:v>2.4099999999999708</c:v>
                </c:pt>
                <c:pt idx="483">
                  <c:v>2.4149999999999707</c:v>
                </c:pt>
                <c:pt idx="484">
                  <c:v>2.4199999999999706</c:v>
                </c:pt>
                <c:pt idx="485">
                  <c:v>2.4249999999999705</c:v>
                </c:pt>
                <c:pt idx="486">
                  <c:v>2.4299999999999704</c:v>
                </c:pt>
                <c:pt idx="487">
                  <c:v>2.4349999999999703</c:v>
                </c:pt>
                <c:pt idx="488">
                  <c:v>2.4399999999999702</c:v>
                </c:pt>
                <c:pt idx="489">
                  <c:v>2.4449999999999701</c:v>
                </c:pt>
                <c:pt idx="490">
                  <c:v>2.44999999999997</c:v>
                </c:pt>
                <c:pt idx="491">
                  <c:v>2.4549999999999699</c:v>
                </c:pt>
                <c:pt idx="492">
                  <c:v>2.4599999999999698</c:v>
                </c:pt>
                <c:pt idx="493">
                  <c:v>2.4649999999999697</c:v>
                </c:pt>
                <c:pt idx="494">
                  <c:v>2.4699999999999696</c:v>
                </c:pt>
                <c:pt idx="495">
                  <c:v>2.4749999999999694</c:v>
                </c:pt>
                <c:pt idx="496">
                  <c:v>2.4799999999999693</c:v>
                </c:pt>
                <c:pt idx="497">
                  <c:v>2.4849999999999692</c:v>
                </c:pt>
                <c:pt idx="498">
                  <c:v>2.4899999999999691</c:v>
                </c:pt>
                <c:pt idx="499">
                  <c:v>2.494999999999969</c:v>
                </c:pt>
                <c:pt idx="500">
                  <c:v>2.4999999999999689</c:v>
                </c:pt>
                <c:pt idx="501">
                  <c:v>2.5049999999999688</c:v>
                </c:pt>
                <c:pt idx="502">
                  <c:v>2.5099999999999687</c:v>
                </c:pt>
                <c:pt idx="503">
                  <c:v>2.5149999999999686</c:v>
                </c:pt>
                <c:pt idx="504">
                  <c:v>2.5199999999999685</c:v>
                </c:pt>
                <c:pt idx="505">
                  <c:v>2.5249999999999684</c:v>
                </c:pt>
                <c:pt idx="506">
                  <c:v>2.5299999999999683</c:v>
                </c:pt>
                <c:pt idx="507">
                  <c:v>2.5349999999999682</c:v>
                </c:pt>
                <c:pt idx="508">
                  <c:v>2.5399999999999681</c:v>
                </c:pt>
                <c:pt idx="509">
                  <c:v>2.544999999999968</c:v>
                </c:pt>
                <c:pt idx="510">
                  <c:v>2.5499999999999678</c:v>
                </c:pt>
                <c:pt idx="511">
                  <c:v>2.5549999999999677</c:v>
                </c:pt>
                <c:pt idx="512">
                  <c:v>2.5599999999999676</c:v>
                </c:pt>
                <c:pt idx="513">
                  <c:v>2.5649999999999675</c:v>
                </c:pt>
                <c:pt idx="514">
                  <c:v>2.5699999999999674</c:v>
                </c:pt>
                <c:pt idx="515">
                  <c:v>2.5749999999999673</c:v>
                </c:pt>
                <c:pt idx="516">
                  <c:v>2.5799999999999672</c:v>
                </c:pt>
                <c:pt idx="517">
                  <c:v>2.5849999999999671</c:v>
                </c:pt>
                <c:pt idx="518">
                  <c:v>2.589999999999967</c:v>
                </c:pt>
                <c:pt idx="519">
                  <c:v>2.5949999999999669</c:v>
                </c:pt>
                <c:pt idx="520">
                  <c:v>2.5999999999999668</c:v>
                </c:pt>
                <c:pt idx="521">
                  <c:v>2.6049999999999667</c:v>
                </c:pt>
                <c:pt idx="522">
                  <c:v>2.6099999999999666</c:v>
                </c:pt>
                <c:pt idx="523">
                  <c:v>2.6149999999999665</c:v>
                </c:pt>
                <c:pt idx="524">
                  <c:v>2.6199999999999664</c:v>
                </c:pt>
                <c:pt idx="525">
                  <c:v>2.6249999999999662</c:v>
                </c:pt>
                <c:pt idx="526">
                  <c:v>2.6299999999999661</c:v>
                </c:pt>
                <c:pt idx="527">
                  <c:v>2.634999999999966</c:v>
                </c:pt>
                <c:pt idx="528">
                  <c:v>2.6399999999999659</c:v>
                </c:pt>
                <c:pt idx="529">
                  <c:v>2.6449999999999658</c:v>
                </c:pt>
                <c:pt idx="530">
                  <c:v>2.6499999999999657</c:v>
                </c:pt>
                <c:pt idx="531">
                  <c:v>2.6549999999999656</c:v>
                </c:pt>
                <c:pt idx="532">
                  <c:v>2.6599999999999655</c:v>
                </c:pt>
                <c:pt idx="533">
                  <c:v>2.6649999999999654</c:v>
                </c:pt>
                <c:pt idx="534">
                  <c:v>2.6699999999999653</c:v>
                </c:pt>
                <c:pt idx="535">
                  <c:v>2.6749999999999652</c:v>
                </c:pt>
                <c:pt idx="536">
                  <c:v>2.6799999999999651</c:v>
                </c:pt>
                <c:pt idx="537">
                  <c:v>2.684999999999965</c:v>
                </c:pt>
                <c:pt idx="538">
                  <c:v>2.6899999999999649</c:v>
                </c:pt>
                <c:pt idx="539">
                  <c:v>2.6949999999999648</c:v>
                </c:pt>
                <c:pt idx="540">
                  <c:v>2.6999999999999647</c:v>
                </c:pt>
                <c:pt idx="541">
                  <c:v>2.7049999999999645</c:v>
                </c:pt>
                <c:pt idx="542">
                  <c:v>2.7099999999999644</c:v>
                </c:pt>
                <c:pt idx="543">
                  <c:v>2.7149999999999643</c:v>
                </c:pt>
                <c:pt idx="544">
                  <c:v>2.7199999999999642</c:v>
                </c:pt>
                <c:pt idx="545">
                  <c:v>2.7249999999999641</c:v>
                </c:pt>
                <c:pt idx="546">
                  <c:v>2.729999999999964</c:v>
                </c:pt>
                <c:pt idx="547">
                  <c:v>2.7349999999999639</c:v>
                </c:pt>
                <c:pt idx="548">
                  <c:v>2.7399999999999638</c:v>
                </c:pt>
                <c:pt idx="549">
                  <c:v>2.7449999999999637</c:v>
                </c:pt>
                <c:pt idx="550">
                  <c:v>2.7499999999999636</c:v>
                </c:pt>
                <c:pt idx="551">
                  <c:v>2.7549999999999635</c:v>
                </c:pt>
                <c:pt idx="552">
                  <c:v>2.7599999999999634</c:v>
                </c:pt>
                <c:pt idx="553">
                  <c:v>2.7649999999999633</c:v>
                </c:pt>
                <c:pt idx="554">
                  <c:v>2.7699999999999632</c:v>
                </c:pt>
                <c:pt idx="555">
                  <c:v>2.7749999999999631</c:v>
                </c:pt>
                <c:pt idx="556">
                  <c:v>2.7799999999999629</c:v>
                </c:pt>
                <c:pt idx="557">
                  <c:v>2.7849999999999628</c:v>
                </c:pt>
                <c:pt idx="558">
                  <c:v>2.7899999999999627</c:v>
                </c:pt>
                <c:pt idx="559">
                  <c:v>2.7949999999999626</c:v>
                </c:pt>
                <c:pt idx="560">
                  <c:v>2.7999999999999625</c:v>
                </c:pt>
                <c:pt idx="561">
                  <c:v>2.8049999999999624</c:v>
                </c:pt>
                <c:pt idx="562">
                  <c:v>2.8099999999999623</c:v>
                </c:pt>
                <c:pt idx="563">
                  <c:v>2.8149999999999622</c:v>
                </c:pt>
                <c:pt idx="564">
                  <c:v>2.8199999999999621</c:v>
                </c:pt>
                <c:pt idx="565">
                  <c:v>2.824999999999962</c:v>
                </c:pt>
                <c:pt idx="566">
                  <c:v>2.8299999999999619</c:v>
                </c:pt>
                <c:pt idx="567">
                  <c:v>2.8349999999999618</c:v>
                </c:pt>
                <c:pt idx="568">
                  <c:v>2.8399999999999617</c:v>
                </c:pt>
                <c:pt idx="569">
                  <c:v>2.8449999999999616</c:v>
                </c:pt>
                <c:pt idx="570">
                  <c:v>2.8499999999999615</c:v>
                </c:pt>
                <c:pt idx="571">
                  <c:v>2.8549999999999613</c:v>
                </c:pt>
                <c:pt idx="572">
                  <c:v>2.8599999999999612</c:v>
                </c:pt>
                <c:pt idx="573">
                  <c:v>2.8649999999999611</c:v>
                </c:pt>
                <c:pt idx="574">
                  <c:v>2.869999999999961</c:v>
                </c:pt>
                <c:pt idx="575">
                  <c:v>2.8749999999999609</c:v>
                </c:pt>
                <c:pt idx="576">
                  <c:v>2.8799999999999608</c:v>
                </c:pt>
                <c:pt idx="577">
                  <c:v>2.8849999999999607</c:v>
                </c:pt>
                <c:pt idx="578">
                  <c:v>2.8899999999999606</c:v>
                </c:pt>
                <c:pt idx="579">
                  <c:v>2.8949999999999605</c:v>
                </c:pt>
                <c:pt idx="580">
                  <c:v>2.8999999999999604</c:v>
                </c:pt>
                <c:pt idx="581">
                  <c:v>2.9049999999999603</c:v>
                </c:pt>
                <c:pt idx="582">
                  <c:v>2.9099999999999602</c:v>
                </c:pt>
                <c:pt idx="583">
                  <c:v>2.9149999999999601</c:v>
                </c:pt>
                <c:pt idx="584">
                  <c:v>2.91999999999996</c:v>
                </c:pt>
                <c:pt idx="585">
                  <c:v>2.9249999999999599</c:v>
                </c:pt>
                <c:pt idx="586">
                  <c:v>2.9299999999999597</c:v>
                </c:pt>
                <c:pt idx="587">
                  <c:v>2.9349999999999596</c:v>
                </c:pt>
                <c:pt idx="588">
                  <c:v>2.9399999999999595</c:v>
                </c:pt>
                <c:pt idx="589">
                  <c:v>2.9449999999999594</c:v>
                </c:pt>
                <c:pt idx="590">
                  <c:v>2.9499999999999593</c:v>
                </c:pt>
                <c:pt idx="591">
                  <c:v>2.9549999999999592</c:v>
                </c:pt>
                <c:pt idx="592">
                  <c:v>2.9599999999999591</c:v>
                </c:pt>
                <c:pt idx="593">
                  <c:v>2.964999999999959</c:v>
                </c:pt>
                <c:pt idx="594">
                  <c:v>2.9699999999999589</c:v>
                </c:pt>
                <c:pt idx="595">
                  <c:v>2.9749999999999588</c:v>
                </c:pt>
                <c:pt idx="596">
                  <c:v>2.9799999999999587</c:v>
                </c:pt>
                <c:pt idx="597">
                  <c:v>2.9849999999999586</c:v>
                </c:pt>
                <c:pt idx="598">
                  <c:v>2.9899999999999585</c:v>
                </c:pt>
                <c:pt idx="599">
                  <c:v>2.9949999999999584</c:v>
                </c:pt>
                <c:pt idx="600">
                  <c:v>2.9999999999999583</c:v>
                </c:pt>
                <c:pt idx="601">
                  <c:v>3.0049999999999581</c:v>
                </c:pt>
                <c:pt idx="602">
                  <c:v>3.009999999999958</c:v>
                </c:pt>
                <c:pt idx="603">
                  <c:v>3.0149999999999579</c:v>
                </c:pt>
                <c:pt idx="604">
                  <c:v>3.0199999999999578</c:v>
                </c:pt>
                <c:pt idx="605">
                  <c:v>3.0249999999999577</c:v>
                </c:pt>
                <c:pt idx="606">
                  <c:v>3.0299999999999576</c:v>
                </c:pt>
                <c:pt idx="607">
                  <c:v>3.0349999999999575</c:v>
                </c:pt>
                <c:pt idx="608">
                  <c:v>3.0399999999999574</c:v>
                </c:pt>
                <c:pt idx="609">
                  <c:v>3.0449999999999573</c:v>
                </c:pt>
                <c:pt idx="610">
                  <c:v>3.0499999999999572</c:v>
                </c:pt>
                <c:pt idx="611">
                  <c:v>3.0549999999999571</c:v>
                </c:pt>
                <c:pt idx="612">
                  <c:v>3.059999999999957</c:v>
                </c:pt>
                <c:pt idx="613">
                  <c:v>3.0649999999999569</c:v>
                </c:pt>
                <c:pt idx="614">
                  <c:v>3.0699999999999568</c:v>
                </c:pt>
                <c:pt idx="615">
                  <c:v>3.0749999999999567</c:v>
                </c:pt>
                <c:pt idx="616">
                  <c:v>3.0799999999999566</c:v>
                </c:pt>
                <c:pt idx="617">
                  <c:v>3.0849999999999564</c:v>
                </c:pt>
                <c:pt idx="618">
                  <c:v>3.0899999999999563</c:v>
                </c:pt>
                <c:pt idx="619">
                  <c:v>3.0949999999999562</c:v>
                </c:pt>
                <c:pt idx="620">
                  <c:v>3.0999999999999561</c:v>
                </c:pt>
                <c:pt idx="621">
                  <c:v>3.104999999999956</c:v>
                </c:pt>
                <c:pt idx="622">
                  <c:v>3.1099999999999559</c:v>
                </c:pt>
                <c:pt idx="623">
                  <c:v>3.1149999999999558</c:v>
                </c:pt>
                <c:pt idx="624">
                  <c:v>3.1199999999999557</c:v>
                </c:pt>
                <c:pt idx="625">
                  <c:v>3.1249999999999556</c:v>
                </c:pt>
                <c:pt idx="626">
                  <c:v>3.1299999999999555</c:v>
                </c:pt>
                <c:pt idx="627">
                  <c:v>3.1349999999999554</c:v>
                </c:pt>
                <c:pt idx="628">
                  <c:v>3.1399999999999553</c:v>
                </c:pt>
                <c:pt idx="629">
                  <c:v>3.1449999999999552</c:v>
                </c:pt>
                <c:pt idx="630">
                  <c:v>3.1499999999999551</c:v>
                </c:pt>
                <c:pt idx="631">
                  <c:v>3.154999999999955</c:v>
                </c:pt>
                <c:pt idx="632">
                  <c:v>3.1599999999999548</c:v>
                </c:pt>
                <c:pt idx="633">
                  <c:v>3.1649999999999547</c:v>
                </c:pt>
                <c:pt idx="634">
                  <c:v>3.1699999999999546</c:v>
                </c:pt>
                <c:pt idx="635">
                  <c:v>3.1749999999999545</c:v>
                </c:pt>
                <c:pt idx="636">
                  <c:v>3.1799999999999544</c:v>
                </c:pt>
                <c:pt idx="637">
                  <c:v>3.1849999999999543</c:v>
                </c:pt>
                <c:pt idx="638">
                  <c:v>3.1899999999999542</c:v>
                </c:pt>
                <c:pt idx="639">
                  <c:v>3.1949999999999541</c:v>
                </c:pt>
                <c:pt idx="640">
                  <c:v>3.199999999999954</c:v>
                </c:pt>
                <c:pt idx="641">
                  <c:v>3.2049999999999539</c:v>
                </c:pt>
                <c:pt idx="642">
                  <c:v>3.2099999999999538</c:v>
                </c:pt>
                <c:pt idx="643">
                  <c:v>3.2149999999999537</c:v>
                </c:pt>
                <c:pt idx="644">
                  <c:v>3.2199999999999536</c:v>
                </c:pt>
                <c:pt idx="645">
                  <c:v>3.2249999999999535</c:v>
                </c:pt>
                <c:pt idx="646">
                  <c:v>3.2299999999999534</c:v>
                </c:pt>
                <c:pt idx="647">
                  <c:v>3.2349999999999532</c:v>
                </c:pt>
                <c:pt idx="648">
                  <c:v>3.2399999999999531</c:v>
                </c:pt>
                <c:pt idx="649">
                  <c:v>3.244999999999953</c:v>
                </c:pt>
                <c:pt idx="650">
                  <c:v>3.2499999999999529</c:v>
                </c:pt>
                <c:pt idx="651">
                  <c:v>3.2549999999999528</c:v>
                </c:pt>
                <c:pt idx="652">
                  <c:v>3.2599999999999527</c:v>
                </c:pt>
                <c:pt idx="653">
                  <c:v>3.2649999999999526</c:v>
                </c:pt>
                <c:pt idx="654">
                  <c:v>3.2699999999999525</c:v>
                </c:pt>
                <c:pt idx="655">
                  <c:v>3.2749999999999524</c:v>
                </c:pt>
                <c:pt idx="656">
                  <c:v>3.2799999999999523</c:v>
                </c:pt>
                <c:pt idx="657">
                  <c:v>3.2849999999999522</c:v>
                </c:pt>
                <c:pt idx="658">
                  <c:v>3.2899999999999521</c:v>
                </c:pt>
                <c:pt idx="659">
                  <c:v>3.294999999999952</c:v>
                </c:pt>
                <c:pt idx="660">
                  <c:v>3.2999999999999519</c:v>
                </c:pt>
                <c:pt idx="661">
                  <c:v>3.3049999999999518</c:v>
                </c:pt>
                <c:pt idx="662">
                  <c:v>3.3099999999999516</c:v>
                </c:pt>
                <c:pt idx="663">
                  <c:v>3.3149999999999515</c:v>
                </c:pt>
                <c:pt idx="664">
                  <c:v>3.3199999999999514</c:v>
                </c:pt>
                <c:pt idx="665">
                  <c:v>3.3249999999999513</c:v>
                </c:pt>
                <c:pt idx="666">
                  <c:v>3.3299999999999512</c:v>
                </c:pt>
                <c:pt idx="667">
                  <c:v>3.3349999999999511</c:v>
                </c:pt>
                <c:pt idx="668">
                  <c:v>3.339999999999951</c:v>
                </c:pt>
                <c:pt idx="669">
                  <c:v>3.3449999999999509</c:v>
                </c:pt>
                <c:pt idx="670">
                  <c:v>3.3499999999999508</c:v>
                </c:pt>
                <c:pt idx="671">
                  <c:v>3.3549999999999507</c:v>
                </c:pt>
                <c:pt idx="672">
                  <c:v>3.3599999999999506</c:v>
                </c:pt>
                <c:pt idx="673">
                  <c:v>3.3649999999999505</c:v>
                </c:pt>
                <c:pt idx="674">
                  <c:v>3.3699999999999504</c:v>
                </c:pt>
                <c:pt idx="675">
                  <c:v>3.3749999999999503</c:v>
                </c:pt>
                <c:pt idx="676">
                  <c:v>3.3799999999999502</c:v>
                </c:pt>
                <c:pt idx="677">
                  <c:v>3.38499999999995</c:v>
                </c:pt>
                <c:pt idx="678">
                  <c:v>3.3899999999999499</c:v>
                </c:pt>
                <c:pt idx="679">
                  <c:v>3.3949999999999498</c:v>
                </c:pt>
                <c:pt idx="680">
                  <c:v>3.3999999999999497</c:v>
                </c:pt>
                <c:pt idx="681">
                  <c:v>3.4049999999999496</c:v>
                </c:pt>
                <c:pt idx="682">
                  <c:v>3.4099999999999495</c:v>
                </c:pt>
                <c:pt idx="683">
                  <c:v>3.4149999999999494</c:v>
                </c:pt>
                <c:pt idx="684">
                  <c:v>3.4199999999999493</c:v>
                </c:pt>
                <c:pt idx="685">
                  <c:v>3.4249999999999492</c:v>
                </c:pt>
                <c:pt idx="686">
                  <c:v>3.4299999999999491</c:v>
                </c:pt>
                <c:pt idx="687">
                  <c:v>3.434999999999949</c:v>
                </c:pt>
                <c:pt idx="688">
                  <c:v>3.4399999999999489</c:v>
                </c:pt>
                <c:pt idx="689">
                  <c:v>3.4449999999999488</c:v>
                </c:pt>
                <c:pt idx="690">
                  <c:v>3.4499999999999487</c:v>
                </c:pt>
                <c:pt idx="691">
                  <c:v>3.4549999999999486</c:v>
                </c:pt>
                <c:pt idx="692">
                  <c:v>3.4599999999999485</c:v>
                </c:pt>
                <c:pt idx="693">
                  <c:v>3.4649999999999483</c:v>
                </c:pt>
                <c:pt idx="694">
                  <c:v>3.4699999999999482</c:v>
                </c:pt>
                <c:pt idx="695">
                  <c:v>3.4749999999999481</c:v>
                </c:pt>
                <c:pt idx="696">
                  <c:v>3.479999999999948</c:v>
                </c:pt>
                <c:pt idx="697">
                  <c:v>3.4849999999999479</c:v>
                </c:pt>
                <c:pt idx="698">
                  <c:v>3.4899999999999478</c:v>
                </c:pt>
                <c:pt idx="699">
                  <c:v>3.4949999999999477</c:v>
                </c:pt>
                <c:pt idx="700">
                  <c:v>3.4999999999999476</c:v>
                </c:pt>
                <c:pt idx="701">
                  <c:v>3.5049999999999475</c:v>
                </c:pt>
                <c:pt idx="702">
                  <c:v>3.5099999999999474</c:v>
                </c:pt>
                <c:pt idx="703">
                  <c:v>3.5149999999999473</c:v>
                </c:pt>
                <c:pt idx="704">
                  <c:v>3.5199999999999472</c:v>
                </c:pt>
                <c:pt idx="705">
                  <c:v>3.5249999999999471</c:v>
                </c:pt>
                <c:pt idx="706">
                  <c:v>3.529999999999947</c:v>
                </c:pt>
                <c:pt idx="707">
                  <c:v>3.5349999999999469</c:v>
                </c:pt>
                <c:pt idx="708">
                  <c:v>3.5399999999999467</c:v>
                </c:pt>
                <c:pt idx="709">
                  <c:v>3.5449999999999466</c:v>
                </c:pt>
                <c:pt idx="710">
                  <c:v>3.5499999999999465</c:v>
                </c:pt>
                <c:pt idx="711">
                  <c:v>3.5549999999999464</c:v>
                </c:pt>
                <c:pt idx="712">
                  <c:v>3.5599999999999463</c:v>
                </c:pt>
                <c:pt idx="713">
                  <c:v>3.5649999999999462</c:v>
                </c:pt>
                <c:pt idx="714">
                  <c:v>3.5699999999999461</c:v>
                </c:pt>
                <c:pt idx="715">
                  <c:v>3.574999999999946</c:v>
                </c:pt>
                <c:pt idx="716">
                  <c:v>3.5799999999999459</c:v>
                </c:pt>
                <c:pt idx="717">
                  <c:v>3.5849999999999458</c:v>
                </c:pt>
                <c:pt idx="718">
                  <c:v>3.5899999999999457</c:v>
                </c:pt>
                <c:pt idx="719">
                  <c:v>3.5949999999999456</c:v>
                </c:pt>
                <c:pt idx="720">
                  <c:v>3.5999999999999455</c:v>
                </c:pt>
                <c:pt idx="721">
                  <c:v>3.6049999999999454</c:v>
                </c:pt>
                <c:pt idx="722">
                  <c:v>3.6099999999999453</c:v>
                </c:pt>
                <c:pt idx="723">
                  <c:v>3.6149999999999451</c:v>
                </c:pt>
                <c:pt idx="724">
                  <c:v>3.619999999999945</c:v>
                </c:pt>
                <c:pt idx="725">
                  <c:v>3.6249999999999449</c:v>
                </c:pt>
                <c:pt idx="726">
                  <c:v>3.6299999999999448</c:v>
                </c:pt>
                <c:pt idx="727">
                  <c:v>3.6349999999999447</c:v>
                </c:pt>
                <c:pt idx="728">
                  <c:v>3.6399999999999446</c:v>
                </c:pt>
                <c:pt idx="729">
                  <c:v>3.6449999999999445</c:v>
                </c:pt>
                <c:pt idx="730">
                  <c:v>3.6499999999999444</c:v>
                </c:pt>
                <c:pt idx="731">
                  <c:v>3.6549999999999443</c:v>
                </c:pt>
                <c:pt idx="732">
                  <c:v>3.6599999999999442</c:v>
                </c:pt>
                <c:pt idx="733">
                  <c:v>3.6649999999999441</c:v>
                </c:pt>
                <c:pt idx="734">
                  <c:v>3.669999999999944</c:v>
                </c:pt>
                <c:pt idx="735">
                  <c:v>3.6749999999999439</c:v>
                </c:pt>
                <c:pt idx="736">
                  <c:v>3.6799999999999438</c:v>
                </c:pt>
                <c:pt idx="737">
                  <c:v>3.6849999999999437</c:v>
                </c:pt>
                <c:pt idx="738">
                  <c:v>3.6899999999999435</c:v>
                </c:pt>
                <c:pt idx="739">
                  <c:v>3.6949999999999434</c:v>
                </c:pt>
                <c:pt idx="740">
                  <c:v>3.6999999999999433</c:v>
                </c:pt>
                <c:pt idx="741">
                  <c:v>3.7049999999999432</c:v>
                </c:pt>
                <c:pt idx="742">
                  <c:v>3.7099999999999431</c:v>
                </c:pt>
                <c:pt idx="743">
                  <c:v>3.714999999999943</c:v>
                </c:pt>
                <c:pt idx="744">
                  <c:v>3.7199999999999429</c:v>
                </c:pt>
                <c:pt idx="745">
                  <c:v>3.7249999999999428</c:v>
                </c:pt>
                <c:pt idx="746">
                  <c:v>3.7299999999999427</c:v>
                </c:pt>
                <c:pt idx="747">
                  <c:v>3.7349999999999426</c:v>
                </c:pt>
                <c:pt idx="748">
                  <c:v>3.7399999999999425</c:v>
                </c:pt>
                <c:pt idx="749">
                  <c:v>3.7449999999999424</c:v>
                </c:pt>
                <c:pt idx="750">
                  <c:v>3.7499999999999423</c:v>
                </c:pt>
                <c:pt idx="751">
                  <c:v>3.7549999999999422</c:v>
                </c:pt>
                <c:pt idx="752">
                  <c:v>3.7599999999999421</c:v>
                </c:pt>
                <c:pt idx="753">
                  <c:v>3.7649999999999419</c:v>
                </c:pt>
                <c:pt idx="754">
                  <c:v>3.7699999999999418</c:v>
                </c:pt>
                <c:pt idx="755">
                  <c:v>3.7749999999999417</c:v>
                </c:pt>
                <c:pt idx="756">
                  <c:v>3.7799999999999416</c:v>
                </c:pt>
                <c:pt idx="757">
                  <c:v>3.7849999999999415</c:v>
                </c:pt>
                <c:pt idx="758">
                  <c:v>3.7899999999999414</c:v>
                </c:pt>
                <c:pt idx="759">
                  <c:v>3.7949999999999413</c:v>
                </c:pt>
                <c:pt idx="760">
                  <c:v>3.7999999999999412</c:v>
                </c:pt>
                <c:pt idx="761">
                  <c:v>3.8049999999999411</c:v>
                </c:pt>
                <c:pt idx="762">
                  <c:v>3.809999999999941</c:v>
                </c:pt>
                <c:pt idx="763">
                  <c:v>3.8149999999999409</c:v>
                </c:pt>
                <c:pt idx="764">
                  <c:v>3.8199999999999408</c:v>
                </c:pt>
                <c:pt idx="765">
                  <c:v>3.8249999999999407</c:v>
                </c:pt>
                <c:pt idx="766">
                  <c:v>3.8299999999999406</c:v>
                </c:pt>
                <c:pt idx="767">
                  <c:v>3.8349999999999405</c:v>
                </c:pt>
                <c:pt idx="768">
                  <c:v>3.8399999999999403</c:v>
                </c:pt>
                <c:pt idx="769">
                  <c:v>3.8449999999999402</c:v>
                </c:pt>
                <c:pt idx="770">
                  <c:v>3.8499999999999401</c:v>
                </c:pt>
                <c:pt idx="771">
                  <c:v>3.85499999999994</c:v>
                </c:pt>
                <c:pt idx="772">
                  <c:v>3.8599999999999399</c:v>
                </c:pt>
                <c:pt idx="773">
                  <c:v>3.8649999999999398</c:v>
                </c:pt>
                <c:pt idx="774">
                  <c:v>3.8699999999999397</c:v>
                </c:pt>
                <c:pt idx="775">
                  <c:v>3.8749999999999396</c:v>
                </c:pt>
                <c:pt idx="776">
                  <c:v>3.8799999999999395</c:v>
                </c:pt>
                <c:pt idx="777">
                  <c:v>3.8849999999999394</c:v>
                </c:pt>
                <c:pt idx="778">
                  <c:v>3.8899999999999393</c:v>
                </c:pt>
                <c:pt idx="779">
                  <c:v>3.8949999999999392</c:v>
                </c:pt>
                <c:pt idx="780">
                  <c:v>3.8999999999999391</c:v>
                </c:pt>
                <c:pt idx="781">
                  <c:v>3.904999999999939</c:v>
                </c:pt>
                <c:pt idx="782">
                  <c:v>3.9099999999999389</c:v>
                </c:pt>
                <c:pt idx="783">
                  <c:v>3.9149999999999388</c:v>
                </c:pt>
                <c:pt idx="784">
                  <c:v>3.9199999999999386</c:v>
                </c:pt>
                <c:pt idx="785">
                  <c:v>3.9249999999999385</c:v>
                </c:pt>
                <c:pt idx="786">
                  <c:v>3.9299999999999384</c:v>
                </c:pt>
                <c:pt idx="787">
                  <c:v>3.9349999999999383</c:v>
                </c:pt>
                <c:pt idx="788">
                  <c:v>3.9399999999999382</c:v>
                </c:pt>
                <c:pt idx="789">
                  <c:v>3.9449999999999381</c:v>
                </c:pt>
                <c:pt idx="790">
                  <c:v>3.949999999999938</c:v>
                </c:pt>
                <c:pt idx="791">
                  <c:v>3.9549999999999379</c:v>
                </c:pt>
                <c:pt idx="792">
                  <c:v>3.9599999999999378</c:v>
                </c:pt>
                <c:pt idx="793">
                  <c:v>3.9649999999999377</c:v>
                </c:pt>
                <c:pt idx="794">
                  <c:v>3.9699999999999376</c:v>
                </c:pt>
                <c:pt idx="795">
                  <c:v>3.9749999999999375</c:v>
                </c:pt>
                <c:pt idx="796">
                  <c:v>3.9799999999999374</c:v>
                </c:pt>
                <c:pt idx="797">
                  <c:v>3.9849999999999373</c:v>
                </c:pt>
                <c:pt idx="798">
                  <c:v>3.9899999999999372</c:v>
                </c:pt>
                <c:pt idx="799">
                  <c:v>3.994999999999937</c:v>
                </c:pt>
                <c:pt idx="800">
                  <c:v>3.9999999999999369</c:v>
                </c:pt>
                <c:pt idx="801">
                  <c:v>4.0049999999999368</c:v>
                </c:pt>
                <c:pt idx="802">
                  <c:v>4.0099999999999367</c:v>
                </c:pt>
                <c:pt idx="803">
                  <c:v>4.0149999999999366</c:v>
                </c:pt>
                <c:pt idx="804">
                  <c:v>4.0199999999999365</c:v>
                </c:pt>
                <c:pt idx="805">
                  <c:v>4.0249999999999364</c:v>
                </c:pt>
                <c:pt idx="806">
                  <c:v>4.0299999999999363</c:v>
                </c:pt>
                <c:pt idx="807">
                  <c:v>4.0349999999999362</c:v>
                </c:pt>
                <c:pt idx="808">
                  <c:v>4.0399999999999361</c:v>
                </c:pt>
                <c:pt idx="809">
                  <c:v>4.044999999999936</c:v>
                </c:pt>
                <c:pt idx="810">
                  <c:v>4.0499999999999359</c:v>
                </c:pt>
                <c:pt idx="811">
                  <c:v>4.0549999999999358</c:v>
                </c:pt>
                <c:pt idx="812">
                  <c:v>4.0599999999999357</c:v>
                </c:pt>
                <c:pt idx="813">
                  <c:v>4.0649999999999356</c:v>
                </c:pt>
                <c:pt idx="814">
                  <c:v>4.0699999999999354</c:v>
                </c:pt>
                <c:pt idx="815">
                  <c:v>4.0749999999999353</c:v>
                </c:pt>
                <c:pt idx="816">
                  <c:v>4.0799999999999352</c:v>
                </c:pt>
                <c:pt idx="817">
                  <c:v>4.0849999999999351</c:v>
                </c:pt>
                <c:pt idx="818">
                  <c:v>4.089999999999935</c:v>
                </c:pt>
                <c:pt idx="819">
                  <c:v>4.0949999999999349</c:v>
                </c:pt>
                <c:pt idx="820">
                  <c:v>4.0999999999999348</c:v>
                </c:pt>
                <c:pt idx="821">
                  <c:v>4.1049999999999347</c:v>
                </c:pt>
                <c:pt idx="822">
                  <c:v>4.1099999999999346</c:v>
                </c:pt>
                <c:pt idx="823">
                  <c:v>4.1149999999999345</c:v>
                </c:pt>
                <c:pt idx="824">
                  <c:v>4.1199999999999344</c:v>
                </c:pt>
                <c:pt idx="825">
                  <c:v>4.1249999999999343</c:v>
                </c:pt>
                <c:pt idx="826">
                  <c:v>4.1299999999999342</c:v>
                </c:pt>
                <c:pt idx="827">
                  <c:v>4.1349999999999341</c:v>
                </c:pt>
                <c:pt idx="828">
                  <c:v>4.139999999999934</c:v>
                </c:pt>
                <c:pt idx="829">
                  <c:v>4.1449999999999338</c:v>
                </c:pt>
                <c:pt idx="830">
                  <c:v>4.1499999999999337</c:v>
                </c:pt>
                <c:pt idx="831">
                  <c:v>4.1549999999999336</c:v>
                </c:pt>
                <c:pt idx="832">
                  <c:v>4.1599999999999335</c:v>
                </c:pt>
                <c:pt idx="833">
                  <c:v>4.1649999999999334</c:v>
                </c:pt>
                <c:pt idx="834">
                  <c:v>4.1699999999999333</c:v>
                </c:pt>
                <c:pt idx="835">
                  <c:v>4.1749999999999332</c:v>
                </c:pt>
                <c:pt idx="836">
                  <c:v>4.1799999999999331</c:v>
                </c:pt>
                <c:pt idx="837">
                  <c:v>4.184999999999933</c:v>
                </c:pt>
                <c:pt idx="838">
                  <c:v>4.1899999999999329</c:v>
                </c:pt>
                <c:pt idx="839">
                  <c:v>4.1949999999999328</c:v>
                </c:pt>
                <c:pt idx="840">
                  <c:v>4.1999999999999327</c:v>
                </c:pt>
                <c:pt idx="841">
                  <c:v>4.2049999999999326</c:v>
                </c:pt>
                <c:pt idx="842">
                  <c:v>4.2099999999999325</c:v>
                </c:pt>
                <c:pt idx="843">
                  <c:v>4.2149999999999324</c:v>
                </c:pt>
                <c:pt idx="844">
                  <c:v>4.2199999999999322</c:v>
                </c:pt>
                <c:pt idx="845">
                  <c:v>4.2249999999999321</c:v>
                </c:pt>
                <c:pt idx="846">
                  <c:v>4.229999999999932</c:v>
                </c:pt>
                <c:pt idx="847">
                  <c:v>4.2349999999999319</c:v>
                </c:pt>
                <c:pt idx="848">
                  <c:v>4.2399999999999318</c:v>
                </c:pt>
                <c:pt idx="849">
                  <c:v>4.2449999999999317</c:v>
                </c:pt>
                <c:pt idx="850">
                  <c:v>4.2499999999999316</c:v>
                </c:pt>
                <c:pt idx="851">
                  <c:v>4.2549999999999315</c:v>
                </c:pt>
                <c:pt idx="852">
                  <c:v>4.2599999999999314</c:v>
                </c:pt>
                <c:pt idx="853">
                  <c:v>4.2649999999999313</c:v>
                </c:pt>
                <c:pt idx="854">
                  <c:v>4.2699999999999312</c:v>
                </c:pt>
                <c:pt idx="855">
                  <c:v>4.2749999999999311</c:v>
                </c:pt>
                <c:pt idx="856">
                  <c:v>4.279999999999931</c:v>
                </c:pt>
                <c:pt idx="857">
                  <c:v>4.2849999999999309</c:v>
                </c:pt>
                <c:pt idx="858">
                  <c:v>4.2899999999999308</c:v>
                </c:pt>
                <c:pt idx="859">
                  <c:v>4.2949999999999307</c:v>
                </c:pt>
                <c:pt idx="860">
                  <c:v>4.2999999999999305</c:v>
                </c:pt>
                <c:pt idx="861">
                  <c:v>4.3049999999999304</c:v>
                </c:pt>
                <c:pt idx="862">
                  <c:v>4.3099999999999303</c:v>
                </c:pt>
                <c:pt idx="863">
                  <c:v>4.3149999999999302</c:v>
                </c:pt>
                <c:pt idx="864">
                  <c:v>4.3199999999999301</c:v>
                </c:pt>
                <c:pt idx="865">
                  <c:v>4.32499999999993</c:v>
                </c:pt>
                <c:pt idx="866">
                  <c:v>4.3299999999999299</c:v>
                </c:pt>
                <c:pt idx="867">
                  <c:v>4.3349999999999298</c:v>
                </c:pt>
                <c:pt idx="868">
                  <c:v>4.3399999999999297</c:v>
                </c:pt>
                <c:pt idx="869">
                  <c:v>4.3449999999999296</c:v>
                </c:pt>
                <c:pt idx="870">
                  <c:v>4.3499999999999295</c:v>
                </c:pt>
                <c:pt idx="871">
                  <c:v>4.3549999999999294</c:v>
                </c:pt>
                <c:pt idx="872">
                  <c:v>4.3599999999999293</c:v>
                </c:pt>
                <c:pt idx="873">
                  <c:v>4.3649999999999292</c:v>
                </c:pt>
                <c:pt idx="874">
                  <c:v>4.3699999999999291</c:v>
                </c:pt>
                <c:pt idx="875">
                  <c:v>4.3749999999999289</c:v>
                </c:pt>
                <c:pt idx="876">
                  <c:v>4.3799999999999288</c:v>
                </c:pt>
                <c:pt idx="877">
                  <c:v>4.3849999999999287</c:v>
                </c:pt>
                <c:pt idx="878">
                  <c:v>4.3899999999999286</c:v>
                </c:pt>
                <c:pt idx="879">
                  <c:v>4.3949999999999285</c:v>
                </c:pt>
                <c:pt idx="880">
                  <c:v>4.3999999999999284</c:v>
                </c:pt>
                <c:pt idx="881">
                  <c:v>4.4049999999999283</c:v>
                </c:pt>
                <c:pt idx="882">
                  <c:v>4.4099999999999282</c:v>
                </c:pt>
                <c:pt idx="883">
                  <c:v>4.4149999999999281</c:v>
                </c:pt>
                <c:pt idx="884">
                  <c:v>4.419999999999928</c:v>
                </c:pt>
                <c:pt idx="885">
                  <c:v>4.4249999999999279</c:v>
                </c:pt>
                <c:pt idx="886">
                  <c:v>4.4299999999999278</c:v>
                </c:pt>
                <c:pt idx="887">
                  <c:v>4.4349999999999277</c:v>
                </c:pt>
                <c:pt idx="888">
                  <c:v>4.4399999999999276</c:v>
                </c:pt>
                <c:pt idx="889">
                  <c:v>4.4449999999999275</c:v>
                </c:pt>
                <c:pt idx="890">
                  <c:v>4.4499999999999273</c:v>
                </c:pt>
                <c:pt idx="891">
                  <c:v>4.4549999999999272</c:v>
                </c:pt>
                <c:pt idx="892">
                  <c:v>4.4599999999999271</c:v>
                </c:pt>
                <c:pt idx="893">
                  <c:v>4.464999999999927</c:v>
                </c:pt>
                <c:pt idx="894">
                  <c:v>4.4699999999999269</c:v>
                </c:pt>
                <c:pt idx="895">
                  <c:v>4.4749999999999268</c:v>
                </c:pt>
                <c:pt idx="896">
                  <c:v>4.4799999999999267</c:v>
                </c:pt>
                <c:pt idx="897">
                  <c:v>4.4849999999999266</c:v>
                </c:pt>
                <c:pt idx="898">
                  <c:v>4.4899999999999265</c:v>
                </c:pt>
                <c:pt idx="899">
                  <c:v>4.4949999999999264</c:v>
                </c:pt>
                <c:pt idx="900">
                  <c:v>4.4999999999999263</c:v>
                </c:pt>
                <c:pt idx="901">
                  <c:v>4.5049999999999262</c:v>
                </c:pt>
                <c:pt idx="902">
                  <c:v>4.5099999999999261</c:v>
                </c:pt>
                <c:pt idx="903">
                  <c:v>4.514999999999926</c:v>
                </c:pt>
                <c:pt idx="904">
                  <c:v>4.5199999999999259</c:v>
                </c:pt>
                <c:pt idx="905">
                  <c:v>4.5249999999999257</c:v>
                </c:pt>
                <c:pt idx="906">
                  <c:v>4.5299999999999256</c:v>
                </c:pt>
                <c:pt idx="907">
                  <c:v>4.5349999999999255</c:v>
                </c:pt>
                <c:pt idx="908">
                  <c:v>4.5399999999999254</c:v>
                </c:pt>
                <c:pt idx="909">
                  <c:v>4.5449999999999253</c:v>
                </c:pt>
                <c:pt idx="910">
                  <c:v>4.5499999999999252</c:v>
                </c:pt>
                <c:pt idx="911">
                  <c:v>4.5549999999999251</c:v>
                </c:pt>
                <c:pt idx="912">
                  <c:v>4.559999999999925</c:v>
                </c:pt>
                <c:pt idx="913">
                  <c:v>4.5649999999999249</c:v>
                </c:pt>
                <c:pt idx="914">
                  <c:v>4.5699999999999248</c:v>
                </c:pt>
                <c:pt idx="915">
                  <c:v>4.5749999999999247</c:v>
                </c:pt>
                <c:pt idx="916">
                  <c:v>4.5799999999999246</c:v>
                </c:pt>
                <c:pt idx="917">
                  <c:v>4.5849999999999245</c:v>
                </c:pt>
                <c:pt idx="918">
                  <c:v>4.5899999999999244</c:v>
                </c:pt>
                <c:pt idx="919">
                  <c:v>4.5949999999999243</c:v>
                </c:pt>
                <c:pt idx="920">
                  <c:v>4.5999999999999241</c:v>
                </c:pt>
                <c:pt idx="921">
                  <c:v>4.604999999999924</c:v>
                </c:pt>
                <c:pt idx="922">
                  <c:v>4.6099999999999239</c:v>
                </c:pt>
                <c:pt idx="923">
                  <c:v>4.6149999999999238</c:v>
                </c:pt>
                <c:pt idx="924">
                  <c:v>4.6199999999999237</c:v>
                </c:pt>
                <c:pt idx="925">
                  <c:v>4.6249999999999236</c:v>
                </c:pt>
                <c:pt idx="926">
                  <c:v>4.6299999999999235</c:v>
                </c:pt>
                <c:pt idx="927">
                  <c:v>4.6349999999999234</c:v>
                </c:pt>
                <c:pt idx="928">
                  <c:v>4.6399999999999233</c:v>
                </c:pt>
                <c:pt idx="929">
                  <c:v>4.6449999999999232</c:v>
                </c:pt>
                <c:pt idx="930">
                  <c:v>4.6499999999999231</c:v>
                </c:pt>
                <c:pt idx="931">
                  <c:v>4.654999999999923</c:v>
                </c:pt>
                <c:pt idx="932">
                  <c:v>4.6599999999999229</c:v>
                </c:pt>
                <c:pt idx="933">
                  <c:v>4.6649999999999228</c:v>
                </c:pt>
                <c:pt idx="934">
                  <c:v>4.6699999999999227</c:v>
                </c:pt>
                <c:pt idx="935">
                  <c:v>4.6749999999999226</c:v>
                </c:pt>
                <c:pt idx="936">
                  <c:v>4.6799999999999224</c:v>
                </c:pt>
                <c:pt idx="937">
                  <c:v>4.6849999999999223</c:v>
                </c:pt>
                <c:pt idx="938">
                  <c:v>4.6899999999999222</c:v>
                </c:pt>
                <c:pt idx="939">
                  <c:v>4.6949999999999221</c:v>
                </c:pt>
                <c:pt idx="940">
                  <c:v>4.699999999999922</c:v>
                </c:pt>
                <c:pt idx="941">
                  <c:v>4.7049999999999219</c:v>
                </c:pt>
                <c:pt idx="942">
                  <c:v>4.7099999999999218</c:v>
                </c:pt>
                <c:pt idx="943">
                  <c:v>4.7149999999999217</c:v>
                </c:pt>
                <c:pt idx="944">
                  <c:v>4.7199999999999216</c:v>
                </c:pt>
                <c:pt idx="945">
                  <c:v>4.7249999999999215</c:v>
                </c:pt>
                <c:pt idx="946">
                  <c:v>4.7299999999999214</c:v>
                </c:pt>
                <c:pt idx="947">
                  <c:v>4.7349999999999213</c:v>
                </c:pt>
                <c:pt idx="948">
                  <c:v>4.7399999999999212</c:v>
                </c:pt>
                <c:pt idx="949">
                  <c:v>4.7449999999999211</c:v>
                </c:pt>
                <c:pt idx="950">
                  <c:v>4.749999999999921</c:v>
                </c:pt>
                <c:pt idx="951">
                  <c:v>4.7549999999999208</c:v>
                </c:pt>
                <c:pt idx="952">
                  <c:v>4.7599999999999207</c:v>
                </c:pt>
                <c:pt idx="953">
                  <c:v>4.7649999999999206</c:v>
                </c:pt>
                <c:pt idx="954">
                  <c:v>4.7699999999999205</c:v>
                </c:pt>
                <c:pt idx="955">
                  <c:v>4.7749999999999204</c:v>
                </c:pt>
                <c:pt idx="956">
                  <c:v>4.7799999999999203</c:v>
                </c:pt>
                <c:pt idx="957">
                  <c:v>4.7849999999999202</c:v>
                </c:pt>
                <c:pt idx="958">
                  <c:v>4.7899999999999201</c:v>
                </c:pt>
                <c:pt idx="959">
                  <c:v>4.79499999999992</c:v>
                </c:pt>
                <c:pt idx="960">
                  <c:v>4.7999999999999199</c:v>
                </c:pt>
                <c:pt idx="961">
                  <c:v>4.8049999999999198</c:v>
                </c:pt>
                <c:pt idx="962">
                  <c:v>4.8099999999999197</c:v>
                </c:pt>
                <c:pt idx="963">
                  <c:v>4.8149999999999196</c:v>
                </c:pt>
                <c:pt idx="964">
                  <c:v>4.8199999999999195</c:v>
                </c:pt>
                <c:pt idx="965">
                  <c:v>4.8249999999999194</c:v>
                </c:pt>
                <c:pt idx="966">
                  <c:v>4.8299999999999192</c:v>
                </c:pt>
                <c:pt idx="967">
                  <c:v>4.8349999999999191</c:v>
                </c:pt>
                <c:pt idx="968">
                  <c:v>4.839999999999919</c:v>
                </c:pt>
                <c:pt idx="969">
                  <c:v>4.8449999999999189</c:v>
                </c:pt>
                <c:pt idx="970">
                  <c:v>4.8499999999999188</c:v>
                </c:pt>
                <c:pt idx="971">
                  <c:v>4.8549999999999187</c:v>
                </c:pt>
                <c:pt idx="972">
                  <c:v>4.8599999999999186</c:v>
                </c:pt>
                <c:pt idx="973">
                  <c:v>4.8649999999999185</c:v>
                </c:pt>
                <c:pt idx="974">
                  <c:v>4.8699999999999184</c:v>
                </c:pt>
                <c:pt idx="975">
                  <c:v>4.8749999999999183</c:v>
                </c:pt>
                <c:pt idx="976">
                  <c:v>4.8799999999999182</c:v>
                </c:pt>
                <c:pt idx="977">
                  <c:v>4.8849999999999181</c:v>
                </c:pt>
                <c:pt idx="978">
                  <c:v>4.889999999999918</c:v>
                </c:pt>
                <c:pt idx="979">
                  <c:v>4.8949999999999179</c:v>
                </c:pt>
                <c:pt idx="980">
                  <c:v>4.8999999999999178</c:v>
                </c:pt>
                <c:pt idx="981">
                  <c:v>4.9049999999999176</c:v>
                </c:pt>
                <c:pt idx="982">
                  <c:v>4.9099999999999175</c:v>
                </c:pt>
                <c:pt idx="983">
                  <c:v>4.9149999999999174</c:v>
                </c:pt>
                <c:pt idx="984">
                  <c:v>4.9199999999999173</c:v>
                </c:pt>
                <c:pt idx="985">
                  <c:v>4.9249999999999172</c:v>
                </c:pt>
                <c:pt idx="986">
                  <c:v>4.9299999999999171</c:v>
                </c:pt>
                <c:pt idx="987">
                  <c:v>4.934999999999917</c:v>
                </c:pt>
                <c:pt idx="988">
                  <c:v>4.9399999999999169</c:v>
                </c:pt>
                <c:pt idx="989">
                  <c:v>4.9449999999999168</c:v>
                </c:pt>
                <c:pt idx="990">
                  <c:v>4.9499999999999167</c:v>
                </c:pt>
                <c:pt idx="991">
                  <c:v>4.9549999999999166</c:v>
                </c:pt>
                <c:pt idx="992">
                  <c:v>4.9599999999999165</c:v>
                </c:pt>
                <c:pt idx="993">
                  <c:v>4.9649999999999164</c:v>
                </c:pt>
                <c:pt idx="994">
                  <c:v>4.9699999999999163</c:v>
                </c:pt>
                <c:pt idx="995">
                  <c:v>4.9749999999999162</c:v>
                </c:pt>
                <c:pt idx="996">
                  <c:v>4.979999999999916</c:v>
                </c:pt>
                <c:pt idx="997">
                  <c:v>4.9849999999999159</c:v>
                </c:pt>
                <c:pt idx="998">
                  <c:v>4.9899999999999158</c:v>
                </c:pt>
                <c:pt idx="999">
                  <c:v>4.9949999999999157</c:v>
                </c:pt>
              </c:numCache>
            </c:numRef>
          </c:xVal>
          <c:yVal>
            <c:numRef>
              <c:f>Sheet1!$D$24:$D$1023</c:f>
              <c:numCache>
                <c:formatCode>0.00</c:formatCode>
                <c:ptCount val="1000"/>
                <c:pt idx="0">
                  <c:v>0</c:v>
                </c:pt>
                <c:pt idx="1">
                  <c:v>7.449088152995377E-2</c:v>
                </c:pt>
                <c:pt idx="2">
                  <c:v>0.14873676305990755</c:v>
                </c:pt>
                <c:pt idx="3">
                  <c:v>0.22273764458986126</c:v>
                </c:pt>
                <c:pt idx="4">
                  <c:v>0.29649352611981505</c:v>
                </c:pt>
                <c:pt idx="5">
                  <c:v>0.37000440764976877</c:v>
                </c:pt>
                <c:pt idx="6">
                  <c:v>0.44327028917972255</c:v>
                </c:pt>
                <c:pt idx="7">
                  <c:v>0.51629117070967634</c:v>
                </c:pt>
                <c:pt idx="8">
                  <c:v>0.58906705223963018</c:v>
                </c:pt>
                <c:pt idx="9">
                  <c:v>0.66159793376958387</c:v>
                </c:pt>
                <c:pt idx="10">
                  <c:v>0.7338838152995375</c:v>
                </c:pt>
                <c:pt idx="11">
                  <c:v>0.8059246968294913</c:v>
                </c:pt>
                <c:pt idx="12">
                  <c:v>0.87772057835944495</c:v>
                </c:pt>
                <c:pt idx="13">
                  <c:v>0.94927145988939876</c:v>
                </c:pt>
                <c:pt idx="14">
                  <c:v>1.0205773414193524</c:v>
                </c:pt>
                <c:pt idx="15">
                  <c:v>1.0916382229493065</c:v>
                </c:pt>
                <c:pt idx="16">
                  <c:v>1.1624541044792602</c:v>
                </c:pt>
                <c:pt idx="17">
                  <c:v>1.233024986009214</c:v>
                </c:pt>
                <c:pt idx="18">
                  <c:v>1.3033508675391678</c:v>
                </c:pt>
                <c:pt idx="19">
                  <c:v>1.3734317490691217</c:v>
                </c:pt>
                <c:pt idx="20">
                  <c:v>1.4432676305990755</c:v>
                </c:pt>
                <c:pt idx="21">
                  <c:v>1.5128585121290292</c:v>
                </c:pt>
                <c:pt idx="22">
                  <c:v>1.5822043936589831</c:v>
                </c:pt>
                <c:pt idx="23">
                  <c:v>1.6513052751889368</c:v>
                </c:pt>
                <c:pt idx="24">
                  <c:v>1.7201611567188908</c:v>
                </c:pt>
                <c:pt idx="25">
                  <c:v>1.7887720382488443</c:v>
                </c:pt>
                <c:pt idx="26">
                  <c:v>1.8571379197787983</c:v>
                </c:pt>
                <c:pt idx="27">
                  <c:v>1.9252588013087522</c:v>
                </c:pt>
                <c:pt idx="28">
                  <c:v>1.9931346828387058</c:v>
                </c:pt>
                <c:pt idx="29">
                  <c:v>2.0607655643686593</c:v>
                </c:pt>
                <c:pt idx="30">
                  <c:v>2.1281514458986135</c:v>
                </c:pt>
                <c:pt idx="31">
                  <c:v>2.1952923274285672</c:v>
                </c:pt>
                <c:pt idx="32">
                  <c:v>2.2621882089585208</c:v>
                </c:pt>
                <c:pt idx="33">
                  <c:v>2.3288390904884748</c:v>
                </c:pt>
                <c:pt idx="34">
                  <c:v>2.3952449720184288</c:v>
                </c:pt>
                <c:pt idx="35">
                  <c:v>2.4614058535483823</c:v>
                </c:pt>
                <c:pt idx="36">
                  <c:v>2.5273217350783366</c:v>
                </c:pt>
                <c:pt idx="37">
                  <c:v>2.5929926166082899</c:v>
                </c:pt>
                <c:pt idx="38">
                  <c:v>2.6584184981382437</c:v>
                </c:pt>
                <c:pt idx="39">
                  <c:v>2.7235993796681979</c:v>
                </c:pt>
                <c:pt idx="40">
                  <c:v>2.7885352611981515</c:v>
                </c:pt>
                <c:pt idx="41">
                  <c:v>2.8532261427281056</c:v>
                </c:pt>
                <c:pt idx="42">
                  <c:v>2.9176720242580592</c:v>
                </c:pt>
                <c:pt idx="43">
                  <c:v>2.9818729057880131</c:v>
                </c:pt>
                <c:pt idx="44">
                  <c:v>3.045828787317967</c:v>
                </c:pt>
                <c:pt idx="45">
                  <c:v>3.1095396688479209</c:v>
                </c:pt>
                <c:pt idx="46">
                  <c:v>3.1730055503778742</c:v>
                </c:pt>
                <c:pt idx="47">
                  <c:v>3.2362264319078284</c:v>
                </c:pt>
                <c:pt idx="48">
                  <c:v>3.2992023134377821</c:v>
                </c:pt>
                <c:pt idx="49">
                  <c:v>3.3619331949677358</c:v>
                </c:pt>
                <c:pt idx="50">
                  <c:v>3.4244190764976894</c:v>
                </c:pt>
                <c:pt idx="51">
                  <c:v>3.4866599580276429</c:v>
                </c:pt>
                <c:pt idx="52">
                  <c:v>3.5486558395575969</c:v>
                </c:pt>
                <c:pt idx="53">
                  <c:v>3.6104067210875508</c:v>
                </c:pt>
                <c:pt idx="54">
                  <c:v>3.6719126026175051</c:v>
                </c:pt>
                <c:pt idx="55">
                  <c:v>3.7331734841474589</c:v>
                </c:pt>
                <c:pt idx="56">
                  <c:v>3.7941893656774122</c:v>
                </c:pt>
                <c:pt idx="57">
                  <c:v>3.8549602472073659</c:v>
                </c:pt>
                <c:pt idx="58">
                  <c:v>3.9154861287373195</c:v>
                </c:pt>
                <c:pt idx="59">
                  <c:v>3.9757670102672731</c:v>
                </c:pt>
                <c:pt idx="60">
                  <c:v>4.0358028917972275</c:v>
                </c:pt>
                <c:pt idx="61">
                  <c:v>4.095593773327181</c:v>
                </c:pt>
                <c:pt idx="62">
                  <c:v>4.1551396548571349</c:v>
                </c:pt>
                <c:pt idx="63">
                  <c:v>4.2144405363870892</c:v>
                </c:pt>
                <c:pt idx="64">
                  <c:v>4.273496417917042</c:v>
                </c:pt>
                <c:pt idx="65">
                  <c:v>4.3323072994469962</c:v>
                </c:pt>
                <c:pt idx="66">
                  <c:v>4.3908731809769508</c:v>
                </c:pt>
                <c:pt idx="67">
                  <c:v>4.449194062506904</c:v>
                </c:pt>
                <c:pt idx="68">
                  <c:v>4.5072699440368575</c:v>
                </c:pt>
                <c:pt idx="69">
                  <c:v>4.5651008255668115</c:v>
                </c:pt>
                <c:pt idx="70">
                  <c:v>4.622686707096765</c:v>
                </c:pt>
                <c:pt idx="71">
                  <c:v>4.6800275886267197</c:v>
                </c:pt>
                <c:pt idx="72">
                  <c:v>4.7371234701566731</c:v>
                </c:pt>
                <c:pt idx="73">
                  <c:v>4.7939743516866269</c:v>
                </c:pt>
                <c:pt idx="74">
                  <c:v>4.850580233216581</c:v>
                </c:pt>
                <c:pt idx="75">
                  <c:v>4.9069411147465338</c:v>
                </c:pt>
                <c:pt idx="76">
                  <c:v>4.9630569962764879</c:v>
                </c:pt>
                <c:pt idx="77">
                  <c:v>5.0189278778064423</c:v>
                </c:pt>
                <c:pt idx="78">
                  <c:v>5.0745537593363963</c:v>
                </c:pt>
                <c:pt idx="79">
                  <c:v>5.1299346408663498</c:v>
                </c:pt>
                <c:pt idx="80">
                  <c:v>5.1850705223963036</c:v>
                </c:pt>
                <c:pt idx="81">
                  <c:v>5.239961403926257</c:v>
                </c:pt>
                <c:pt idx="82">
                  <c:v>5.2946072854562107</c:v>
                </c:pt>
                <c:pt idx="83">
                  <c:v>5.3490081669861649</c:v>
                </c:pt>
                <c:pt idx="84">
                  <c:v>5.4031640485161185</c:v>
                </c:pt>
                <c:pt idx="85">
                  <c:v>5.4570749300460726</c:v>
                </c:pt>
                <c:pt idx="86">
                  <c:v>5.5107408115760261</c:v>
                </c:pt>
                <c:pt idx="87">
                  <c:v>5.5641616931059801</c:v>
                </c:pt>
                <c:pt idx="88">
                  <c:v>5.6173375746359344</c:v>
                </c:pt>
                <c:pt idx="89">
                  <c:v>5.6702684561658874</c:v>
                </c:pt>
                <c:pt idx="90">
                  <c:v>5.7229543376958416</c:v>
                </c:pt>
                <c:pt idx="91">
                  <c:v>5.7753952192257954</c:v>
                </c:pt>
                <c:pt idx="92">
                  <c:v>5.8275911007557486</c:v>
                </c:pt>
                <c:pt idx="93">
                  <c:v>5.8795419822857022</c:v>
                </c:pt>
                <c:pt idx="94">
                  <c:v>5.9312478638156572</c:v>
                </c:pt>
                <c:pt idx="95">
                  <c:v>5.9827087453456107</c:v>
                </c:pt>
                <c:pt idx="96">
                  <c:v>6.0339246268755637</c:v>
                </c:pt>
                <c:pt idx="97">
                  <c:v>6.0848955084055181</c:v>
                </c:pt>
                <c:pt idx="98">
                  <c:v>6.135621389935471</c:v>
                </c:pt>
                <c:pt idx="99">
                  <c:v>6.1861022714654252</c:v>
                </c:pt>
                <c:pt idx="100">
                  <c:v>6.2363381529953799</c:v>
                </c:pt>
                <c:pt idx="101">
                  <c:v>6.2863290345253331</c:v>
                </c:pt>
                <c:pt idx="102">
                  <c:v>6.3360749160552867</c:v>
                </c:pt>
                <c:pt idx="103">
                  <c:v>6.3855757975852399</c:v>
                </c:pt>
                <c:pt idx="104">
                  <c:v>6.4348316791151943</c:v>
                </c:pt>
                <c:pt idx="105">
                  <c:v>6.4838425606451473</c:v>
                </c:pt>
                <c:pt idx="106">
                  <c:v>6.5326084421751025</c:v>
                </c:pt>
                <c:pt idx="107">
                  <c:v>6.5811293237050563</c:v>
                </c:pt>
                <c:pt idx="108">
                  <c:v>6.6294052052350088</c:v>
                </c:pt>
                <c:pt idx="109">
                  <c:v>6.6774360867649634</c:v>
                </c:pt>
                <c:pt idx="110">
                  <c:v>6.7252219682949175</c:v>
                </c:pt>
                <c:pt idx="111">
                  <c:v>6.7727628498248711</c:v>
                </c:pt>
                <c:pt idx="112">
                  <c:v>6.8200587313548251</c:v>
                </c:pt>
                <c:pt idx="113">
                  <c:v>6.8671096128847786</c:v>
                </c:pt>
                <c:pt idx="114">
                  <c:v>6.9139154944147325</c:v>
                </c:pt>
                <c:pt idx="115">
                  <c:v>6.9604763759446859</c:v>
                </c:pt>
                <c:pt idx="116">
                  <c:v>7.0067922574746397</c:v>
                </c:pt>
                <c:pt idx="117">
                  <c:v>7.0528631390045931</c:v>
                </c:pt>
                <c:pt idx="118">
                  <c:v>7.0986890205345468</c:v>
                </c:pt>
                <c:pt idx="119">
                  <c:v>7.1442699020645009</c:v>
                </c:pt>
                <c:pt idx="120">
                  <c:v>7.1896057835944553</c:v>
                </c:pt>
                <c:pt idx="121">
                  <c:v>7.2346966651244093</c:v>
                </c:pt>
                <c:pt idx="122">
                  <c:v>7.2795425466543628</c:v>
                </c:pt>
                <c:pt idx="123">
                  <c:v>7.3241434281843167</c:v>
                </c:pt>
                <c:pt idx="124">
                  <c:v>7.3684993097142701</c:v>
                </c:pt>
                <c:pt idx="125">
                  <c:v>7.4126101912442239</c:v>
                </c:pt>
                <c:pt idx="126">
                  <c:v>7.4564760727741772</c:v>
                </c:pt>
                <c:pt idx="127">
                  <c:v>7.5000969543041309</c:v>
                </c:pt>
                <c:pt idx="128">
                  <c:v>7.5434728358340841</c:v>
                </c:pt>
                <c:pt idx="129">
                  <c:v>7.5866037173640386</c:v>
                </c:pt>
                <c:pt idx="130">
                  <c:v>7.6294895988939917</c:v>
                </c:pt>
                <c:pt idx="131">
                  <c:v>7.672130480423947</c:v>
                </c:pt>
                <c:pt idx="132">
                  <c:v>7.7145263619539008</c:v>
                </c:pt>
                <c:pt idx="133">
                  <c:v>7.7566772434838542</c:v>
                </c:pt>
                <c:pt idx="134">
                  <c:v>7.798583125013808</c:v>
                </c:pt>
                <c:pt idx="135">
                  <c:v>7.8402440065437613</c:v>
                </c:pt>
                <c:pt idx="136">
                  <c:v>7.881659888073715</c:v>
                </c:pt>
                <c:pt idx="137">
                  <c:v>7.9228307696036691</c:v>
                </c:pt>
                <c:pt idx="138">
                  <c:v>7.9637566511336226</c:v>
                </c:pt>
                <c:pt idx="139">
                  <c:v>8.0044375326635766</c:v>
                </c:pt>
                <c:pt idx="140">
                  <c:v>8.0448734141935301</c:v>
                </c:pt>
                <c:pt idx="141">
                  <c:v>8.085064295723484</c:v>
                </c:pt>
                <c:pt idx="142">
                  <c:v>8.1250101772534364</c:v>
                </c:pt>
                <c:pt idx="143">
                  <c:v>8.1647110587833929</c:v>
                </c:pt>
                <c:pt idx="144">
                  <c:v>8.2041669403133461</c:v>
                </c:pt>
                <c:pt idx="145">
                  <c:v>8.2433778218432998</c:v>
                </c:pt>
                <c:pt idx="146">
                  <c:v>8.2823437033732539</c:v>
                </c:pt>
                <c:pt idx="147">
                  <c:v>8.3210645849032066</c:v>
                </c:pt>
                <c:pt idx="148">
                  <c:v>8.3595404664331596</c:v>
                </c:pt>
                <c:pt idx="149">
                  <c:v>8.3977713479631149</c:v>
                </c:pt>
                <c:pt idx="150">
                  <c:v>8.4357572294930669</c:v>
                </c:pt>
                <c:pt idx="151">
                  <c:v>8.4734981110230212</c:v>
                </c:pt>
                <c:pt idx="152">
                  <c:v>8.5109939925529741</c:v>
                </c:pt>
                <c:pt idx="153">
                  <c:v>8.5482448740829291</c:v>
                </c:pt>
                <c:pt idx="154">
                  <c:v>8.5852507556128845</c:v>
                </c:pt>
                <c:pt idx="155">
                  <c:v>8.6220116371428368</c:v>
                </c:pt>
                <c:pt idx="156">
                  <c:v>8.6585275186727912</c:v>
                </c:pt>
                <c:pt idx="157">
                  <c:v>8.6947984002027443</c:v>
                </c:pt>
                <c:pt idx="158">
                  <c:v>8.7308242817326978</c:v>
                </c:pt>
                <c:pt idx="159">
                  <c:v>8.7666051632626516</c:v>
                </c:pt>
                <c:pt idx="160">
                  <c:v>8.8021410447926058</c:v>
                </c:pt>
                <c:pt idx="161">
                  <c:v>8.8374319263225587</c:v>
                </c:pt>
                <c:pt idx="162">
                  <c:v>8.8724778078525119</c:v>
                </c:pt>
                <c:pt idx="163">
                  <c:v>8.9072786893824656</c:v>
                </c:pt>
                <c:pt idx="164">
                  <c:v>8.9418345709124196</c:v>
                </c:pt>
                <c:pt idx="165">
                  <c:v>8.9761454524423741</c:v>
                </c:pt>
                <c:pt idx="166">
                  <c:v>9.0102113339723289</c:v>
                </c:pt>
                <c:pt idx="167">
                  <c:v>9.0440322155022823</c:v>
                </c:pt>
                <c:pt idx="168">
                  <c:v>9.0776080970322361</c:v>
                </c:pt>
                <c:pt idx="169">
                  <c:v>9.1109389785621886</c:v>
                </c:pt>
                <c:pt idx="170">
                  <c:v>9.1440248600921432</c:v>
                </c:pt>
                <c:pt idx="171">
                  <c:v>9.1768657416220965</c:v>
                </c:pt>
                <c:pt idx="172">
                  <c:v>9.2094616231520501</c:v>
                </c:pt>
                <c:pt idx="173">
                  <c:v>9.2418125046820041</c:v>
                </c:pt>
                <c:pt idx="174">
                  <c:v>9.2739183862119567</c:v>
                </c:pt>
                <c:pt idx="175">
                  <c:v>9.3057792677419116</c:v>
                </c:pt>
                <c:pt idx="176">
                  <c:v>9.337395149271865</c:v>
                </c:pt>
                <c:pt idx="177">
                  <c:v>9.3687660308018206</c:v>
                </c:pt>
                <c:pt idx="178">
                  <c:v>9.399891912331773</c:v>
                </c:pt>
                <c:pt idx="179">
                  <c:v>9.4307727938617276</c:v>
                </c:pt>
                <c:pt idx="180">
                  <c:v>9.4614086753916808</c:v>
                </c:pt>
                <c:pt idx="181">
                  <c:v>9.4917995569216345</c:v>
                </c:pt>
                <c:pt idx="182">
                  <c:v>9.5219454384515885</c:v>
                </c:pt>
                <c:pt idx="183">
                  <c:v>9.5518463199815429</c:v>
                </c:pt>
                <c:pt idx="184">
                  <c:v>9.5815022015114959</c:v>
                </c:pt>
                <c:pt idx="185">
                  <c:v>9.6109130830414493</c:v>
                </c:pt>
                <c:pt idx="186">
                  <c:v>9.6400789645714013</c:v>
                </c:pt>
                <c:pt idx="187">
                  <c:v>9.6689998461013573</c:v>
                </c:pt>
                <c:pt idx="188">
                  <c:v>9.6976757276313101</c:v>
                </c:pt>
                <c:pt idx="189">
                  <c:v>9.7261066091612651</c:v>
                </c:pt>
                <c:pt idx="190">
                  <c:v>9.7542924906912187</c:v>
                </c:pt>
                <c:pt idx="191">
                  <c:v>9.782233372221171</c:v>
                </c:pt>
                <c:pt idx="192">
                  <c:v>9.8099292537511253</c:v>
                </c:pt>
                <c:pt idx="193">
                  <c:v>9.8373801352810801</c:v>
                </c:pt>
                <c:pt idx="194">
                  <c:v>9.8645860168110335</c:v>
                </c:pt>
                <c:pt idx="195">
                  <c:v>9.8915468983409873</c:v>
                </c:pt>
                <c:pt idx="196">
                  <c:v>9.9182627798709397</c:v>
                </c:pt>
                <c:pt idx="197">
                  <c:v>9.9447336614008925</c:v>
                </c:pt>
                <c:pt idx="198">
                  <c:v>9.9709595429308475</c:v>
                </c:pt>
                <c:pt idx="199">
                  <c:v>9.9969404244608011</c:v>
                </c:pt>
                <c:pt idx="200">
                  <c:v>10.022676305990757</c:v>
                </c:pt>
                <c:pt idx="201">
                  <c:v>10.048167187520708</c:v>
                </c:pt>
                <c:pt idx="202">
                  <c:v>10.073413069050662</c:v>
                </c:pt>
                <c:pt idx="203">
                  <c:v>10.098413950580614</c:v>
                </c:pt>
                <c:pt idx="204">
                  <c:v>10.123169832110568</c:v>
                </c:pt>
                <c:pt idx="205">
                  <c:v>10.14768071364052</c:v>
                </c:pt>
                <c:pt idx="206">
                  <c:v>10.171946595170475</c:v>
                </c:pt>
                <c:pt idx="207">
                  <c:v>10.195967476700428</c:v>
                </c:pt>
                <c:pt idx="208">
                  <c:v>10.219743358230382</c:v>
                </c:pt>
                <c:pt idx="209">
                  <c:v>10.243274239760334</c:v>
                </c:pt>
                <c:pt idx="210">
                  <c:v>10.266560121290286</c:v>
                </c:pt>
                <c:pt idx="211">
                  <c:v>10.289601002820241</c:v>
                </c:pt>
                <c:pt idx="212">
                  <c:v>10.312396884350193</c:v>
                </c:pt>
                <c:pt idx="213">
                  <c:v>10.334947765880148</c:v>
                </c:pt>
                <c:pt idx="214">
                  <c:v>10.357253647410101</c:v>
                </c:pt>
                <c:pt idx="215">
                  <c:v>10.379314528940053</c:v>
                </c:pt>
                <c:pt idx="216">
                  <c:v>10.401130410470007</c:v>
                </c:pt>
                <c:pt idx="217">
                  <c:v>10.422701291999962</c:v>
                </c:pt>
                <c:pt idx="218">
                  <c:v>10.444027173529914</c:v>
                </c:pt>
                <c:pt idx="219">
                  <c:v>10.465108055059869</c:v>
                </c:pt>
                <c:pt idx="220">
                  <c:v>10.48594393658982</c:v>
                </c:pt>
                <c:pt idx="221">
                  <c:v>10.506534818119775</c:v>
                </c:pt>
                <c:pt idx="222">
                  <c:v>10.526880699649727</c:v>
                </c:pt>
                <c:pt idx="223">
                  <c:v>10.546981581179679</c:v>
                </c:pt>
                <c:pt idx="224">
                  <c:v>10.566837462709636</c:v>
                </c:pt>
                <c:pt idx="225">
                  <c:v>10.586448344239587</c:v>
                </c:pt>
                <c:pt idx="226">
                  <c:v>10.605814225769542</c:v>
                </c:pt>
                <c:pt idx="227">
                  <c:v>10.624935107299493</c:v>
                </c:pt>
                <c:pt idx="228">
                  <c:v>10.643810988829447</c:v>
                </c:pt>
                <c:pt idx="229">
                  <c:v>10.662441870359402</c:v>
                </c:pt>
                <c:pt idx="230">
                  <c:v>10.680827751889353</c:v>
                </c:pt>
                <c:pt idx="231">
                  <c:v>10.698968633419309</c:v>
                </c:pt>
                <c:pt idx="232">
                  <c:v>10.716864514949261</c:v>
                </c:pt>
                <c:pt idx="233">
                  <c:v>10.734515396479216</c:v>
                </c:pt>
                <c:pt idx="234">
                  <c:v>10.751921278009167</c:v>
                </c:pt>
                <c:pt idx="235">
                  <c:v>10.769082159539122</c:v>
                </c:pt>
                <c:pt idx="236">
                  <c:v>10.785998041069078</c:v>
                </c:pt>
                <c:pt idx="237">
                  <c:v>10.802668922599029</c:v>
                </c:pt>
                <c:pt idx="238">
                  <c:v>10.819094804128984</c:v>
                </c:pt>
                <c:pt idx="239">
                  <c:v>10.835275685658935</c:v>
                </c:pt>
                <c:pt idx="240">
                  <c:v>10.851211567188891</c:v>
                </c:pt>
                <c:pt idx="241">
                  <c:v>10.866902448718843</c:v>
                </c:pt>
                <c:pt idx="242">
                  <c:v>10.882348330248796</c:v>
                </c:pt>
                <c:pt idx="243">
                  <c:v>10.897549211778752</c:v>
                </c:pt>
                <c:pt idx="244">
                  <c:v>10.912505093308704</c:v>
                </c:pt>
                <c:pt idx="245">
                  <c:v>10.92721597483866</c:v>
                </c:pt>
                <c:pt idx="246">
                  <c:v>10.941681856368611</c:v>
                </c:pt>
                <c:pt idx="247">
                  <c:v>10.955902737898565</c:v>
                </c:pt>
                <c:pt idx="248">
                  <c:v>10.96987861942852</c:v>
                </c:pt>
                <c:pt idx="249">
                  <c:v>10.983609500958472</c:v>
                </c:pt>
                <c:pt idx="250">
                  <c:v>10.997095382488428</c:v>
                </c:pt>
                <c:pt idx="251">
                  <c:v>11.010336264018379</c:v>
                </c:pt>
                <c:pt idx="252">
                  <c:v>11.023332145548334</c:v>
                </c:pt>
                <c:pt idx="253">
                  <c:v>11.036083027078288</c:v>
                </c:pt>
                <c:pt idx="254">
                  <c:v>11.048588908608242</c:v>
                </c:pt>
                <c:pt idx="255">
                  <c:v>11.060849790138196</c:v>
                </c:pt>
                <c:pt idx="256">
                  <c:v>11.072865671668149</c:v>
                </c:pt>
                <c:pt idx="257">
                  <c:v>11.084636553198104</c:v>
                </c:pt>
                <c:pt idx="258">
                  <c:v>11.096162434728056</c:v>
                </c:pt>
                <c:pt idx="259">
                  <c:v>11.107443316258012</c:v>
                </c:pt>
                <c:pt idx="260">
                  <c:v>11.118479197787963</c:v>
                </c:pt>
                <c:pt idx="261">
                  <c:v>11.129270079317919</c:v>
                </c:pt>
                <c:pt idx="262">
                  <c:v>11.139815960847873</c:v>
                </c:pt>
                <c:pt idx="263">
                  <c:v>11.150116842377825</c:v>
                </c:pt>
                <c:pt idx="264">
                  <c:v>11.160172723907781</c:v>
                </c:pt>
                <c:pt idx="265">
                  <c:v>11.169983605437732</c:v>
                </c:pt>
                <c:pt idx="266">
                  <c:v>11.179549486967687</c:v>
                </c:pt>
                <c:pt idx="267">
                  <c:v>11.188870368497639</c:v>
                </c:pt>
                <c:pt idx="268">
                  <c:v>11.197946250027595</c:v>
                </c:pt>
                <c:pt idx="269">
                  <c:v>11.20677713155755</c:v>
                </c:pt>
                <c:pt idx="270">
                  <c:v>11.215363013087503</c:v>
                </c:pt>
                <c:pt idx="271">
                  <c:v>11.223703894617458</c:v>
                </c:pt>
                <c:pt idx="272">
                  <c:v>11.231799776147408</c:v>
                </c:pt>
                <c:pt idx="273">
                  <c:v>11.239650657677364</c:v>
                </c:pt>
                <c:pt idx="274">
                  <c:v>11.247256539207321</c:v>
                </c:pt>
                <c:pt idx="275">
                  <c:v>11.254617420737272</c:v>
                </c:pt>
                <c:pt idx="276">
                  <c:v>11.261733302267228</c:v>
                </c:pt>
                <c:pt idx="277">
                  <c:v>11.26860418379718</c:v>
                </c:pt>
                <c:pt idx="278">
                  <c:v>11.275230065327134</c:v>
                </c:pt>
                <c:pt idx="279">
                  <c:v>11.281610946857088</c:v>
                </c:pt>
                <c:pt idx="280">
                  <c:v>11.287746828387043</c:v>
                </c:pt>
                <c:pt idx="281">
                  <c:v>11.293637709916998</c:v>
                </c:pt>
                <c:pt idx="282">
                  <c:v>11.299283591446949</c:v>
                </c:pt>
                <c:pt idx="283">
                  <c:v>11.304684472976904</c:v>
                </c:pt>
                <c:pt idx="284">
                  <c:v>11.309840354506857</c:v>
                </c:pt>
                <c:pt idx="285">
                  <c:v>11.314751236036813</c:v>
                </c:pt>
                <c:pt idx="286">
                  <c:v>11.319417117566765</c:v>
                </c:pt>
                <c:pt idx="287">
                  <c:v>11.323837999096721</c:v>
                </c:pt>
                <c:pt idx="288">
                  <c:v>11.328013880626676</c:v>
                </c:pt>
                <c:pt idx="289">
                  <c:v>11.331944762156628</c:v>
                </c:pt>
                <c:pt idx="290">
                  <c:v>11.335630643686583</c:v>
                </c:pt>
                <c:pt idx="291">
                  <c:v>11.339071525216536</c:v>
                </c:pt>
                <c:pt idx="292">
                  <c:v>11.34226740674649</c:v>
                </c:pt>
                <c:pt idx="293">
                  <c:v>11.345218288276445</c:v>
                </c:pt>
                <c:pt idx="294">
                  <c:v>11.347924169806401</c:v>
                </c:pt>
                <c:pt idx="295">
                  <c:v>11.350385051336355</c:v>
                </c:pt>
                <c:pt idx="296">
                  <c:v>11.352600932866308</c:v>
                </c:pt>
                <c:pt idx="297">
                  <c:v>11.354571814396264</c:v>
                </c:pt>
                <c:pt idx="298">
                  <c:v>11.356297695926216</c:v>
                </c:pt>
                <c:pt idx="299">
                  <c:v>11.35777857745617</c:v>
                </c:pt>
                <c:pt idx="300">
                  <c:v>11.359014458986127</c:v>
                </c:pt>
                <c:pt idx="301">
                  <c:v>11.36000534051608</c:v>
                </c:pt>
                <c:pt idx="302">
                  <c:v>11.360751222046034</c:v>
                </c:pt>
                <c:pt idx="303">
                  <c:v>11.361252103575987</c:v>
                </c:pt>
                <c:pt idx="304">
                  <c:v>11.361507985105941</c:v>
                </c:pt>
                <c:pt idx="305">
                  <c:v>11.361518866635894</c:v>
                </c:pt>
                <c:pt idx="306">
                  <c:v>11.361284748165851</c:v>
                </c:pt>
                <c:pt idx="307">
                  <c:v>11.360805629695808</c:v>
                </c:pt>
                <c:pt idx="308">
                  <c:v>11.360081511225758</c:v>
                </c:pt>
                <c:pt idx="309">
                  <c:v>11.359112392755714</c:v>
                </c:pt>
                <c:pt idx="310">
                  <c:v>11.357898274285667</c:v>
                </c:pt>
                <c:pt idx="311">
                  <c:v>11.356439155815622</c:v>
                </c:pt>
                <c:pt idx="312">
                  <c:v>11.354735037345575</c:v>
                </c:pt>
                <c:pt idx="313">
                  <c:v>11.352785918875531</c:v>
                </c:pt>
                <c:pt idx="314">
                  <c:v>11.350591800405486</c:v>
                </c:pt>
                <c:pt idx="315">
                  <c:v>11.348152681935439</c:v>
                </c:pt>
                <c:pt idx="316">
                  <c:v>11.345468563465394</c:v>
                </c:pt>
                <c:pt idx="317">
                  <c:v>11.342539444995346</c:v>
                </c:pt>
                <c:pt idx="318">
                  <c:v>11.339365326525304</c:v>
                </c:pt>
                <c:pt idx="319">
                  <c:v>11.335946208055255</c:v>
                </c:pt>
                <c:pt idx="320">
                  <c:v>11.33228208958521</c:v>
                </c:pt>
                <c:pt idx="321">
                  <c:v>11.328372971115167</c:v>
                </c:pt>
                <c:pt idx="322">
                  <c:v>11.324218852645119</c:v>
                </c:pt>
                <c:pt idx="323">
                  <c:v>11.319819734175077</c:v>
                </c:pt>
                <c:pt idx="324">
                  <c:v>11.315175615705028</c:v>
                </c:pt>
                <c:pt idx="325">
                  <c:v>11.310286497234985</c:v>
                </c:pt>
                <c:pt idx="326">
                  <c:v>11.305152378764939</c:v>
                </c:pt>
                <c:pt idx="327">
                  <c:v>11.299773260294893</c:v>
                </c:pt>
                <c:pt idx="328">
                  <c:v>11.294149141824848</c:v>
                </c:pt>
                <c:pt idx="329">
                  <c:v>11.288280023354801</c:v>
                </c:pt>
                <c:pt idx="330">
                  <c:v>11.282165904884756</c:v>
                </c:pt>
                <c:pt idx="331">
                  <c:v>11.27580678641471</c:v>
                </c:pt>
                <c:pt idx="332">
                  <c:v>11.269202667944665</c:v>
                </c:pt>
                <c:pt idx="333">
                  <c:v>11.262353549474621</c:v>
                </c:pt>
                <c:pt idx="334">
                  <c:v>11.255259431004573</c:v>
                </c:pt>
                <c:pt idx="335">
                  <c:v>11.24792031253453</c:v>
                </c:pt>
                <c:pt idx="336">
                  <c:v>11.240336194064483</c:v>
                </c:pt>
                <c:pt idx="337">
                  <c:v>11.232507075594437</c:v>
                </c:pt>
                <c:pt idx="338">
                  <c:v>11.224432957124391</c:v>
                </c:pt>
                <c:pt idx="339">
                  <c:v>11.216113838654346</c:v>
                </c:pt>
                <c:pt idx="340">
                  <c:v>11.207549720184302</c:v>
                </c:pt>
                <c:pt idx="341">
                  <c:v>11.198740601714256</c:v>
                </c:pt>
                <c:pt idx="342">
                  <c:v>11.189686483244213</c:v>
                </c:pt>
                <c:pt idx="343">
                  <c:v>11.180387364774164</c:v>
                </c:pt>
                <c:pt idx="344">
                  <c:v>11.170843246304122</c:v>
                </c:pt>
                <c:pt idx="345">
                  <c:v>11.161054127834078</c:v>
                </c:pt>
                <c:pt idx="346">
                  <c:v>11.151020009364029</c:v>
                </c:pt>
                <c:pt idx="347">
                  <c:v>11.140740890893987</c:v>
                </c:pt>
                <c:pt idx="348">
                  <c:v>11.130216772423939</c:v>
                </c:pt>
                <c:pt idx="349">
                  <c:v>11.119447653953895</c:v>
                </c:pt>
                <c:pt idx="350">
                  <c:v>11.108433535483847</c:v>
                </c:pt>
                <c:pt idx="351">
                  <c:v>11.097174417013804</c:v>
                </c:pt>
                <c:pt idx="352">
                  <c:v>11.085670298543761</c:v>
                </c:pt>
                <c:pt idx="353">
                  <c:v>11.073921180073713</c:v>
                </c:pt>
                <c:pt idx="354">
                  <c:v>11.061927061603669</c:v>
                </c:pt>
                <c:pt idx="355">
                  <c:v>11.049687943133621</c:v>
                </c:pt>
                <c:pt idx="356">
                  <c:v>11.037203824663578</c:v>
                </c:pt>
                <c:pt idx="357">
                  <c:v>11.024474706193532</c:v>
                </c:pt>
                <c:pt idx="358">
                  <c:v>11.011500587723486</c:v>
                </c:pt>
                <c:pt idx="359">
                  <c:v>10.998281469253442</c:v>
                </c:pt>
                <c:pt idx="360">
                  <c:v>10.984817350783395</c:v>
                </c:pt>
                <c:pt idx="361">
                  <c:v>10.971108232313352</c:v>
                </c:pt>
                <c:pt idx="362">
                  <c:v>10.957154113843306</c:v>
                </c:pt>
                <c:pt idx="363">
                  <c:v>10.94295499537326</c:v>
                </c:pt>
                <c:pt idx="364">
                  <c:v>10.928510876903214</c:v>
                </c:pt>
                <c:pt idx="365">
                  <c:v>10.913821758433173</c:v>
                </c:pt>
                <c:pt idx="366">
                  <c:v>10.898887639963128</c:v>
                </c:pt>
                <c:pt idx="367">
                  <c:v>10.88370852149308</c:v>
                </c:pt>
                <c:pt idx="368">
                  <c:v>10.868284403023036</c:v>
                </c:pt>
                <c:pt idx="369">
                  <c:v>10.852615284552989</c:v>
                </c:pt>
                <c:pt idx="370">
                  <c:v>10.836701166082946</c:v>
                </c:pt>
                <c:pt idx="371">
                  <c:v>10.820542047612904</c:v>
                </c:pt>
                <c:pt idx="372">
                  <c:v>10.804137929142854</c:v>
                </c:pt>
                <c:pt idx="373">
                  <c:v>10.787488810672812</c:v>
                </c:pt>
                <c:pt idx="374">
                  <c:v>10.770594692202764</c:v>
                </c:pt>
                <c:pt idx="375">
                  <c:v>10.753455573732722</c:v>
                </c:pt>
                <c:pt idx="376">
                  <c:v>10.736071455262675</c:v>
                </c:pt>
                <c:pt idx="377">
                  <c:v>10.718442336792631</c:v>
                </c:pt>
                <c:pt idx="378">
                  <c:v>10.700568218322587</c:v>
                </c:pt>
                <c:pt idx="379">
                  <c:v>10.682449099852541</c:v>
                </c:pt>
                <c:pt idx="380">
                  <c:v>10.664084981382498</c:v>
                </c:pt>
                <c:pt idx="381">
                  <c:v>10.645475862912452</c:v>
                </c:pt>
                <c:pt idx="382">
                  <c:v>10.626621744442406</c:v>
                </c:pt>
                <c:pt idx="383">
                  <c:v>10.607522625972361</c:v>
                </c:pt>
                <c:pt idx="384">
                  <c:v>10.588178507502317</c:v>
                </c:pt>
                <c:pt idx="385">
                  <c:v>10.568589389032272</c:v>
                </c:pt>
                <c:pt idx="386">
                  <c:v>10.548755270562225</c:v>
                </c:pt>
                <c:pt idx="387">
                  <c:v>10.528676152092181</c:v>
                </c:pt>
                <c:pt idx="388">
                  <c:v>10.508352033622135</c:v>
                </c:pt>
                <c:pt idx="389">
                  <c:v>10.487782915152092</c:v>
                </c:pt>
                <c:pt idx="390">
                  <c:v>10.466968796682043</c:v>
                </c:pt>
                <c:pt idx="391">
                  <c:v>10.445909678212001</c:v>
                </c:pt>
                <c:pt idx="392">
                  <c:v>10.424605559741959</c:v>
                </c:pt>
                <c:pt idx="393">
                  <c:v>10.403056441271911</c:v>
                </c:pt>
                <c:pt idx="394">
                  <c:v>10.38126232280187</c:v>
                </c:pt>
                <c:pt idx="395">
                  <c:v>10.359223204331819</c:v>
                </c:pt>
                <c:pt idx="396">
                  <c:v>10.336939085861779</c:v>
                </c:pt>
                <c:pt idx="397">
                  <c:v>10.314409967391732</c:v>
                </c:pt>
                <c:pt idx="398">
                  <c:v>10.29163584892169</c:v>
                </c:pt>
                <c:pt idx="399">
                  <c:v>10.268616730451644</c:v>
                </c:pt>
                <c:pt idx="400">
                  <c:v>10.245352611981598</c:v>
                </c:pt>
                <c:pt idx="401">
                  <c:v>10.221843493511553</c:v>
                </c:pt>
                <c:pt idx="402">
                  <c:v>10.198089375041505</c:v>
                </c:pt>
                <c:pt idx="403">
                  <c:v>10.174090256571464</c:v>
                </c:pt>
                <c:pt idx="404">
                  <c:v>10.14984613810142</c:v>
                </c:pt>
                <c:pt idx="405">
                  <c:v>10.125357019631377</c:v>
                </c:pt>
                <c:pt idx="406">
                  <c:v>10.10062290116133</c:v>
                </c:pt>
                <c:pt idx="407">
                  <c:v>10.075643782691284</c:v>
                </c:pt>
                <c:pt idx="408">
                  <c:v>10.050419664221241</c:v>
                </c:pt>
                <c:pt idx="409">
                  <c:v>10.024950545751196</c:v>
                </c:pt>
                <c:pt idx="410">
                  <c:v>9.9992364272811507</c:v>
                </c:pt>
                <c:pt idx="411">
                  <c:v>9.9732773088111095</c:v>
                </c:pt>
                <c:pt idx="412">
                  <c:v>9.9470731903410581</c:v>
                </c:pt>
                <c:pt idx="413">
                  <c:v>9.9206240718710177</c:v>
                </c:pt>
                <c:pt idx="414">
                  <c:v>9.8939299534009741</c:v>
                </c:pt>
                <c:pt idx="415">
                  <c:v>9.8669908349309274</c:v>
                </c:pt>
                <c:pt idx="416">
                  <c:v>9.8398067164608811</c:v>
                </c:pt>
                <c:pt idx="417">
                  <c:v>9.8123775979908388</c:v>
                </c:pt>
                <c:pt idx="418">
                  <c:v>9.7847034795207932</c:v>
                </c:pt>
                <c:pt idx="419">
                  <c:v>9.7567843610507481</c:v>
                </c:pt>
                <c:pt idx="420">
                  <c:v>9.7286202425807069</c:v>
                </c:pt>
                <c:pt idx="421">
                  <c:v>9.700211124110659</c:v>
                </c:pt>
                <c:pt idx="422">
                  <c:v>9.6715570056406186</c:v>
                </c:pt>
                <c:pt idx="423">
                  <c:v>9.6426578871705679</c:v>
                </c:pt>
                <c:pt idx="424">
                  <c:v>9.6135137687005248</c:v>
                </c:pt>
                <c:pt idx="425">
                  <c:v>9.584124650230482</c:v>
                </c:pt>
                <c:pt idx="426">
                  <c:v>9.5544905317604361</c:v>
                </c:pt>
                <c:pt idx="427">
                  <c:v>9.5246114132903941</c:v>
                </c:pt>
                <c:pt idx="428">
                  <c:v>9.4944872948203489</c:v>
                </c:pt>
                <c:pt idx="429">
                  <c:v>9.4641181763503042</c:v>
                </c:pt>
                <c:pt idx="430">
                  <c:v>9.4335040578802634</c:v>
                </c:pt>
                <c:pt idx="431">
                  <c:v>9.4026449394102158</c:v>
                </c:pt>
                <c:pt idx="432">
                  <c:v>9.3715408209401687</c:v>
                </c:pt>
                <c:pt idx="433">
                  <c:v>9.3401917024701291</c:v>
                </c:pt>
                <c:pt idx="434">
                  <c:v>9.3085975840000827</c:v>
                </c:pt>
                <c:pt idx="435">
                  <c:v>9.2767584655300368</c:v>
                </c:pt>
                <c:pt idx="436">
                  <c:v>9.2446743470599912</c:v>
                </c:pt>
                <c:pt idx="437">
                  <c:v>9.2123452285899496</c:v>
                </c:pt>
                <c:pt idx="438">
                  <c:v>9.1797711101199049</c:v>
                </c:pt>
                <c:pt idx="439">
                  <c:v>9.146951991649857</c:v>
                </c:pt>
                <c:pt idx="440">
                  <c:v>9.1138878731798165</c:v>
                </c:pt>
                <c:pt idx="441">
                  <c:v>9.0805787547097729</c:v>
                </c:pt>
                <c:pt idx="442">
                  <c:v>9.0470246362397262</c:v>
                </c:pt>
                <c:pt idx="443">
                  <c:v>9.0132255177696869</c:v>
                </c:pt>
                <c:pt idx="444">
                  <c:v>8.9791813992996374</c:v>
                </c:pt>
                <c:pt idx="445">
                  <c:v>8.9448922808295954</c:v>
                </c:pt>
                <c:pt idx="446">
                  <c:v>8.9103581623595467</c:v>
                </c:pt>
                <c:pt idx="447">
                  <c:v>8.875579043889509</c:v>
                </c:pt>
                <c:pt idx="448">
                  <c:v>8.8405549254194646</c:v>
                </c:pt>
                <c:pt idx="449">
                  <c:v>8.8052858069494171</c:v>
                </c:pt>
                <c:pt idx="450">
                  <c:v>8.7697716884793735</c:v>
                </c:pt>
                <c:pt idx="451">
                  <c:v>8.7340125700093303</c:v>
                </c:pt>
                <c:pt idx="452">
                  <c:v>8.6980084515392839</c:v>
                </c:pt>
                <c:pt idx="453">
                  <c:v>8.661759333069238</c:v>
                </c:pt>
                <c:pt idx="454">
                  <c:v>8.6252652145991995</c:v>
                </c:pt>
                <c:pt idx="455">
                  <c:v>8.5885260961291543</c:v>
                </c:pt>
                <c:pt idx="456">
                  <c:v>8.551541977659106</c:v>
                </c:pt>
                <c:pt idx="457">
                  <c:v>8.5143128591890687</c:v>
                </c:pt>
                <c:pt idx="458">
                  <c:v>8.4768387407190211</c:v>
                </c:pt>
                <c:pt idx="459">
                  <c:v>8.4391196222489739</c:v>
                </c:pt>
                <c:pt idx="460">
                  <c:v>8.4011555037789307</c:v>
                </c:pt>
                <c:pt idx="461">
                  <c:v>8.3629463853088879</c:v>
                </c:pt>
                <c:pt idx="462">
                  <c:v>8.3244922668388455</c:v>
                </c:pt>
                <c:pt idx="463">
                  <c:v>8.2857931483687963</c:v>
                </c:pt>
                <c:pt idx="464">
                  <c:v>8.2468490298987582</c:v>
                </c:pt>
                <c:pt idx="465">
                  <c:v>8.2076599114287134</c:v>
                </c:pt>
                <c:pt idx="466">
                  <c:v>8.168225792958669</c:v>
                </c:pt>
                <c:pt idx="467">
                  <c:v>8.1285466744886179</c:v>
                </c:pt>
                <c:pt idx="468">
                  <c:v>8.0886225560185814</c:v>
                </c:pt>
                <c:pt idx="469">
                  <c:v>8.0484534375485346</c:v>
                </c:pt>
                <c:pt idx="470">
                  <c:v>8.0080393190784918</c:v>
                </c:pt>
                <c:pt idx="471">
                  <c:v>7.9673802006084529</c:v>
                </c:pt>
                <c:pt idx="472">
                  <c:v>7.9264760821384037</c:v>
                </c:pt>
                <c:pt idx="473">
                  <c:v>7.8853269636683585</c:v>
                </c:pt>
                <c:pt idx="474">
                  <c:v>7.8439328451983101</c:v>
                </c:pt>
                <c:pt idx="475">
                  <c:v>7.8022937267282728</c:v>
                </c:pt>
                <c:pt idx="476">
                  <c:v>7.7604096082582288</c:v>
                </c:pt>
                <c:pt idx="477">
                  <c:v>7.7182804897881816</c:v>
                </c:pt>
                <c:pt idx="478">
                  <c:v>7.6759063713181419</c:v>
                </c:pt>
                <c:pt idx="479">
                  <c:v>7.6332872528480955</c:v>
                </c:pt>
                <c:pt idx="480">
                  <c:v>7.5904231343780495</c:v>
                </c:pt>
                <c:pt idx="481">
                  <c:v>7.5473140159080039</c:v>
                </c:pt>
                <c:pt idx="482">
                  <c:v>7.5039598974379658</c:v>
                </c:pt>
                <c:pt idx="483">
                  <c:v>7.4603607789679174</c:v>
                </c:pt>
                <c:pt idx="484">
                  <c:v>7.4165166604978729</c:v>
                </c:pt>
                <c:pt idx="485">
                  <c:v>7.3724275420278325</c:v>
                </c:pt>
                <c:pt idx="486">
                  <c:v>7.3280934235577853</c:v>
                </c:pt>
                <c:pt idx="487">
                  <c:v>7.2835143050877456</c:v>
                </c:pt>
                <c:pt idx="488">
                  <c:v>7.2386901866176991</c:v>
                </c:pt>
                <c:pt idx="489">
                  <c:v>7.1936210681476567</c:v>
                </c:pt>
                <c:pt idx="490">
                  <c:v>7.148306949677611</c:v>
                </c:pt>
                <c:pt idx="491">
                  <c:v>7.1027478312075694</c:v>
                </c:pt>
                <c:pt idx="492">
                  <c:v>7.0569437127375281</c:v>
                </c:pt>
                <c:pt idx="493">
                  <c:v>7.0108945942674801</c:v>
                </c:pt>
                <c:pt idx="494">
                  <c:v>6.9646004757974396</c:v>
                </c:pt>
                <c:pt idx="495">
                  <c:v>6.9180613573273995</c:v>
                </c:pt>
                <c:pt idx="496">
                  <c:v>6.8712772388573526</c:v>
                </c:pt>
                <c:pt idx="497">
                  <c:v>6.8242481203873027</c:v>
                </c:pt>
                <c:pt idx="498">
                  <c:v>6.7769740019172602</c:v>
                </c:pt>
                <c:pt idx="499">
                  <c:v>6.7294548834472216</c:v>
                </c:pt>
                <c:pt idx="500">
                  <c:v>6.6816907649771764</c:v>
                </c:pt>
                <c:pt idx="501">
                  <c:v>6.633681646507128</c:v>
                </c:pt>
                <c:pt idx="502">
                  <c:v>6.5854275280370906</c:v>
                </c:pt>
                <c:pt idx="503">
                  <c:v>6.536928409567043</c:v>
                </c:pt>
                <c:pt idx="504">
                  <c:v>6.4881842910969993</c:v>
                </c:pt>
                <c:pt idx="505">
                  <c:v>6.4391951726269525</c:v>
                </c:pt>
                <c:pt idx="506">
                  <c:v>6.3899610541569167</c:v>
                </c:pt>
                <c:pt idx="507">
                  <c:v>6.3404819356868671</c:v>
                </c:pt>
                <c:pt idx="508">
                  <c:v>6.290757817216825</c:v>
                </c:pt>
                <c:pt idx="509">
                  <c:v>6.2407886987467869</c:v>
                </c:pt>
                <c:pt idx="510">
                  <c:v>6.1905745802767385</c:v>
                </c:pt>
                <c:pt idx="511">
                  <c:v>6.140115461806694</c:v>
                </c:pt>
                <c:pt idx="512">
                  <c:v>6.0894113433366499</c:v>
                </c:pt>
                <c:pt idx="513">
                  <c:v>6.0384622248666133</c:v>
                </c:pt>
                <c:pt idx="514">
                  <c:v>5.9872681063965629</c:v>
                </c:pt>
                <c:pt idx="515">
                  <c:v>5.93582898792652</c:v>
                </c:pt>
                <c:pt idx="516">
                  <c:v>5.8841448694564775</c:v>
                </c:pt>
                <c:pt idx="517">
                  <c:v>5.8322157509864354</c:v>
                </c:pt>
                <c:pt idx="518">
                  <c:v>5.7800416325163866</c:v>
                </c:pt>
                <c:pt idx="519">
                  <c:v>5.7276225140463453</c:v>
                </c:pt>
                <c:pt idx="520">
                  <c:v>5.6749583955763043</c:v>
                </c:pt>
                <c:pt idx="521">
                  <c:v>5.6220492771062567</c:v>
                </c:pt>
                <c:pt idx="522">
                  <c:v>5.5688951586362165</c:v>
                </c:pt>
                <c:pt idx="523">
                  <c:v>5.5154960401661768</c:v>
                </c:pt>
                <c:pt idx="524">
                  <c:v>5.4618519216961303</c:v>
                </c:pt>
                <c:pt idx="525">
                  <c:v>5.4079628032260842</c:v>
                </c:pt>
                <c:pt idx="526">
                  <c:v>5.3538286847560386</c:v>
                </c:pt>
                <c:pt idx="527">
                  <c:v>5.2994495662860004</c:v>
                </c:pt>
                <c:pt idx="528">
                  <c:v>5.2448254478159555</c:v>
                </c:pt>
                <c:pt idx="529">
                  <c:v>5.189956329345911</c:v>
                </c:pt>
                <c:pt idx="530">
                  <c:v>5.134842210875874</c:v>
                </c:pt>
                <c:pt idx="531">
                  <c:v>5.0794830924058232</c:v>
                </c:pt>
                <c:pt idx="532">
                  <c:v>5.0238789739357799</c:v>
                </c:pt>
                <c:pt idx="533">
                  <c:v>4.9680298554657298</c:v>
                </c:pt>
                <c:pt idx="534">
                  <c:v>4.9119357369956944</c:v>
                </c:pt>
                <c:pt idx="535">
                  <c:v>4.8555966185256523</c:v>
                </c:pt>
                <c:pt idx="536">
                  <c:v>4.7990125000556034</c:v>
                </c:pt>
                <c:pt idx="537">
                  <c:v>4.7421833815855692</c:v>
                </c:pt>
                <c:pt idx="538">
                  <c:v>4.6851092631155211</c:v>
                </c:pt>
                <c:pt idx="539">
                  <c:v>4.6277901446454806</c:v>
                </c:pt>
                <c:pt idx="540">
                  <c:v>4.5702260261754404</c:v>
                </c:pt>
                <c:pt idx="541">
                  <c:v>4.5124169077053935</c:v>
                </c:pt>
                <c:pt idx="542">
                  <c:v>4.454362789235347</c:v>
                </c:pt>
                <c:pt idx="543">
                  <c:v>4.3960636707653009</c:v>
                </c:pt>
                <c:pt idx="544">
                  <c:v>4.3375195522952694</c:v>
                </c:pt>
                <c:pt idx="545">
                  <c:v>4.278730433825217</c:v>
                </c:pt>
                <c:pt idx="546">
                  <c:v>4.2196963153551721</c:v>
                </c:pt>
                <c:pt idx="547">
                  <c:v>4.1604171968851347</c:v>
                </c:pt>
                <c:pt idx="548">
                  <c:v>4.1008930784150905</c:v>
                </c:pt>
                <c:pt idx="549">
                  <c:v>4.0411239599450468</c:v>
                </c:pt>
                <c:pt idx="550">
                  <c:v>3.9811098414750035</c:v>
                </c:pt>
                <c:pt idx="551">
                  <c:v>3.9208507230049605</c:v>
                </c:pt>
                <c:pt idx="552">
                  <c:v>3.860346604534918</c:v>
                </c:pt>
                <c:pt idx="553">
                  <c:v>3.7995974860648758</c:v>
                </c:pt>
                <c:pt idx="554">
                  <c:v>3.738603367594834</c:v>
                </c:pt>
                <c:pt idx="555">
                  <c:v>3.6773642491247855</c:v>
                </c:pt>
                <c:pt idx="556">
                  <c:v>3.6158801306547446</c:v>
                </c:pt>
                <c:pt idx="557">
                  <c:v>3.5541510121846969</c:v>
                </c:pt>
                <c:pt idx="558">
                  <c:v>3.4921768937146638</c:v>
                </c:pt>
                <c:pt idx="559">
                  <c:v>3.4299577752446098</c:v>
                </c:pt>
                <c:pt idx="560">
                  <c:v>3.3674936567745704</c:v>
                </c:pt>
                <c:pt idx="561">
                  <c:v>3.3047845383045313</c:v>
                </c:pt>
                <c:pt idx="562">
                  <c:v>3.2418304198344856</c:v>
                </c:pt>
                <c:pt idx="563">
                  <c:v>3.1786313013644403</c:v>
                </c:pt>
                <c:pt idx="564">
                  <c:v>3.1151871828943953</c:v>
                </c:pt>
                <c:pt idx="565">
                  <c:v>3.0514980644243579</c:v>
                </c:pt>
                <c:pt idx="566">
                  <c:v>2.9875639459543137</c:v>
                </c:pt>
                <c:pt idx="567">
                  <c:v>2.92338482748427</c:v>
                </c:pt>
                <c:pt idx="568">
                  <c:v>2.8589607090142337</c:v>
                </c:pt>
                <c:pt idx="569">
                  <c:v>2.7942915905441836</c:v>
                </c:pt>
                <c:pt idx="570">
                  <c:v>2.7293774720741411</c:v>
                </c:pt>
                <c:pt idx="571">
                  <c:v>2.6642183536040989</c:v>
                </c:pt>
                <c:pt idx="572">
                  <c:v>2.5988142351340571</c:v>
                </c:pt>
                <c:pt idx="573">
                  <c:v>2.5331651166640157</c:v>
                </c:pt>
                <c:pt idx="574">
                  <c:v>2.4672709981939676</c:v>
                </c:pt>
                <c:pt idx="575">
                  <c:v>2.4011318797239269</c:v>
                </c:pt>
                <c:pt idx="576">
                  <c:v>2.3347477612538867</c:v>
                </c:pt>
                <c:pt idx="577">
                  <c:v>2.2681186427838398</c:v>
                </c:pt>
                <c:pt idx="578">
                  <c:v>2.2012445243137932</c:v>
                </c:pt>
                <c:pt idx="579">
                  <c:v>2.1341254058437542</c:v>
                </c:pt>
                <c:pt idx="580">
                  <c:v>2.0667612873737085</c:v>
                </c:pt>
                <c:pt idx="581">
                  <c:v>1.9991521689036631</c:v>
                </c:pt>
                <c:pt idx="582">
                  <c:v>1.9312980504336252</c:v>
                </c:pt>
                <c:pt idx="583">
                  <c:v>1.8631989319635807</c:v>
                </c:pt>
                <c:pt idx="584">
                  <c:v>1.7948548134935365</c:v>
                </c:pt>
                <c:pt idx="585">
                  <c:v>1.7262656950234998</c:v>
                </c:pt>
                <c:pt idx="586">
                  <c:v>1.6574315765534564</c:v>
                </c:pt>
                <c:pt idx="587">
                  <c:v>1.5883524580834134</c:v>
                </c:pt>
                <c:pt idx="588">
                  <c:v>1.5190283396133708</c:v>
                </c:pt>
                <c:pt idx="589">
                  <c:v>1.4494592211433286</c:v>
                </c:pt>
                <c:pt idx="590">
                  <c:v>1.3796451026732797</c:v>
                </c:pt>
                <c:pt idx="591">
                  <c:v>1.3095859842032382</c:v>
                </c:pt>
                <c:pt idx="592">
                  <c:v>1.2392818657332043</c:v>
                </c:pt>
                <c:pt idx="593">
                  <c:v>1.1687327472631566</c:v>
                </c:pt>
                <c:pt idx="594">
                  <c:v>1.0979386287931092</c:v>
                </c:pt>
                <c:pt idx="595">
                  <c:v>1.0268995103230694</c:v>
                </c:pt>
                <c:pt idx="596">
                  <c:v>0.95561539185303701</c:v>
                </c:pt>
                <c:pt idx="597">
                  <c:v>0.88408627338299084</c:v>
                </c:pt>
                <c:pt idx="598">
                  <c:v>0.81231215491293796</c:v>
                </c:pt>
                <c:pt idx="599">
                  <c:v>0.74029303644289968</c:v>
                </c:pt>
                <c:pt idx="600">
                  <c:v>0.66802891797285469</c:v>
                </c:pt>
                <c:pt idx="601">
                  <c:v>0.59551979950281719</c:v>
                </c:pt>
                <c:pt idx="602">
                  <c:v>0.52276568103276588</c:v>
                </c:pt>
                <c:pt idx="603">
                  <c:v>0.44976656256272918</c:v>
                </c:pt>
                <c:pt idx="604">
                  <c:v>0.37652244409268576</c:v>
                </c:pt>
                <c:pt idx="605">
                  <c:v>0.30303332562264274</c:v>
                </c:pt>
                <c:pt idx="606">
                  <c:v>0.2292992071526001</c:v>
                </c:pt>
                <c:pt idx="607">
                  <c:v>0.15532008868256497</c:v>
                </c:pt>
                <c:pt idx="608">
                  <c:v>8.1095970212516022E-2</c:v>
                </c:pt>
                <c:pt idx="609">
                  <c:v>6.6268517424674656E-3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42656"/>
        <c:axId val="125122432"/>
      </c:scatterChart>
      <c:valAx>
        <c:axId val="12474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122432"/>
        <c:crosses val="autoZero"/>
        <c:crossBetween val="midCat"/>
      </c:valAx>
      <c:valAx>
        <c:axId val="125122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y</a:t>
                </a:r>
                <a:r>
                  <a:rPr lang="en-US" baseline="0"/>
                  <a:t>-</a:t>
                </a:r>
                <a:r>
                  <a:rPr lang="en-US"/>
                  <a:t>displacement (m)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247426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23</xdr:row>
      <xdr:rowOff>57150</xdr:rowOff>
    </xdr:from>
    <xdr:to>
      <xdr:col>16</xdr:col>
      <xdr:colOff>38100</xdr:colOff>
      <xdr:row>49</xdr:row>
      <xdr:rowOff>0</xdr:rowOff>
    </xdr:to>
    <xdr:graphicFrame macro="">
      <xdr:nvGraphicFramePr>
        <xdr:cNvPr id="105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57150</xdr:rowOff>
    </xdr:from>
    <xdr:to>
      <xdr:col>8</xdr:col>
      <xdr:colOff>304800</xdr:colOff>
      <xdr:row>48</xdr:row>
      <xdr:rowOff>171450</xdr:rowOff>
    </xdr:to>
    <xdr:graphicFrame macro="">
      <xdr:nvGraphicFramePr>
        <xdr:cNvPr id="105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24</xdr:row>
          <xdr:rowOff>73267</xdr:rowOff>
        </xdr:from>
        <xdr:to>
          <xdr:col>17</xdr:col>
          <xdr:colOff>619125</xdr:colOff>
          <xdr:row>31</xdr:row>
          <xdr:rowOff>183174</xdr:rowOff>
        </xdr:to>
        <xdr:sp macro="" textlink="">
          <xdr:nvSpPr>
            <xdr:cNvPr id="1060" name="ScrollBar1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224448</xdr:colOff>
          <xdr:row>37</xdr:row>
          <xdr:rowOff>36635</xdr:rowOff>
        </xdr:from>
        <xdr:to>
          <xdr:col>17</xdr:col>
          <xdr:colOff>643548</xdr:colOff>
          <xdr:row>43</xdr:row>
          <xdr:rowOff>170962</xdr:rowOff>
        </xdr:to>
        <xdr:sp macro="" textlink="">
          <xdr:nvSpPr>
            <xdr:cNvPr id="1063" name="ScrollBar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025"/>
  <sheetViews>
    <sheetView tabSelected="1" zoomScale="78" zoomScaleNormal="78" workbookViewId="0">
      <selection activeCell="V19" sqref="V19"/>
    </sheetView>
  </sheetViews>
  <sheetFormatPr defaultRowHeight="15" x14ac:dyDescent="0.25"/>
  <cols>
    <col min="1" max="3" width="9.140625" style="1"/>
    <col min="4" max="4" width="11.140625" style="1" bestFit="1" customWidth="1"/>
    <col min="5" max="14" width="9.140625" style="1"/>
    <col min="15" max="15" width="9.7109375" style="1" bestFit="1" customWidth="1"/>
    <col min="16" max="17" width="9.140625" style="1"/>
    <col min="18" max="18" width="12.5703125" style="1" bestFit="1" customWidth="1"/>
    <col min="19" max="16384" width="9.140625" style="1"/>
  </cols>
  <sheetData>
    <row r="1" spans="1:16" ht="31.5" x14ac:dyDescent="0.5">
      <c r="A1" s="10" t="s">
        <v>9</v>
      </c>
    </row>
    <row r="3" spans="1:16" x14ac:dyDescent="0.25">
      <c r="A3" s="21" t="s">
        <v>29</v>
      </c>
      <c r="C3" s="1" t="s">
        <v>30</v>
      </c>
    </row>
    <row r="4" spans="1:16" x14ac:dyDescent="0.25">
      <c r="C4" s="1" t="s">
        <v>31</v>
      </c>
    </row>
    <row r="5" spans="1:16" x14ac:dyDescent="0.25">
      <c r="C5" s="1" t="s">
        <v>32</v>
      </c>
    </row>
    <row r="6" spans="1:16" x14ac:dyDescent="0.25">
      <c r="C6" s="1" t="s">
        <v>33</v>
      </c>
    </row>
    <row r="7" spans="1:16" x14ac:dyDescent="0.25">
      <c r="C7" s="1" t="s">
        <v>34</v>
      </c>
    </row>
    <row r="8" spans="1:16" x14ac:dyDescent="0.25">
      <c r="D8" s="1" t="s">
        <v>35</v>
      </c>
    </row>
    <row r="9" spans="1:16" x14ac:dyDescent="0.25">
      <c r="D9" s="1" t="s">
        <v>36</v>
      </c>
    </row>
    <row r="12" spans="1:16" ht="15.75" thickBot="1" x14ac:dyDescent="0.3"/>
    <row r="13" spans="1:16" ht="20.25" customHeight="1" thickTop="1" thickBot="1" x14ac:dyDescent="0.4">
      <c r="A13" s="27" t="s">
        <v>5</v>
      </c>
      <c r="B13" s="27"/>
      <c r="C13" s="27" t="s">
        <v>4</v>
      </c>
      <c r="D13" s="28"/>
      <c r="E13" s="29">
        <f>O16/1000</f>
        <v>3.1E-2</v>
      </c>
      <c r="F13" s="30"/>
      <c r="G13" s="43" t="s">
        <v>28</v>
      </c>
      <c r="H13" s="44"/>
      <c r="I13" s="45"/>
      <c r="N13" s="32" t="s">
        <v>38</v>
      </c>
      <c r="O13" s="33"/>
      <c r="P13" s="34"/>
    </row>
    <row r="14" spans="1:16" ht="16.5" customHeight="1" thickTop="1" thickBot="1" x14ac:dyDescent="0.3">
      <c r="A14" s="8" t="s">
        <v>2</v>
      </c>
      <c r="B14" s="9">
        <v>18</v>
      </c>
      <c r="F14" s="41"/>
      <c r="G14" s="42"/>
      <c r="N14" s="35"/>
      <c r="O14" s="36"/>
      <c r="P14" s="37"/>
    </row>
    <row r="15" spans="1:16" ht="16.5" customHeight="1" thickTop="1" thickBot="1" x14ac:dyDescent="0.3">
      <c r="A15" s="3" t="s">
        <v>3</v>
      </c>
      <c r="B15" s="22">
        <f>P16</f>
        <v>56</v>
      </c>
      <c r="C15" s="43" t="s">
        <v>28</v>
      </c>
      <c r="D15" s="44"/>
      <c r="E15" s="45"/>
      <c r="N15" s="38"/>
      <c r="O15" s="39"/>
      <c r="P15" s="40"/>
    </row>
    <row r="16" spans="1:16" ht="19.5" thickTop="1" thickBot="1" x14ac:dyDescent="0.4">
      <c r="A16" s="4" t="s">
        <v>25</v>
      </c>
      <c r="B16" s="6">
        <v>-9.8000000000000007</v>
      </c>
      <c r="N16" s="23">
        <f>B15*PI()/180</f>
        <v>0.97738438111682457</v>
      </c>
      <c r="O16" s="23">
        <v>31</v>
      </c>
      <c r="P16" s="23">
        <v>56</v>
      </c>
    </row>
    <row r="17" spans="1:18" ht="18.75" thickTop="1" x14ac:dyDescent="0.35">
      <c r="A17" s="4" t="s">
        <v>26</v>
      </c>
      <c r="B17" s="6">
        <v>0</v>
      </c>
    </row>
    <row r="18" spans="1:18" ht="18.75" thickBot="1" x14ac:dyDescent="0.4">
      <c r="A18" s="4" t="s">
        <v>27</v>
      </c>
      <c r="B18" s="7">
        <v>0</v>
      </c>
    </row>
    <row r="19" spans="1:18" ht="18.75" thickTop="1" x14ac:dyDescent="0.35">
      <c r="A19" s="4" t="s">
        <v>23</v>
      </c>
      <c r="B19" s="22">
        <f>$B$14*COS($N$16)</f>
        <v>10.065472262473442</v>
      </c>
      <c r="C19" s="46" t="s">
        <v>37</v>
      </c>
      <c r="D19" s="47"/>
      <c r="E19" s="48"/>
    </row>
    <row r="20" spans="1:18" ht="18.75" thickBot="1" x14ac:dyDescent="0.4">
      <c r="A20" s="4" t="s">
        <v>24</v>
      </c>
      <c r="B20" s="24">
        <f>$B$14*SIN($N$16)</f>
        <v>14.922676305990752</v>
      </c>
      <c r="C20" s="49"/>
      <c r="D20" s="50"/>
      <c r="E20" s="51"/>
    </row>
    <row r="21" spans="1:18" ht="15.75" thickTop="1" x14ac:dyDescent="0.25">
      <c r="A21" s="2" t="s">
        <v>1</v>
      </c>
    </row>
    <row r="22" spans="1:18" ht="15.75" customHeight="1" thickBot="1" x14ac:dyDescent="0.3">
      <c r="A22" s="11">
        <v>5.0000000000000001E-3</v>
      </c>
    </row>
    <row r="23" spans="1:18" ht="33" thickTop="1" thickBot="1" x14ac:dyDescent="0.4">
      <c r="A23" s="12" t="s">
        <v>0</v>
      </c>
      <c r="B23" s="12" t="s">
        <v>10</v>
      </c>
      <c r="C23" s="12" t="s">
        <v>11</v>
      </c>
      <c r="D23" s="12" t="s">
        <v>19</v>
      </c>
      <c r="E23" s="15" t="s">
        <v>12</v>
      </c>
      <c r="F23" s="12" t="s">
        <v>7</v>
      </c>
      <c r="G23" s="12" t="s">
        <v>6</v>
      </c>
      <c r="H23" s="12" t="s">
        <v>8</v>
      </c>
      <c r="I23" s="12" t="s">
        <v>13</v>
      </c>
      <c r="J23" s="12" t="s">
        <v>14</v>
      </c>
      <c r="K23" s="13" t="s">
        <v>3</v>
      </c>
      <c r="L23" s="12" t="s">
        <v>15</v>
      </c>
      <c r="M23" s="12" t="s">
        <v>16</v>
      </c>
      <c r="N23" s="12" t="s">
        <v>17</v>
      </c>
      <c r="O23" s="12" t="s">
        <v>18</v>
      </c>
      <c r="P23" s="15" t="s">
        <v>12</v>
      </c>
      <c r="R23" s="20" t="s">
        <v>22</v>
      </c>
    </row>
    <row r="24" spans="1:18" ht="15.75" thickTop="1" x14ac:dyDescent="0.25">
      <c r="A24" s="2">
        <v>0</v>
      </c>
      <c r="B24" s="14">
        <f t="shared" ref="B24:B87" si="0">IF(E24=0,B23,$B$19*A24)</f>
        <v>0</v>
      </c>
      <c r="C24" s="2">
        <f>$B$20*A24+0.5*$B$20*A24^2+$B$17</f>
        <v>0</v>
      </c>
      <c r="D24" s="2">
        <f>IF(E24=1,C24,$B$18)</f>
        <v>0</v>
      </c>
      <c r="E24" s="2">
        <f>IF(AND(C25-C24&lt;0,C24&lt;$B$18),0,1)</f>
        <v>1</v>
      </c>
      <c r="F24" s="2"/>
      <c r="G24" s="2"/>
      <c r="H24" s="2"/>
      <c r="I24" s="2">
        <f>B19</f>
        <v>10.065472262473442</v>
      </c>
      <c r="J24" s="2">
        <f>B20</f>
        <v>14.922676305990752</v>
      </c>
      <c r="K24" s="2">
        <f>180/PI()*ATAN(J24/I24)</f>
        <v>56.000000000000007</v>
      </c>
      <c r="L24" s="2">
        <f>SQRT(I24^2+J24^2)</f>
        <v>18</v>
      </c>
      <c r="M24" s="2">
        <v>0</v>
      </c>
      <c r="N24" s="2">
        <f>$B$17</f>
        <v>0</v>
      </c>
      <c r="O24" s="2">
        <f>IF(P24=1,N24,$B$18)</f>
        <v>0</v>
      </c>
      <c r="P24" s="2">
        <f t="shared" ref="P24:P88" si="1">IF(AND(N25-N24&lt;0,N24&lt;$B$18),0,1)</f>
        <v>1</v>
      </c>
      <c r="R24" s="31" t="s">
        <v>21</v>
      </c>
    </row>
    <row r="25" spans="1:18" x14ac:dyDescent="0.25">
      <c r="A25" s="14">
        <f>A24+$A$22</f>
        <v>5.0000000000000001E-3</v>
      </c>
      <c r="B25" s="14">
        <f t="shared" si="0"/>
        <v>5.032736131236721E-2</v>
      </c>
      <c r="C25" s="14">
        <f t="shared" ref="C25:C88" si="2">$B$20*A25+0.5*$B$16*A25^2+$B$17</f>
        <v>7.449088152995377E-2</v>
      </c>
      <c r="D25" s="14">
        <f t="shared" ref="D25:D88" si="3">IF(E25=1,C25,$B$18)</f>
        <v>7.449088152995377E-2</v>
      </c>
      <c r="E25" s="14">
        <f t="shared" ref="E25:E88" si="4">IF(AND(C26-C25&lt;0,C25&lt;$B$18),0,1)</f>
        <v>1</v>
      </c>
      <c r="F25" s="14">
        <f t="shared" ref="F25:F88" si="5">-$E$13*L24^2</f>
        <v>-10.044</v>
      </c>
      <c r="G25" s="14">
        <f>$F25*COS(PI()/180*$K24)</f>
        <v>-5.6165335224601796</v>
      </c>
      <c r="H25" s="14">
        <f>$F25*SIN(PI()/180*$K24)</f>
        <v>-8.3268533787428396</v>
      </c>
      <c r="I25" s="14">
        <f>I24+G25*$A$22</f>
        <v>10.037389594861141</v>
      </c>
      <c r="J25" s="14">
        <f t="shared" ref="J25:J88" si="6">J24+(H25+$B$16)*$A$22</f>
        <v>14.832042039097038</v>
      </c>
      <c r="K25" s="14">
        <f>180/PI()*ATAN(J25/I25)</f>
        <v>55.912339311508291</v>
      </c>
      <c r="L25" s="14">
        <f>SQRT(I25^2+J25^2)</f>
        <v>17.909178119851525</v>
      </c>
      <c r="M25" s="14">
        <f>IF(P25=0,M24,M24+I25*$A$22)</f>
        <v>5.0186947974305708E-2</v>
      </c>
      <c r="N25" s="14">
        <f t="shared" ref="N25:N89" si="7">N24+J25*$A$22</f>
        <v>7.4160210195485188E-2</v>
      </c>
      <c r="O25" s="14">
        <f t="shared" ref="O25:O88" si="8">IF(P25=1,N25,$B$18)</f>
        <v>7.4160210195485188E-2</v>
      </c>
      <c r="P25" s="14">
        <f t="shared" si="1"/>
        <v>1</v>
      </c>
      <c r="R25" s="17"/>
    </row>
    <row r="26" spans="1:18" x14ac:dyDescent="0.25">
      <c r="A26" s="14">
        <f t="shared" ref="A26:A89" si="9">A25+$A$22</f>
        <v>0.01</v>
      </c>
      <c r="B26" s="14">
        <f t="shared" si="0"/>
        <v>0.10065472262473442</v>
      </c>
      <c r="C26" s="14">
        <f t="shared" si="2"/>
        <v>0.14873676305990755</v>
      </c>
      <c r="D26" s="14">
        <f t="shared" si="3"/>
        <v>0.14873676305990755</v>
      </c>
      <c r="E26" s="14">
        <f t="shared" si="4"/>
        <v>1</v>
      </c>
      <c r="F26" s="14">
        <f t="shared" si="5"/>
        <v>-9.9428984887856267</v>
      </c>
      <c r="G26" s="14">
        <f t="shared" ref="G26:G89" si="10">$F26*COS(PI()/180*$K25)</f>
        <v>-5.5726033414940881</v>
      </c>
      <c r="H26" s="14">
        <f t="shared" ref="H26:H89" si="11">$F26*SIN(PI()/180*$K25)</f>
        <v>-8.2345201655387559</v>
      </c>
      <c r="I26" s="14">
        <f t="shared" ref="I26:I89" si="12">I25+G26*$A$22</f>
        <v>10.00952657815367</v>
      </c>
      <c r="J26" s="14">
        <f t="shared" si="6"/>
        <v>14.741869438269344</v>
      </c>
      <c r="K26" s="14">
        <f t="shared" ref="K26:K89" si="13">180/PI()*ATAN(J26/I26)</f>
        <v>55.824034773286982</v>
      </c>
      <c r="L26" s="14">
        <f t="shared" ref="L26:L89" si="14">SQRT(I26^2+J26^2)</f>
        <v>17.818903918416094</v>
      </c>
      <c r="M26" s="14">
        <f t="shared" ref="M26:M89" si="15">IF(P26=0,M25,M25+I26*$A$22)</f>
        <v>0.10023458086507406</v>
      </c>
      <c r="N26" s="14">
        <f t="shared" si="7"/>
        <v>0.14786955738683191</v>
      </c>
      <c r="O26" s="14">
        <f t="shared" si="8"/>
        <v>0.14786955738683191</v>
      </c>
      <c r="P26" s="14">
        <f t="shared" si="1"/>
        <v>1</v>
      </c>
      <c r="R26" s="18"/>
    </row>
    <row r="27" spans="1:18" x14ac:dyDescent="0.25">
      <c r="A27" s="14">
        <f t="shared" si="9"/>
        <v>1.4999999999999999E-2</v>
      </c>
      <c r="B27" s="14">
        <f t="shared" si="0"/>
        <v>0.15098208393710164</v>
      </c>
      <c r="C27" s="14">
        <f t="shared" si="2"/>
        <v>0.22273764458986126</v>
      </c>
      <c r="D27" s="14">
        <f t="shared" si="3"/>
        <v>0.22273764458986126</v>
      </c>
      <c r="E27" s="14">
        <f t="shared" si="4"/>
        <v>1</v>
      </c>
      <c r="F27" s="14">
        <f t="shared" si="5"/>
        <v>-9.8429134424660774</v>
      </c>
      <c r="G27" s="14">
        <f t="shared" si="10"/>
        <v>-5.5291225633135266</v>
      </c>
      <c r="H27" s="14">
        <f t="shared" si="11"/>
        <v>-8.1432026080490374</v>
      </c>
      <c r="I27" s="14">
        <f t="shared" si="12"/>
        <v>9.981880965337103</v>
      </c>
      <c r="J27" s="14">
        <f t="shared" si="6"/>
        <v>14.652153425229098</v>
      </c>
      <c r="K27" s="14">
        <f t="shared" si="13"/>
        <v>55.735081285885066</v>
      </c>
      <c r="L27" s="14">
        <f t="shared" si="14"/>
        <v>17.729172219892611</v>
      </c>
      <c r="M27" s="14">
        <f t="shared" si="15"/>
        <v>0.15014398569175957</v>
      </c>
      <c r="N27" s="14">
        <f t="shared" si="7"/>
        <v>0.2211303245129774</v>
      </c>
      <c r="O27" s="14">
        <f t="shared" si="8"/>
        <v>0.2211303245129774</v>
      </c>
      <c r="P27" s="14">
        <f t="shared" si="1"/>
        <v>1</v>
      </c>
      <c r="R27" s="18"/>
    </row>
    <row r="28" spans="1:18" x14ac:dyDescent="0.25">
      <c r="A28" s="14">
        <f t="shared" si="9"/>
        <v>0.02</v>
      </c>
      <c r="B28" s="14">
        <f t="shared" si="0"/>
        <v>0.20130944524946884</v>
      </c>
      <c r="C28" s="14">
        <f t="shared" si="2"/>
        <v>0.29649352611981505</v>
      </c>
      <c r="D28" s="14">
        <f t="shared" si="3"/>
        <v>0.29649352611981505</v>
      </c>
      <c r="E28" s="14">
        <f t="shared" si="4"/>
        <v>1</v>
      </c>
      <c r="F28" s="14">
        <f t="shared" si="5"/>
        <v>-9.7440299756809683</v>
      </c>
      <c r="G28" s="14">
        <f t="shared" si="10"/>
        <v>-5.4860850881008103</v>
      </c>
      <c r="H28" s="14">
        <f t="shared" si="11"/>
        <v>-8.0528870955134586</v>
      </c>
      <c r="I28" s="14">
        <f t="shared" si="12"/>
        <v>9.9544505398965981</v>
      </c>
      <c r="J28" s="14">
        <f t="shared" si="6"/>
        <v>14.562888989751531</v>
      </c>
      <c r="K28" s="14">
        <f t="shared" si="13"/>
        <v>55.645473699429061</v>
      </c>
      <c r="L28" s="14">
        <f t="shared" si="14"/>
        <v>17.639977927397588</v>
      </c>
      <c r="M28" s="14">
        <f t="shared" si="15"/>
        <v>0.19991623839124256</v>
      </c>
      <c r="N28" s="14">
        <f t="shared" si="7"/>
        <v>0.29394476946173509</v>
      </c>
      <c r="O28" s="14">
        <f t="shared" si="8"/>
        <v>0.29394476946173509</v>
      </c>
      <c r="P28" s="14">
        <f t="shared" si="1"/>
        <v>1</v>
      </c>
      <c r="R28" s="18"/>
    </row>
    <row r="29" spans="1:18" x14ac:dyDescent="0.25">
      <c r="A29" s="14">
        <f t="shared" si="9"/>
        <v>2.5000000000000001E-2</v>
      </c>
      <c r="B29" s="14">
        <f t="shared" si="0"/>
        <v>0.25163680656183607</v>
      </c>
      <c r="C29" s="14">
        <f t="shared" si="2"/>
        <v>0.37000440764976877</v>
      </c>
      <c r="D29" s="14">
        <f t="shared" si="3"/>
        <v>0.37000440764976877</v>
      </c>
      <c r="E29" s="14">
        <f t="shared" si="4"/>
        <v>1</v>
      </c>
      <c r="F29" s="14">
        <f t="shared" si="5"/>
        <v>-9.6462334596512971</v>
      </c>
      <c r="G29" s="14">
        <f t="shared" si="10"/>
        <v>-5.4434849218975572</v>
      </c>
      <c r="H29" s="14">
        <f t="shared" si="11"/>
        <v>-7.9635602504891096</v>
      </c>
      <c r="I29" s="14">
        <f t="shared" si="12"/>
        <v>9.9272331152871107</v>
      </c>
      <c r="J29" s="14">
        <f t="shared" si="6"/>
        <v>14.474071188499085</v>
      </c>
      <c r="K29" s="14">
        <f t="shared" si="13"/>
        <v>55.555206813172703</v>
      </c>
      <c r="L29" s="14">
        <f t="shared" si="14"/>
        <v>17.551316021740146</v>
      </c>
      <c r="M29" s="14">
        <f t="shared" si="15"/>
        <v>0.24955240396767811</v>
      </c>
      <c r="N29" s="14">
        <f t="shared" si="7"/>
        <v>0.3663151254042305</v>
      </c>
      <c r="O29" s="14">
        <f t="shared" si="8"/>
        <v>0.3663151254042305</v>
      </c>
      <c r="P29" s="14">
        <f t="shared" si="1"/>
        <v>1</v>
      </c>
      <c r="R29" s="18"/>
    </row>
    <row r="30" spans="1:18" x14ac:dyDescent="0.25">
      <c r="A30" s="14">
        <f t="shared" si="9"/>
        <v>3.0000000000000002E-2</v>
      </c>
      <c r="B30" s="14">
        <f t="shared" si="0"/>
        <v>0.30196416787420327</v>
      </c>
      <c r="C30" s="14">
        <f t="shared" si="2"/>
        <v>0.44327028917972255</v>
      </c>
      <c r="D30" s="14">
        <f t="shared" si="3"/>
        <v>0.44327028917972255</v>
      </c>
      <c r="E30" s="14">
        <f t="shared" si="4"/>
        <v>1</v>
      </c>
      <c r="F30" s="14">
        <f t="shared" si="5"/>
        <v>-9.549509516944763</v>
      </c>
      <c r="G30" s="14">
        <f t="shared" si="10"/>
        <v>-5.4013161744645286</v>
      </c>
      <c r="H30" s="14">
        <f t="shared" si="11"/>
        <v>-7.8752089240658538</v>
      </c>
      <c r="I30" s="14">
        <f t="shared" si="12"/>
        <v>9.9002265344147879</v>
      </c>
      <c r="J30" s="14">
        <f t="shared" si="6"/>
        <v>14.385695143878756</v>
      </c>
      <c r="K30" s="14">
        <f t="shared" si="13"/>
        <v>55.464275375045226</v>
      </c>
      <c r="L30" s="14">
        <f t="shared" si="14"/>
        <v>17.463181560223997</v>
      </c>
      <c r="M30" s="14">
        <f t="shared" si="15"/>
        <v>0.29905353663975204</v>
      </c>
      <c r="N30" s="14">
        <f t="shared" si="7"/>
        <v>0.43824360112362426</v>
      </c>
      <c r="O30" s="14">
        <f t="shared" si="8"/>
        <v>0.43824360112362426</v>
      </c>
      <c r="P30" s="14">
        <f t="shared" si="1"/>
        <v>1</v>
      </c>
      <c r="R30" s="18"/>
    </row>
    <row r="31" spans="1:18" x14ac:dyDescent="0.25">
      <c r="A31" s="14">
        <f t="shared" si="9"/>
        <v>3.5000000000000003E-2</v>
      </c>
      <c r="B31" s="14">
        <f t="shared" si="0"/>
        <v>0.35229152918657047</v>
      </c>
      <c r="C31" s="14">
        <f t="shared" si="2"/>
        <v>0.51629117070967634</v>
      </c>
      <c r="D31" s="14">
        <f t="shared" si="3"/>
        <v>0.51629117070967634</v>
      </c>
      <c r="E31" s="14">
        <f t="shared" si="4"/>
        <v>1</v>
      </c>
      <c r="F31" s="14">
        <f t="shared" si="5"/>
        <v>-9.4538440163657711</v>
      </c>
      <c r="G31" s="14">
        <f t="shared" si="10"/>
        <v>-5.3595730571928124</v>
      </c>
      <c r="H31" s="14">
        <f t="shared" si="11"/>
        <v>-7.7878201911952099</v>
      </c>
      <c r="I31" s="14">
        <f t="shared" si="12"/>
        <v>9.873428669128824</v>
      </c>
      <c r="J31" s="14">
        <f t="shared" si="6"/>
        <v>14.29775604292278</v>
      </c>
      <c r="K31" s="14">
        <f t="shared" si="13"/>
        <v>55.372674081198468</v>
      </c>
      <c r="L31" s="14">
        <f t="shared" si="14"/>
        <v>17.375569675475674</v>
      </c>
      <c r="M31" s="14">
        <f t="shared" si="15"/>
        <v>0.34842067998539616</v>
      </c>
      <c r="N31" s="14">
        <f t="shared" si="7"/>
        <v>0.50973238133823817</v>
      </c>
      <c r="O31" s="14">
        <f t="shared" si="8"/>
        <v>0.50973238133823817</v>
      </c>
      <c r="P31" s="14">
        <f t="shared" si="1"/>
        <v>1</v>
      </c>
      <c r="R31" s="18"/>
    </row>
    <row r="32" spans="1:18" x14ac:dyDescent="0.25">
      <c r="A32" s="14">
        <f t="shared" si="9"/>
        <v>0.04</v>
      </c>
      <c r="B32" s="14">
        <f t="shared" si="0"/>
        <v>0.40261889049893768</v>
      </c>
      <c r="C32" s="14">
        <f t="shared" si="2"/>
        <v>0.58906705223963018</v>
      </c>
      <c r="D32" s="14">
        <f t="shared" si="3"/>
        <v>0.58906705223963018</v>
      </c>
      <c r="E32" s="14">
        <f t="shared" si="4"/>
        <v>1</v>
      </c>
      <c r="F32" s="14">
        <f t="shared" si="5"/>
        <v>-9.3592230679666031</v>
      </c>
      <c r="G32" s="14">
        <f t="shared" si="10"/>
        <v>-5.3182498810648937</v>
      </c>
      <c r="H32" s="14">
        <f t="shared" si="11"/>
        <v>-7.7013813461295006</v>
      </c>
      <c r="I32" s="14">
        <f t="shared" si="12"/>
        <v>9.8468374197234994</v>
      </c>
      <c r="J32" s="14">
        <f t="shared" si="6"/>
        <v>14.210249136192132</v>
      </c>
      <c r="K32" s="14">
        <f t="shared" si="13"/>
        <v>55.280397575552932</v>
      </c>
      <c r="L32" s="14">
        <f t="shared" si="14"/>
        <v>17.288475574298509</v>
      </c>
      <c r="M32" s="14">
        <f t="shared" si="15"/>
        <v>0.39765486708401365</v>
      </c>
      <c r="N32" s="14">
        <f t="shared" si="7"/>
        <v>0.58078362701919883</v>
      </c>
      <c r="O32" s="14">
        <f t="shared" si="8"/>
        <v>0.58078362701919883</v>
      </c>
      <c r="P32" s="14">
        <f t="shared" si="1"/>
        <v>1</v>
      </c>
      <c r="R32" s="18"/>
    </row>
    <row r="33" spans="1:18" ht="15.75" thickBot="1" x14ac:dyDescent="0.3">
      <c r="A33" s="14">
        <f t="shared" si="9"/>
        <v>4.4999999999999998E-2</v>
      </c>
      <c r="B33" s="14">
        <f t="shared" si="0"/>
        <v>0.45294625181130488</v>
      </c>
      <c r="C33" s="14">
        <f t="shared" si="2"/>
        <v>0.66159793376958387</v>
      </c>
      <c r="D33" s="14">
        <f t="shared" si="3"/>
        <v>0.66159793376958387</v>
      </c>
      <c r="E33" s="14">
        <f t="shared" si="4"/>
        <v>1</v>
      </c>
      <c r="F33" s="14">
        <f t="shared" si="5"/>
        <v>-9.2656330181766027</v>
      </c>
      <c r="G33" s="14">
        <f t="shared" si="10"/>
        <v>-5.2773410546643271</v>
      </c>
      <c r="H33" s="14">
        <f t="shared" si="11"/>
        <v>-7.6158798979683811</v>
      </c>
      <c r="I33" s="14">
        <f t="shared" si="12"/>
        <v>9.8204507144501783</v>
      </c>
      <c r="J33" s="14">
        <f t="shared" si="6"/>
        <v>14.123169736702291</v>
      </c>
      <c r="K33" s="14">
        <f t="shared" si="13"/>
        <v>55.187440449342823</v>
      </c>
      <c r="L33" s="14">
        <f t="shared" si="14"/>
        <v>17.201894536551734</v>
      </c>
      <c r="M33" s="14">
        <f t="shared" si="15"/>
        <v>0.44675712065626455</v>
      </c>
      <c r="N33" s="14">
        <f t="shared" si="7"/>
        <v>0.65139947570271028</v>
      </c>
      <c r="O33" s="14">
        <f t="shared" si="8"/>
        <v>0.65139947570271028</v>
      </c>
      <c r="P33" s="14">
        <f t="shared" si="1"/>
        <v>1</v>
      </c>
      <c r="R33" s="19" t="s">
        <v>20</v>
      </c>
    </row>
    <row r="34" spans="1:18" ht="16.5" thickTop="1" thickBot="1" x14ac:dyDescent="0.3">
      <c r="A34" s="14">
        <f t="shared" si="9"/>
        <v>4.9999999999999996E-2</v>
      </c>
      <c r="B34" s="14">
        <f t="shared" si="0"/>
        <v>0.50327361312367203</v>
      </c>
      <c r="C34" s="14">
        <f t="shared" si="2"/>
        <v>0.7338838152995375</v>
      </c>
      <c r="D34" s="14">
        <f t="shared" si="3"/>
        <v>0.7338838152995375</v>
      </c>
      <c r="E34" s="14">
        <f t="shared" si="4"/>
        <v>1</v>
      </c>
      <c r="F34" s="14">
        <f t="shared" si="5"/>
        <v>-9.1730604450460991</v>
      </c>
      <c r="G34" s="14">
        <f t="shared" si="10"/>
        <v>-5.2368410822326572</v>
      </c>
      <c r="H34" s="14">
        <f t="shared" si="11"/>
        <v>-7.5313035663097283</v>
      </c>
      <c r="I34" s="14">
        <f t="shared" si="12"/>
        <v>9.7942665090390157</v>
      </c>
      <c r="J34" s="14">
        <f t="shared" si="6"/>
        <v>14.036513218870743</v>
      </c>
      <c r="K34" s="14">
        <f t="shared" si="13"/>
        <v>55.093797240660429</v>
      </c>
      <c r="L34" s="14">
        <f t="shared" si="14"/>
        <v>17.115821914054155</v>
      </c>
      <c r="M34" s="14">
        <f t="shared" si="15"/>
        <v>0.49572845320145964</v>
      </c>
      <c r="N34" s="14">
        <f t="shared" si="7"/>
        <v>0.72158204179706398</v>
      </c>
      <c r="O34" s="14">
        <f t="shared" si="8"/>
        <v>0.72158204179706398</v>
      </c>
      <c r="P34" s="14">
        <f t="shared" si="1"/>
        <v>1</v>
      </c>
    </row>
    <row r="35" spans="1:18" ht="46.5" thickTop="1" thickBot="1" x14ac:dyDescent="0.3">
      <c r="A35" s="14">
        <f t="shared" si="9"/>
        <v>5.4999999999999993E-2</v>
      </c>
      <c r="B35" s="14">
        <f t="shared" si="0"/>
        <v>0.55360097443603928</v>
      </c>
      <c r="C35" s="14">
        <f t="shared" si="2"/>
        <v>0.8059246968294913</v>
      </c>
      <c r="D35" s="14">
        <f t="shared" si="3"/>
        <v>0.8059246968294913</v>
      </c>
      <c r="E35" s="14">
        <f t="shared" si="4"/>
        <v>1</v>
      </c>
      <c r="F35" s="14">
        <f t="shared" si="5"/>
        <v>-9.0814921536021096</v>
      </c>
      <c r="G35" s="14">
        <f t="shared" si="10"/>
        <v>-5.1967445617723964</v>
      </c>
      <c r="H35" s="14">
        <f t="shared" si="11"/>
        <v>-7.4476402770022201</v>
      </c>
      <c r="I35" s="14">
        <f t="shared" si="12"/>
        <v>9.768282786230154</v>
      </c>
      <c r="J35" s="14">
        <f t="shared" si="6"/>
        <v>13.950275017485732</v>
      </c>
      <c r="K35" s="14">
        <f t="shared" si="13"/>
        <v>54.999462433999739</v>
      </c>
      <c r="L35" s="14">
        <f t="shared" si="14"/>
        <v>17.030253129511813</v>
      </c>
      <c r="M35" s="14">
        <f t="shared" si="15"/>
        <v>0.54456986713261046</v>
      </c>
      <c r="N35" s="14">
        <f t="shared" si="7"/>
        <v>0.79133341688449266</v>
      </c>
      <c r="O35" s="14">
        <f t="shared" si="8"/>
        <v>0.79133341688449266</v>
      </c>
      <c r="P35" s="14">
        <f t="shared" si="1"/>
        <v>1</v>
      </c>
      <c r="R35" s="20" t="s">
        <v>39</v>
      </c>
    </row>
    <row r="36" spans="1:18" ht="15.75" thickTop="1" x14ac:dyDescent="0.25">
      <c r="A36" s="14">
        <f t="shared" si="9"/>
        <v>5.9999999999999991E-2</v>
      </c>
      <c r="B36" s="14">
        <f t="shared" si="0"/>
        <v>0.60392833574840643</v>
      </c>
      <c r="C36" s="14">
        <f t="shared" si="2"/>
        <v>0.87772057835944495</v>
      </c>
      <c r="D36" s="14">
        <f t="shared" si="3"/>
        <v>0.87772057835944495</v>
      </c>
      <c r="E36" s="14">
        <f t="shared" si="4"/>
        <v>1</v>
      </c>
      <c r="F36" s="14">
        <f t="shared" si="5"/>
        <v>-8.9909151713126541</v>
      </c>
      <c r="G36" s="14">
        <f t="shared" si="10"/>
        <v>-5.1570461831947272</v>
      </c>
      <c r="H36" s="14">
        <f t="shared" si="11"/>
        <v>-7.3648781579966922</v>
      </c>
      <c r="I36" s="14">
        <f t="shared" si="12"/>
        <v>9.7424975553141806</v>
      </c>
      <c r="J36" s="14">
        <f t="shared" si="6"/>
        <v>13.864450626695747</v>
      </c>
      <c r="K36" s="14">
        <f t="shared" si="13"/>
        <v>54.904430459799713</v>
      </c>
      <c r="L36" s="14">
        <f t="shared" si="14"/>
        <v>16.94518367546917</v>
      </c>
      <c r="M36" s="14">
        <f t="shared" si="15"/>
        <v>0.59328235490918135</v>
      </c>
      <c r="N36" s="14">
        <f t="shared" si="7"/>
        <v>0.86065567001797139</v>
      </c>
      <c r="O36" s="14">
        <f t="shared" si="8"/>
        <v>0.86065567001797139</v>
      </c>
      <c r="P36" s="14">
        <f t="shared" si="1"/>
        <v>1</v>
      </c>
      <c r="R36" s="16"/>
    </row>
    <row r="37" spans="1:18" x14ac:dyDescent="0.25">
      <c r="A37" s="14">
        <f t="shared" si="9"/>
        <v>6.4999999999999988E-2</v>
      </c>
      <c r="B37" s="14">
        <f t="shared" si="0"/>
        <v>0.65425569706077358</v>
      </c>
      <c r="C37" s="14">
        <f t="shared" si="2"/>
        <v>0.94927145988939876</v>
      </c>
      <c r="D37" s="14">
        <f t="shared" si="3"/>
        <v>0.94927145988939876</v>
      </c>
      <c r="E37" s="14">
        <f t="shared" si="4"/>
        <v>1</v>
      </c>
      <c r="F37" s="14">
        <f t="shared" si="5"/>
        <v>-8.9013167436569933</v>
      </c>
      <c r="G37" s="14">
        <f t="shared" si="10"/>
        <v>-5.1177407265108519</v>
      </c>
      <c r="H37" s="14">
        <f t="shared" si="11"/>
        <v>-7.2830055352938263</v>
      </c>
      <c r="I37" s="14">
        <f t="shared" si="12"/>
        <v>9.7169088516816267</v>
      </c>
      <c r="J37" s="14">
        <f t="shared" si="6"/>
        <v>13.779035599019279</v>
      </c>
      <c r="K37" s="14">
        <f t="shared" si="13"/>
        <v>54.808695693987119</v>
      </c>
      <c r="L37" s="14">
        <f t="shared" si="14"/>
        <v>16.860609113283225</v>
      </c>
      <c r="M37" s="14">
        <f t="shared" si="15"/>
        <v>0.64186689916758954</v>
      </c>
      <c r="N37" s="14">
        <f t="shared" si="7"/>
        <v>0.92955084801306775</v>
      </c>
      <c r="O37" s="14">
        <f t="shared" si="8"/>
        <v>0.92955084801306775</v>
      </c>
      <c r="P37" s="14">
        <f t="shared" si="1"/>
        <v>1</v>
      </c>
      <c r="R37" s="17" t="s">
        <v>21</v>
      </c>
    </row>
    <row r="38" spans="1:18" x14ac:dyDescent="0.25">
      <c r="A38" s="14">
        <f t="shared" si="9"/>
        <v>6.9999999999999993E-2</v>
      </c>
      <c r="B38" s="14">
        <f t="shared" si="0"/>
        <v>0.70458305837314084</v>
      </c>
      <c r="C38" s="14">
        <f t="shared" si="2"/>
        <v>1.0205773414193524</v>
      </c>
      <c r="D38" s="14">
        <f t="shared" si="3"/>
        <v>1.0205773414193524</v>
      </c>
      <c r="E38" s="14">
        <f t="shared" si="4"/>
        <v>1</v>
      </c>
      <c r="F38" s="14">
        <f t="shared" si="5"/>
        <v>-8.8126843297988096</v>
      </c>
      <c r="G38" s="14">
        <f t="shared" si="10"/>
        <v>-5.0788230600657762</v>
      </c>
      <c r="H38" s="14">
        <f t="shared" si="11"/>
        <v>-7.2020109289854322</v>
      </c>
      <c r="I38" s="14">
        <f t="shared" si="12"/>
        <v>9.691514736381297</v>
      </c>
      <c r="J38" s="14">
        <f t="shared" si="6"/>
        <v>13.694025544374352</v>
      </c>
      <c r="K38" s="14">
        <f t="shared" si="13"/>
        <v>54.712252457519405</v>
      </c>
      <c r="L38" s="14">
        <f t="shared" si="14"/>
        <v>16.776525072120062</v>
      </c>
      <c r="M38" s="14">
        <f t="shared" si="15"/>
        <v>0.69032447284949605</v>
      </c>
      <c r="N38" s="14">
        <f t="shared" si="7"/>
        <v>0.99802097573493953</v>
      </c>
      <c r="O38" s="14">
        <f t="shared" si="8"/>
        <v>0.99802097573493953</v>
      </c>
      <c r="P38" s="14">
        <f t="shared" si="1"/>
        <v>1</v>
      </c>
      <c r="R38" s="18"/>
    </row>
    <row r="39" spans="1:18" x14ac:dyDescent="0.25">
      <c r="A39" s="14">
        <f t="shared" si="9"/>
        <v>7.4999999999999997E-2</v>
      </c>
      <c r="B39" s="14">
        <f t="shared" si="0"/>
        <v>0.75491041968550809</v>
      </c>
      <c r="C39" s="14">
        <f t="shared" si="2"/>
        <v>1.0916382229493065</v>
      </c>
      <c r="D39" s="14">
        <f t="shared" si="3"/>
        <v>1.0916382229493065</v>
      </c>
      <c r="E39" s="14">
        <f t="shared" si="4"/>
        <v>1</v>
      </c>
      <c r="F39" s="14">
        <f t="shared" si="5"/>
        <v>-8.7250055983596653</v>
      </c>
      <c r="G39" s="14">
        <f t="shared" si="10"/>
        <v>-5.0402881388133789</v>
      </c>
      <c r="H39" s="14">
        <f t="shared" si="11"/>
        <v>-7.1218830493869154</v>
      </c>
      <c r="I39" s="14">
        <f t="shared" si="12"/>
        <v>9.66631329568723</v>
      </c>
      <c r="J39" s="14">
        <f t="shared" si="6"/>
        <v>13.609416129127418</v>
      </c>
      <c r="K39" s="14">
        <f t="shared" si="13"/>
        <v>54.615095015927459</v>
      </c>
      <c r="L39" s="14">
        <f t="shared" si="14"/>
        <v>16.692927247973412</v>
      </c>
      <c r="M39" s="14">
        <f t="shared" si="15"/>
        <v>0.73865603932793222</v>
      </c>
      <c r="N39" s="14">
        <f t="shared" si="7"/>
        <v>1.0660680563805767</v>
      </c>
      <c r="O39" s="14">
        <f t="shared" si="8"/>
        <v>1.0660680563805767</v>
      </c>
      <c r="P39" s="14">
        <f t="shared" si="1"/>
        <v>1</v>
      </c>
      <c r="R39" s="18"/>
    </row>
    <row r="40" spans="1:18" x14ac:dyDescent="0.25">
      <c r="A40" s="14">
        <f t="shared" si="9"/>
        <v>0.08</v>
      </c>
      <c r="B40" s="14">
        <f t="shared" si="0"/>
        <v>0.80523778099787535</v>
      </c>
      <c r="C40" s="14">
        <f t="shared" si="2"/>
        <v>1.1624541044792602</v>
      </c>
      <c r="D40" s="14">
        <f t="shared" si="3"/>
        <v>1.1624541044792602</v>
      </c>
      <c r="E40" s="14">
        <f t="shared" si="4"/>
        <v>1</v>
      </c>
      <c r="F40" s="14">
        <f t="shared" si="5"/>
        <v>-8.6382684232901283</v>
      </c>
      <c r="G40" s="14">
        <f t="shared" si="10"/>
        <v>-5.002131002631776</v>
      </c>
      <c r="H40" s="14">
        <f t="shared" si="11"/>
        <v>-7.0426107932585174</v>
      </c>
      <c r="I40" s="14">
        <f t="shared" si="12"/>
        <v>9.6413026406740716</v>
      </c>
      <c r="J40" s="14">
        <f t="shared" si="6"/>
        <v>13.525203075161125</v>
      </c>
      <c r="K40" s="14">
        <f t="shared" si="13"/>
        <v>54.517217578858734</v>
      </c>
      <c r="L40" s="14">
        <f t="shared" si="14"/>
        <v>16.609811402704629</v>
      </c>
      <c r="M40" s="14">
        <f t="shared" si="15"/>
        <v>0.78686255253130255</v>
      </c>
      <c r="N40" s="14">
        <f t="shared" si="7"/>
        <v>1.1336940717563824</v>
      </c>
      <c r="O40" s="14">
        <f t="shared" si="8"/>
        <v>1.1336940717563824</v>
      </c>
      <c r="P40" s="14">
        <f t="shared" si="1"/>
        <v>1</v>
      </c>
      <c r="R40" s="18"/>
    </row>
    <row r="41" spans="1:18" x14ac:dyDescent="0.25">
      <c r="A41" s="14">
        <f t="shared" si="9"/>
        <v>8.5000000000000006E-2</v>
      </c>
      <c r="B41" s="14">
        <f t="shared" si="0"/>
        <v>0.85556514231024261</v>
      </c>
      <c r="C41" s="14">
        <f t="shared" si="2"/>
        <v>1.233024986009214</v>
      </c>
      <c r="D41" s="14">
        <f t="shared" si="3"/>
        <v>1.233024986009214</v>
      </c>
      <c r="E41" s="14">
        <f t="shared" si="4"/>
        <v>1</v>
      </c>
      <c r="F41" s="14">
        <f t="shared" si="5"/>
        <v>-8.5524608798359179</v>
      </c>
      <c r="G41" s="14">
        <f t="shared" si="10"/>
        <v>-4.9643467746778267</v>
      </c>
      <c r="H41" s="14">
        <f t="shared" si="11"/>
        <v>-6.9641832401129147</v>
      </c>
      <c r="I41" s="14">
        <f t="shared" si="12"/>
        <v>9.6164809068006818</v>
      </c>
      <c r="J41" s="14">
        <f t="shared" si="6"/>
        <v>13.441382158960559</v>
      </c>
      <c r="K41" s="14">
        <f t="shared" si="13"/>
        <v>54.418614299620813</v>
      </c>
      <c r="L41" s="14">
        <f t="shared" si="14"/>
        <v>16.527173363103724</v>
      </c>
      <c r="M41" s="14">
        <f t="shared" si="15"/>
        <v>0.83494495706530591</v>
      </c>
      <c r="N41" s="14">
        <f t="shared" si="7"/>
        <v>1.2009009825511852</v>
      </c>
      <c r="O41" s="14">
        <f t="shared" si="8"/>
        <v>1.2009009825511852</v>
      </c>
      <c r="P41" s="14">
        <f t="shared" si="1"/>
        <v>1</v>
      </c>
      <c r="R41" s="18"/>
    </row>
    <row r="42" spans="1:18" x14ac:dyDescent="0.25">
      <c r="A42" s="14">
        <f t="shared" si="9"/>
        <v>9.0000000000000011E-2</v>
      </c>
      <c r="B42" s="14">
        <f t="shared" si="0"/>
        <v>0.90589250362260987</v>
      </c>
      <c r="C42" s="14">
        <f t="shared" si="2"/>
        <v>1.3033508675391678</v>
      </c>
      <c r="D42" s="14">
        <f t="shared" si="3"/>
        <v>1.3033508675391678</v>
      </c>
      <c r="E42" s="14">
        <f t="shared" si="4"/>
        <v>1</v>
      </c>
      <c r="F42" s="14">
        <f t="shared" si="5"/>
        <v>-8.4675712405966426</v>
      </c>
      <c r="G42" s="14">
        <f t="shared" si="10"/>
        <v>-4.9269306597798233</v>
      </c>
      <c r="H42" s="14">
        <f t="shared" si="11"/>
        <v>-6.8865896486069875</v>
      </c>
      <c r="I42" s="14">
        <f t="shared" si="12"/>
        <v>9.5918462535017834</v>
      </c>
      <c r="J42" s="14">
        <f t="shared" si="6"/>
        <v>13.357949210717525</v>
      </c>
      <c r="K42" s="14">
        <f t="shared" si="13"/>
        <v>54.319279274725588</v>
      </c>
      <c r="L42" s="14">
        <f t="shared" si="14"/>
        <v>16.445009019970929</v>
      </c>
      <c r="M42" s="14">
        <f t="shared" si="15"/>
        <v>0.88290418833281481</v>
      </c>
      <c r="N42" s="14">
        <f t="shared" si="7"/>
        <v>1.2676907286047727</v>
      </c>
      <c r="O42" s="14">
        <f t="shared" si="8"/>
        <v>1.2676907286047727</v>
      </c>
      <c r="P42" s="14">
        <f t="shared" si="1"/>
        <v>1</v>
      </c>
      <c r="R42" s="18"/>
    </row>
    <row r="43" spans="1:18" x14ac:dyDescent="0.25">
      <c r="A43" s="14">
        <f t="shared" si="9"/>
        <v>9.5000000000000015E-2</v>
      </c>
      <c r="B43" s="14">
        <f t="shared" si="0"/>
        <v>0.95621986493497713</v>
      </c>
      <c r="C43" s="14">
        <f t="shared" si="2"/>
        <v>1.3734317490691217</v>
      </c>
      <c r="D43" s="14">
        <f t="shared" si="3"/>
        <v>1.3734317490691217</v>
      </c>
      <c r="E43" s="14">
        <f t="shared" si="4"/>
        <v>1</v>
      </c>
      <c r="F43" s="14">
        <f t="shared" si="5"/>
        <v>-8.3835879716746824</v>
      </c>
      <c r="G43" s="14">
        <f t="shared" si="10"/>
        <v>-4.8898779428673471</v>
      </c>
      <c r="H43" s="14">
        <f t="shared" si="11"/>
        <v>-6.8098194530154625</v>
      </c>
      <c r="I43" s="14">
        <f t="shared" si="12"/>
        <v>9.5673968637874474</v>
      </c>
      <c r="J43" s="14">
        <f t="shared" si="6"/>
        <v>13.274900113452448</v>
      </c>
      <c r="K43" s="14">
        <f t="shared" si="13"/>
        <v>54.219206543434368</v>
      </c>
      <c r="L43" s="14">
        <f t="shared" si="14"/>
        <v>16.363314327218362</v>
      </c>
      <c r="M43" s="14">
        <f t="shared" si="15"/>
        <v>0.93074117265175205</v>
      </c>
      <c r="N43" s="14">
        <f t="shared" si="7"/>
        <v>1.334065229172035</v>
      </c>
      <c r="O43" s="14">
        <f t="shared" si="8"/>
        <v>1.334065229172035</v>
      </c>
      <c r="P43" s="14">
        <f t="shared" si="1"/>
        <v>1</v>
      </c>
      <c r="R43" s="18"/>
    </row>
    <row r="44" spans="1:18" x14ac:dyDescent="0.25">
      <c r="A44" s="14">
        <f t="shared" si="9"/>
        <v>0.10000000000000002</v>
      </c>
      <c r="B44" s="14">
        <f t="shared" si="0"/>
        <v>1.0065472262473443</v>
      </c>
      <c r="C44" s="14">
        <f t="shared" si="2"/>
        <v>1.4432676305990755</v>
      </c>
      <c r="D44" s="14">
        <f t="shared" si="3"/>
        <v>1.4432676305990755</v>
      </c>
      <c r="E44" s="14">
        <f t="shared" si="4"/>
        <v>1</v>
      </c>
      <c r="F44" s="14">
        <f t="shared" si="5"/>
        <v>-8.3004997289118396</v>
      </c>
      <c r="G44" s="14">
        <f t="shared" si="10"/>
        <v>-4.8531839874373111</v>
      </c>
      <c r="H44" s="14">
        <f t="shared" si="11"/>
        <v>-6.7338622597843214</v>
      </c>
      <c r="I44" s="14">
        <f t="shared" si="12"/>
        <v>9.5431309438502616</v>
      </c>
      <c r="J44" s="14">
        <f t="shared" si="6"/>
        <v>13.192230802153526</v>
      </c>
      <c r="K44" s="14">
        <f t="shared" si="13"/>
        <v>54.1183900873041</v>
      </c>
      <c r="L44" s="14">
        <f t="shared" si="14"/>
        <v>16.282085300991412</v>
      </c>
      <c r="M44" s="14">
        <f t="shared" si="15"/>
        <v>0.97845682737100337</v>
      </c>
      <c r="N44" s="14">
        <f t="shared" si="7"/>
        <v>1.4000263831828026</v>
      </c>
      <c r="O44" s="14">
        <f t="shared" si="8"/>
        <v>1.4000263831828026</v>
      </c>
      <c r="P44" s="14">
        <f t="shared" si="1"/>
        <v>1</v>
      </c>
      <c r="R44" s="18"/>
    </row>
    <row r="45" spans="1:18" ht="15.75" thickBot="1" x14ac:dyDescent="0.3">
      <c r="A45" s="14">
        <f t="shared" si="9"/>
        <v>0.10500000000000002</v>
      </c>
      <c r="B45" s="14">
        <f t="shared" si="0"/>
        <v>1.0568745875597116</v>
      </c>
      <c r="C45" s="14">
        <f t="shared" si="2"/>
        <v>1.5128585121290292</v>
      </c>
      <c r="D45" s="14">
        <f t="shared" si="3"/>
        <v>1.5128585121290292</v>
      </c>
      <c r="E45" s="14">
        <f t="shared" si="4"/>
        <v>1</v>
      </c>
      <c r="F45" s="14">
        <f t="shared" si="5"/>
        <v>-8.2182953542115786</v>
      </c>
      <c r="G45" s="14">
        <f t="shared" si="10"/>
        <v>-4.8168442340553197</v>
      </c>
      <c r="H45" s="14">
        <f t="shared" si="11"/>
        <v>-6.6587078441619321</v>
      </c>
      <c r="I45" s="14">
        <f t="shared" si="12"/>
        <v>9.5190467226799846</v>
      </c>
      <c r="J45" s="14">
        <f t="shared" si="6"/>
        <v>13.109937262932716</v>
      </c>
      <c r="K45" s="14">
        <f t="shared" si="13"/>
        <v>54.016823829734896</v>
      </c>
      <c r="L45" s="14">
        <f t="shared" si="14"/>
        <v>16.201318018809342</v>
      </c>
      <c r="M45" s="14">
        <f t="shared" si="15"/>
        <v>1.0260520609844033</v>
      </c>
      <c r="N45" s="14">
        <f t="shared" si="7"/>
        <v>1.4655760694974662</v>
      </c>
      <c r="O45" s="14">
        <f t="shared" si="8"/>
        <v>1.4655760694974662</v>
      </c>
      <c r="P45" s="14">
        <f t="shared" si="1"/>
        <v>1</v>
      </c>
      <c r="R45" s="19" t="s">
        <v>20</v>
      </c>
    </row>
    <row r="46" spans="1:18" ht="15.75" thickTop="1" x14ac:dyDescent="0.25">
      <c r="A46" s="14">
        <f t="shared" si="9"/>
        <v>0.11000000000000003</v>
      </c>
      <c r="B46" s="14">
        <f t="shared" si="0"/>
        <v>1.1072019488720788</v>
      </c>
      <c r="C46" s="14">
        <f t="shared" si="2"/>
        <v>1.5822043936589831</v>
      </c>
      <c r="D46" s="14">
        <f t="shared" si="3"/>
        <v>1.5822043936589831</v>
      </c>
      <c r="E46" s="14">
        <f t="shared" si="4"/>
        <v>1</v>
      </c>
      <c r="F46" s="14">
        <f t="shared" si="5"/>
        <v>-8.1369638719444843</v>
      </c>
      <c r="G46" s="14">
        <f t="shared" si="10"/>
        <v>-4.7808541988913387</v>
      </c>
      <c r="H46" s="14">
        <f t="shared" si="11"/>
        <v>-6.5843461469057676</v>
      </c>
      <c r="I46" s="14">
        <f t="shared" si="12"/>
        <v>9.4951424516855276</v>
      </c>
      <c r="J46" s="14">
        <f t="shared" si="6"/>
        <v>13.028015532198188</v>
      </c>
      <c r="K46" s="14">
        <f t="shared" si="13"/>
        <v>53.914501635519187</v>
      </c>
      <c r="L46" s="14">
        <f t="shared" si="14"/>
        <v>16.121008618724758</v>
      </c>
      <c r="M46" s="14">
        <f t="shared" si="15"/>
        <v>1.073527773242831</v>
      </c>
      <c r="N46" s="14">
        <f t="shared" si="7"/>
        <v>1.5307161471584572</v>
      </c>
      <c r="O46" s="14">
        <f t="shared" si="8"/>
        <v>1.5307161471584572</v>
      </c>
      <c r="P46" s="14">
        <f t="shared" si="1"/>
        <v>1</v>
      </c>
      <c r="R46" s="25" t="s">
        <v>40</v>
      </c>
    </row>
    <row r="47" spans="1:18" ht="15.75" thickBot="1" x14ac:dyDescent="0.3">
      <c r="A47" s="14">
        <f t="shared" si="9"/>
        <v>0.11500000000000003</v>
      </c>
      <c r="B47" s="14">
        <f t="shared" si="0"/>
        <v>1.1575293101844462</v>
      </c>
      <c r="C47" s="14">
        <f t="shared" si="2"/>
        <v>1.6513052751889368</v>
      </c>
      <c r="D47" s="14">
        <f t="shared" si="3"/>
        <v>1.6513052751889368</v>
      </c>
      <c r="E47" s="14">
        <f t="shared" si="4"/>
        <v>1</v>
      </c>
      <c r="F47" s="14">
        <f t="shared" si="5"/>
        <v>-8.0564944854349356</v>
      </c>
      <c r="G47" s="14">
        <f t="shared" si="10"/>
        <v>-4.7452094722888942</v>
      </c>
      <c r="H47" s="14">
        <f t="shared" si="11"/>
        <v>-6.5107672710628579</v>
      </c>
      <c r="I47" s="14">
        <f t="shared" si="12"/>
        <v>9.4714164043240832</v>
      </c>
      <c r="J47" s="14">
        <f t="shared" si="6"/>
        <v>12.946461695842874</v>
      </c>
      <c r="K47" s="14">
        <f t="shared" si="13"/>
        <v>53.811417310392777</v>
      </c>
      <c r="L47" s="14">
        <f t="shared" si="14"/>
        <v>16.041153298501516</v>
      </c>
      <c r="M47" s="14">
        <f t="shared" si="15"/>
        <v>1.1208848552644515</v>
      </c>
      <c r="N47" s="14">
        <f t="shared" si="7"/>
        <v>1.5954484556376716</v>
      </c>
      <c r="O47" s="14">
        <f t="shared" si="8"/>
        <v>1.5954484556376716</v>
      </c>
      <c r="P47" s="14">
        <f t="shared" si="1"/>
        <v>1</v>
      </c>
      <c r="R47" s="5">
        <f>B15</f>
        <v>56</v>
      </c>
    </row>
    <row r="48" spans="1:18" ht="15.75" thickTop="1" x14ac:dyDescent="0.25">
      <c r="A48" s="14">
        <f t="shared" si="9"/>
        <v>0.12000000000000004</v>
      </c>
      <c r="B48" s="14">
        <f t="shared" si="0"/>
        <v>1.2078566714968133</v>
      </c>
      <c r="C48" s="14">
        <f t="shared" si="2"/>
        <v>1.7201611567188908</v>
      </c>
      <c r="D48" s="14">
        <f t="shared" si="3"/>
        <v>1.7201611567188908</v>
      </c>
      <c r="E48" s="14">
        <f t="shared" si="4"/>
        <v>1</v>
      </c>
      <c r="F48" s="14">
        <f t="shared" si="5"/>
        <v>-7.976876573526809</v>
      </c>
      <c r="G48" s="14">
        <f t="shared" si="10"/>
        <v>-4.7099057173668442</v>
      </c>
      <c r="H48" s="14">
        <f t="shared" si="11"/>
        <v>-6.4379614788219977</v>
      </c>
      <c r="I48" s="14">
        <f t="shared" si="12"/>
        <v>9.4478668757372493</v>
      </c>
      <c r="J48" s="14">
        <f t="shared" si="6"/>
        <v>12.865271888448763</v>
      </c>
      <c r="K48" s="14">
        <f t="shared" si="13"/>
        <v>53.707564600587951</v>
      </c>
      <c r="L48" s="14">
        <f t="shared" si="14"/>
        <v>15.961748314810729</v>
      </c>
      <c r="M48" s="14">
        <f t="shared" si="15"/>
        <v>1.1681241896431378</v>
      </c>
      <c r="N48" s="14">
        <f t="shared" si="7"/>
        <v>1.6597748150799154</v>
      </c>
      <c r="O48" s="14">
        <f t="shared" si="8"/>
        <v>1.6597748150799154</v>
      </c>
      <c r="P48" s="14">
        <f t="shared" si="1"/>
        <v>1</v>
      </c>
      <c r="R48" s="26" t="s">
        <v>41</v>
      </c>
    </row>
    <row r="49" spans="1:18" ht="15.75" thickBot="1" x14ac:dyDescent="0.3">
      <c r="A49" s="14">
        <f t="shared" si="9"/>
        <v>0.12500000000000003</v>
      </c>
      <c r="B49" s="14">
        <f t="shared" si="0"/>
        <v>1.2581840328091805</v>
      </c>
      <c r="C49" s="14">
        <f t="shared" si="2"/>
        <v>1.7887720382488443</v>
      </c>
      <c r="D49" s="14">
        <f t="shared" si="3"/>
        <v>1.7887720382488443</v>
      </c>
      <c r="E49" s="14">
        <f t="shared" si="4"/>
        <v>1</v>
      </c>
      <c r="F49" s="14">
        <f t="shared" si="5"/>
        <v>-7.8980996872262574</v>
      </c>
      <c r="G49" s="14">
        <f t="shared" si="10"/>
        <v>-4.6749386686530094</v>
      </c>
      <c r="H49" s="14">
        <f t="shared" si="11"/>
        <v>-6.3659191884358961</v>
      </c>
      <c r="I49" s="14">
        <f t="shared" si="12"/>
        <v>9.4244921823939833</v>
      </c>
      <c r="J49" s="14">
        <f t="shared" si="6"/>
        <v>12.784442292506585</v>
      </c>
      <c r="K49" s="14">
        <f t="shared" si="13"/>
        <v>53.602937192389064</v>
      </c>
      <c r="L49" s="14">
        <f t="shared" si="14"/>
        <v>15.882789982444404</v>
      </c>
      <c r="M49" s="14">
        <f t="shared" si="15"/>
        <v>1.2152466505551076</v>
      </c>
      <c r="N49" s="14">
        <f t="shared" si="7"/>
        <v>1.7236970265424483</v>
      </c>
      <c r="O49" s="14">
        <f t="shared" si="8"/>
        <v>1.7236970265424483</v>
      </c>
      <c r="P49" s="14">
        <f t="shared" si="1"/>
        <v>1</v>
      </c>
      <c r="R49" s="5">
        <f>MAX(B23:B1023)</f>
        <v>30.649363039231201</v>
      </c>
    </row>
    <row r="50" spans="1:18" ht="15.75" thickTop="1" x14ac:dyDescent="0.25">
      <c r="A50" s="14">
        <f t="shared" si="9"/>
        <v>0.13000000000000003</v>
      </c>
      <c r="B50" s="14">
        <f t="shared" si="0"/>
        <v>1.3085113941215478</v>
      </c>
      <c r="C50" s="14">
        <f t="shared" si="2"/>
        <v>1.8571379197787983</v>
      </c>
      <c r="D50" s="14">
        <f t="shared" si="3"/>
        <v>1.8571379197787983</v>
      </c>
      <c r="E50" s="14">
        <f t="shared" si="4"/>
        <v>1</v>
      </c>
      <c r="F50" s="14">
        <f t="shared" si="5"/>
        <v>-7.8201535464195251</v>
      </c>
      <c r="G50" s="14">
        <f t="shared" si="10"/>
        <v>-4.6403041307487349</v>
      </c>
      <c r="H50" s="14">
        <f t="shared" si="11"/>
        <v>-6.2946309712114257</v>
      </c>
      <c r="I50" s="14">
        <f t="shared" si="12"/>
        <v>9.401290661740239</v>
      </c>
      <c r="J50" s="14">
        <f t="shared" si="6"/>
        <v>12.703969137650528</v>
      </c>
      <c r="K50" s="14">
        <f t="shared" si="13"/>
        <v>53.497528711690784</v>
      </c>
      <c r="L50" s="14">
        <f t="shared" si="14"/>
        <v>15.804274673546438</v>
      </c>
      <c r="M50" s="14">
        <f t="shared" si="15"/>
        <v>1.2622531038638087</v>
      </c>
      <c r="N50" s="14">
        <f t="shared" si="7"/>
        <v>1.7872168722307009</v>
      </c>
      <c r="O50" s="14">
        <f t="shared" si="8"/>
        <v>1.7872168722307009</v>
      </c>
      <c r="P50" s="14">
        <f t="shared" si="1"/>
        <v>1</v>
      </c>
    </row>
    <row r="51" spans="1:18" x14ac:dyDescent="0.25">
      <c r="A51" s="14">
        <f t="shared" si="9"/>
        <v>0.13500000000000004</v>
      </c>
      <c r="B51" s="14">
        <f t="shared" si="0"/>
        <v>1.358838755433915</v>
      </c>
      <c r="C51" s="14">
        <f t="shared" si="2"/>
        <v>1.9252588013087522</v>
      </c>
      <c r="D51" s="14">
        <f t="shared" si="3"/>
        <v>1.9252588013087522</v>
      </c>
      <c r="E51" s="14">
        <f t="shared" si="4"/>
        <v>1</v>
      </c>
      <c r="F51" s="14">
        <f t="shared" si="5"/>
        <v>-7.7430280366639419</v>
      </c>
      <c r="G51" s="14">
        <f t="shared" si="10"/>
        <v>-4.6059979770236872</v>
      </c>
      <c r="H51" s="14">
        <f t="shared" si="11"/>
        <v>-6.2240875485662608</v>
      </c>
      <c r="I51" s="14">
        <f t="shared" si="12"/>
        <v>9.37826067185512</v>
      </c>
      <c r="J51" s="14">
        <f t="shared" si="6"/>
        <v>12.623848699907697</v>
      </c>
      <c r="K51" s="14">
        <f t="shared" si="13"/>
        <v>53.391332723559366</v>
      </c>
      <c r="L51" s="14">
        <f t="shared" si="14"/>
        <v>15.726198816860535</v>
      </c>
      <c r="M51" s="14">
        <f t="shared" si="15"/>
        <v>1.3091444072230844</v>
      </c>
      <c r="N51" s="14">
        <f t="shared" si="7"/>
        <v>1.8503361157302394</v>
      </c>
      <c r="O51" s="14">
        <f t="shared" si="8"/>
        <v>1.8503361157302394</v>
      </c>
      <c r="P51" s="14">
        <f t="shared" si="1"/>
        <v>1</v>
      </c>
    </row>
    <row r="52" spans="1:18" x14ac:dyDescent="0.25">
      <c r="A52" s="14">
        <f t="shared" si="9"/>
        <v>0.14000000000000004</v>
      </c>
      <c r="B52" s="14">
        <f t="shared" si="0"/>
        <v>1.4091661167462823</v>
      </c>
      <c r="C52" s="14">
        <f t="shared" si="2"/>
        <v>1.9931346828387058</v>
      </c>
      <c r="D52" s="14">
        <f t="shared" si="3"/>
        <v>1.9931346828387058</v>
      </c>
      <c r="E52" s="14">
        <f t="shared" si="4"/>
        <v>1</v>
      </c>
      <c r="F52" s="14">
        <f t="shared" si="5"/>
        <v>-7.6667132060501961</v>
      </c>
      <c r="G52" s="14">
        <f t="shared" si="10"/>
        <v>-4.5720161483400679</v>
      </c>
      <c r="H52" s="14">
        <f t="shared" si="11"/>
        <v>-6.1542797891501593</v>
      </c>
      <c r="I52" s="14">
        <f t="shared" si="12"/>
        <v>9.355400591113419</v>
      </c>
      <c r="J52" s="14">
        <f t="shared" si="6"/>
        <v>12.544077300961947</v>
      </c>
      <c r="K52" s="14">
        <f t="shared" si="13"/>
        <v>53.284342731797253</v>
      </c>
      <c r="L52" s="14">
        <f t="shared" si="14"/>
        <v>15.648558896994766</v>
      </c>
      <c r="M52" s="14">
        <f t="shared" si="15"/>
        <v>1.3559214101786516</v>
      </c>
      <c r="N52" s="14">
        <f t="shared" si="7"/>
        <v>1.9130565022350492</v>
      </c>
      <c r="O52" s="14">
        <f t="shared" si="8"/>
        <v>1.9130565022350492</v>
      </c>
      <c r="P52" s="14">
        <f t="shared" si="1"/>
        <v>1</v>
      </c>
    </row>
    <row r="53" spans="1:18" x14ac:dyDescent="0.25">
      <c r="A53" s="14">
        <f t="shared" si="9"/>
        <v>0.14500000000000005</v>
      </c>
      <c r="B53" s="14">
        <f t="shared" si="0"/>
        <v>1.4594934780586495</v>
      </c>
      <c r="C53" s="14">
        <f t="shared" si="2"/>
        <v>2.0607655643686593</v>
      </c>
      <c r="D53" s="14">
        <f t="shared" si="3"/>
        <v>2.0607655643686593</v>
      </c>
      <c r="E53" s="14">
        <f t="shared" si="4"/>
        <v>1</v>
      </c>
      <c r="F53" s="14">
        <f t="shared" si="5"/>
        <v>-7.5911992621341353</v>
      </c>
      <c r="G53" s="14">
        <f t="shared" si="10"/>
        <v>-4.538354651805558</v>
      </c>
      <c r="H53" s="14">
        <f t="shared" si="11"/>
        <v>-6.0851987060293027</v>
      </c>
      <c r="I53" s="14">
        <f t="shared" si="12"/>
        <v>9.3327088178543907</v>
      </c>
      <c r="J53" s="14">
        <f t="shared" si="6"/>
        <v>12.464651307431801</v>
      </c>
      <c r="K53" s="14">
        <f t="shared" si="13"/>
        <v>53.176552178511379</v>
      </c>
      <c r="L53" s="14">
        <f t="shared" si="14"/>
        <v>15.571351453702354</v>
      </c>
      <c r="M53" s="14">
        <f t="shared" si="15"/>
        <v>1.4025849542679236</v>
      </c>
      <c r="N53" s="14">
        <f t="shared" si="7"/>
        <v>1.9753797587722082</v>
      </c>
      <c r="O53" s="14">
        <f t="shared" si="8"/>
        <v>1.9753797587722082</v>
      </c>
      <c r="P53" s="14">
        <f t="shared" si="1"/>
        <v>1</v>
      </c>
    </row>
    <row r="54" spans="1:18" x14ac:dyDescent="0.25">
      <c r="A54" s="14">
        <f t="shared" si="9"/>
        <v>0.15000000000000005</v>
      </c>
      <c r="B54" s="14">
        <f t="shared" si="0"/>
        <v>1.5098208393710169</v>
      </c>
      <c r="C54" s="14">
        <f t="shared" si="2"/>
        <v>2.1281514458986135</v>
      </c>
      <c r="D54" s="14">
        <f t="shared" si="3"/>
        <v>2.1281514458986135</v>
      </c>
      <c r="E54" s="14">
        <f t="shared" si="4"/>
        <v>1</v>
      </c>
      <c r="F54" s="14">
        <f t="shared" si="5"/>
        <v>-7.5164765689362705</v>
      </c>
      <c r="G54" s="14">
        <f t="shared" si="10"/>
        <v>-4.5050095595542103</v>
      </c>
      <c r="H54" s="14">
        <f t="shared" si="11"/>
        <v>-6.0168354539320044</v>
      </c>
      <c r="I54" s="14">
        <f t="shared" si="12"/>
        <v>9.3101837700566197</v>
      </c>
      <c r="J54" s="14">
        <f t="shared" si="6"/>
        <v>12.385567130162141</v>
      </c>
      <c r="K54" s="14">
        <f t="shared" si="13"/>
        <v>53.067954443685345</v>
      </c>
      <c r="L54" s="14">
        <f t="shared" si="14"/>
        <v>15.494573081178407</v>
      </c>
      <c r="M54" s="14">
        <f t="shared" si="15"/>
        <v>1.4491358731182067</v>
      </c>
      <c r="N54" s="14">
        <f t="shared" si="7"/>
        <v>2.037307594423019</v>
      </c>
      <c r="O54" s="14">
        <f t="shared" si="8"/>
        <v>2.037307594423019</v>
      </c>
      <c r="P54" s="14">
        <f t="shared" si="1"/>
        <v>1</v>
      </c>
    </row>
    <row r="55" spans="1:18" x14ac:dyDescent="0.25">
      <c r="A55" s="14">
        <f t="shared" si="9"/>
        <v>0.15500000000000005</v>
      </c>
      <c r="B55" s="14">
        <f t="shared" si="0"/>
        <v>1.560148200683384</v>
      </c>
      <c r="C55" s="14">
        <f t="shared" si="2"/>
        <v>2.1952923274285672</v>
      </c>
      <c r="D55" s="14">
        <f t="shared" si="3"/>
        <v>2.1952923274285672</v>
      </c>
      <c r="E55" s="14">
        <f t="shared" si="4"/>
        <v>1</v>
      </c>
      <c r="F55" s="14">
        <f t="shared" si="5"/>
        <v>-7.442535644007334</v>
      </c>
      <c r="G55" s="14">
        <f t="shared" si="10"/>
        <v>-4.4719770075546457</v>
      </c>
      <c r="H55" s="14">
        <f t="shared" si="11"/>
        <v>-5.9491813265542905</v>
      </c>
      <c r="I55" s="14">
        <f t="shared" si="12"/>
        <v>9.287823885018847</v>
      </c>
      <c r="J55" s="14">
        <f t="shared" si="6"/>
        <v>12.306821223529369</v>
      </c>
      <c r="K55" s="14">
        <f t="shared" si="13"/>
        <v>52.958542844756138</v>
      </c>
      <c r="L55" s="14">
        <f t="shared" si="14"/>
        <v>15.418220427372267</v>
      </c>
      <c r="M55" s="14">
        <f t="shared" si="15"/>
        <v>1.4955749925433008</v>
      </c>
      <c r="N55" s="14">
        <f t="shared" si="7"/>
        <v>2.0988417005406657</v>
      </c>
      <c r="O55" s="14">
        <f t="shared" si="8"/>
        <v>2.0988417005406657</v>
      </c>
      <c r="P55" s="14">
        <f t="shared" si="1"/>
        <v>1</v>
      </c>
    </row>
    <row r="56" spans="1:18" x14ac:dyDescent="0.25">
      <c r="A56" s="14">
        <f t="shared" si="9"/>
        <v>0.16000000000000006</v>
      </c>
      <c r="B56" s="14">
        <f t="shared" si="0"/>
        <v>1.6104755619957514</v>
      </c>
      <c r="C56" s="14">
        <f t="shared" si="2"/>
        <v>2.2621882089585208</v>
      </c>
      <c r="D56" s="14">
        <f t="shared" si="3"/>
        <v>2.2621882089585208</v>
      </c>
      <c r="E56" s="14">
        <f t="shared" si="4"/>
        <v>1</v>
      </c>
      <c r="F56" s="14">
        <f t="shared" si="5"/>
        <v>-7.3693671555582227</v>
      </c>
      <c r="G56" s="14">
        <f t="shared" si="10"/>
        <v>-4.4392531944448423</v>
      </c>
      <c r="H56" s="14">
        <f t="shared" si="11"/>
        <v>-5.8822277539238108</v>
      </c>
      <c r="I56" s="14">
        <f t="shared" si="12"/>
        <v>9.2656276190466222</v>
      </c>
      <c r="J56" s="14">
        <f t="shared" si="6"/>
        <v>12.22841008475975</v>
      </c>
      <c r="K56" s="14">
        <f t="shared" si="13"/>
        <v>52.848310636195414</v>
      </c>
      <c r="L56" s="14">
        <f t="shared" si="14"/>
        <v>15.342290193315126</v>
      </c>
      <c r="M56" s="14">
        <f t="shared" si="15"/>
        <v>1.541903130638534</v>
      </c>
      <c r="N56" s="14">
        <f t="shared" si="7"/>
        <v>2.1599837509644644</v>
      </c>
      <c r="O56" s="14">
        <f t="shared" si="8"/>
        <v>2.1599837509644644</v>
      </c>
      <c r="P56" s="14">
        <f t="shared" si="1"/>
        <v>1</v>
      </c>
    </row>
    <row r="57" spans="1:18" x14ac:dyDescent="0.25">
      <c r="A57" s="14">
        <f t="shared" si="9"/>
        <v>0.16500000000000006</v>
      </c>
      <c r="B57" s="14">
        <f t="shared" si="0"/>
        <v>1.6608029233081185</v>
      </c>
      <c r="C57" s="14">
        <f t="shared" si="2"/>
        <v>2.3288390904884748</v>
      </c>
      <c r="D57" s="14">
        <f t="shared" si="3"/>
        <v>2.3288390904884748</v>
      </c>
      <c r="E57" s="14">
        <f t="shared" si="4"/>
        <v>1</v>
      </c>
      <c r="F57" s="14">
        <f t="shared" si="5"/>
        <v>-7.2969619196526985</v>
      </c>
      <c r="G57" s="14">
        <f t="shared" si="10"/>
        <v>-4.4068343803928718</v>
      </c>
      <c r="H57" s="14">
        <f t="shared" si="11"/>
        <v>-5.8159662998206043</v>
      </c>
      <c r="I57" s="14">
        <f t="shared" si="12"/>
        <v>9.2435934471446579</v>
      </c>
      <c r="J57" s="14">
        <f t="shared" si="6"/>
        <v>12.150330253260647</v>
      </c>
      <c r="K57" s="14">
        <f t="shared" si="13"/>
        <v>52.737251009095992</v>
      </c>
      <c r="L57" s="14">
        <f t="shared" si="14"/>
        <v>15.266779132462636</v>
      </c>
      <c r="M57" s="14">
        <f t="shared" si="15"/>
        <v>1.5881210978742573</v>
      </c>
      <c r="N57" s="14">
        <f t="shared" si="7"/>
        <v>2.2207354022307677</v>
      </c>
      <c r="O57" s="14">
        <f t="shared" si="8"/>
        <v>2.2207354022307677</v>
      </c>
      <c r="P57" s="14">
        <f t="shared" si="1"/>
        <v>1</v>
      </c>
    </row>
    <row r="58" spans="1:18" x14ac:dyDescent="0.25">
      <c r="A58" s="14">
        <f t="shared" si="9"/>
        <v>0.17000000000000007</v>
      </c>
      <c r="B58" s="14">
        <f t="shared" si="0"/>
        <v>1.7111302846204859</v>
      </c>
      <c r="C58" s="14">
        <f t="shared" si="2"/>
        <v>2.3952449720184288</v>
      </c>
      <c r="D58" s="14">
        <f t="shared" si="3"/>
        <v>2.3952449720184288</v>
      </c>
      <c r="E58" s="14">
        <f t="shared" si="4"/>
        <v>1</v>
      </c>
      <c r="F58" s="14">
        <f t="shared" si="5"/>
        <v>-7.2253108974612941</v>
      </c>
      <c r="G58" s="14">
        <f t="shared" si="10"/>
        <v>-4.3747168859829291</v>
      </c>
      <c r="H58" s="14">
        <f t="shared" si="11"/>
        <v>-5.7503886592532822</v>
      </c>
      <c r="I58" s="14">
        <f t="shared" si="12"/>
        <v>9.2217198627147425</v>
      </c>
      <c r="J58" s="14">
        <f t="shared" si="6"/>
        <v>12.07257830996438</v>
      </c>
      <c r="K58" s="14">
        <f t="shared" si="13"/>
        <v>52.625357090763828</v>
      </c>
      <c r="L58" s="14">
        <f t="shared" si="14"/>
        <v>15.191684050052187</v>
      </c>
      <c r="M58" s="14">
        <f t="shared" si="15"/>
        <v>1.634229697187831</v>
      </c>
      <c r="N58" s="14">
        <f t="shared" si="7"/>
        <v>2.2810982937805897</v>
      </c>
      <c r="O58" s="14">
        <f t="shared" si="8"/>
        <v>2.2810982937805897</v>
      </c>
      <c r="P58" s="14">
        <f t="shared" si="1"/>
        <v>1</v>
      </c>
    </row>
    <row r="59" spans="1:18" x14ac:dyDescent="0.25">
      <c r="A59" s="14">
        <f t="shared" si="9"/>
        <v>0.17500000000000007</v>
      </c>
      <c r="B59" s="14">
        <f t="shared" si="0"/>
        <v>1.761457645932853</v>
      </c>
      <c r="C59" s="14">
        <f t="shared" si="2"/>
        <v>2.4614058535483823</v>
      </c>
      <c r="D59" s="14">
        <f t="shared" si="3"/>
        <v>2.4614058535483823</v>
      </c>
      <c r="E59" s="14">
        <f t="shared" si="4"/>
        <v>1</v>
      </c>
      <c r="F59" s="14">
        <f t="shared" si="5"/>
        <v>-7.1544051925749104</v>
      </c>
      <c r="G59" s="14">
        <f t="shared" si="10"/>
        <v>-4.3428970911260425</v>
      </c>
      <c r="H59" s="14">
        <f t="shared" si="11"/>
        <v>-5.685486655989247</v>
      </c>
      <c r="I59" s="14">
        <f t="shared" si="12"/>
        <v>9.2000053772591119</v>
      </c>
      <c r="J59" s="14">
        <f t="shared" si="6"/>
        <v>11.995150876684434</v>
      </c>
      <c r="K59" s="14">
        <f t="shared" si="13"/>
        <v>52.512621944315924</v>
      </c>
      <c r="L59" s="14">
        <f t="shared" si="14"/>
        <v>15.117001802474586</v>
      </c>
      <c r="M59" s="14">
        <f t="shared" si="15"/>
        <v>1.6802297240741264</v>
      </c>
      <c r="N59" s="14">
        <f t="shared" si="7"/>
        <v>2.3410740481640118</v>
      </c>
      <c r="O59" s="14">
        <f t="shared" si="8"/>
        <v>2.3410740481640118</v>
      </c>
      <c r="P59" s="14">
        <f t="shared" si="1"/>
        <v>1</v>
      </c>
    </row>
    <row r="60" spans="1:18" x14ac:dyDescent="0.25">
      <c r="A60" s="14">
        <f t="shared" si="9"/>
        <v>0.18000000000000008</v>
      </c>
      <c r="B60" s="14">
        <f t="shared" si="0"/>
        <v>1.8117850072452204</v>
      </c>
      <c r="C60" s="14">
        <f t="shared" si="2"/>
        <v>2.5273217350783366</v>
      </c>
      <c r="D60" s="14">
        <f t="shared" si="3"/>
        <v>2.5273217350783366</v>
      </c>
      <c r="E60" s="14">
        <f t="shared" si="4"/>
        <v>1</v>
      </c>
      <c r="F60" s="14">
        <f t="shared" si="5"/>
        <v>-7.0842360483766171</v>
      </c>
      <c r="G60" s="14">
        <f t="shared" si="10"/>
        <v>-4.3113714339948581</v>
      </c>
      <c r="H60" s="14">
        <f t="shared" si="11"/>
        <v>-5.62125224013759</v>
      </c>
      <c r="I60" s="14">
        <f t="shared" si="12"/>
        <v>9.1784485200891375</v>
      </c>
      <c r="J60" s="14">
        <f t="shared" si="6"/>
        <v>11.918044615483746</v>
      </c>
      <c r="K60" s="14">
        <f t="shared" si="13"/>
        <v>52.39903856828461</v>
      </c>
      <c r="L60" s="14">
        <f t="shared" si="14"/>
        <v>15.042729296659818</v>
      </c>
      <c r="M60" s="14">
        <f t="shared" si="15"/>
        <v>1.7261219666745722</v>
      </c>
      <c r="N60" s="14">
        <f t="shared" si="7"/>
        <v>2.4006642712414306</v>
      </c>
      <c r="O60" s="14">
        <f t="shared" si="8"/>
        <v>2.4006642712414306</v>
      </c>
      <c r="P60" s="14">
        <f t="shared" si="1"/>
        <v>1</v>
      </c>
    </row>
    <row r="61" spans="1:18" x14ac:dyDescent="0.25">
      <c r="A61" s="14">
        <f t="shared" si="9"/>
        <v>0.18500000000000008</v>
      </c>
      <c r="B61" s="14">
        <f t="shared" si="0"/>
        <v>1.8621123685575875</v>
      </c>
      <c r="C61" s="14">
        <f t="shared" si="2"/>
        <v>2.5929926166082899</v>
      </c>
      <c r="D61" s="14">
        <f t="shared" si="3"/>
        <v>2.5929926166082899</v>
      </c>
      <c r="E61" s="14">
        <f t="shared" si="4"/>
        <v>1</v>
      </c>
      <c r="F61" s="14">
        <f t="shared" si="5"/>
        <v>-7.0147948454702149</v>
      </c>
      <c r="G61" s="14">
        <f t="shared" si="10"/>
        <v>-4.2801364099818926</v>
      </c>
      <c r="H61" s="14">
        <f t="shared" si="11"/>
        <v>-5.5576774857833202</v>
      </c>
      <c r="I61" s="14">
        <f t="shared" si="12"/>
        <v>9.1570478380392277</v>
      </c>
      <c r="J61" s="14">
        <f t="shared" si="6"/>
        <v>11.84125622805483</v>
      </c>
      <c r="K61" s="14">
        <f t="shared" si="13"/>
        <v>52.284599896228642</v>
      </c>
      <c r="L61" s="14">
        <f t="shared" si="14"/>
        <v>14.96886348947662</v>
      </c>
      <c r="M61" s="14">
        <f t="shared" si="15"/>
        <v>1.7719072058647682</v>
      </c>
      <c r="N61" s="14">
        <f t="shared" si="7"/>
        <v>2.4598705523817048</v>
      </c>
      <c r="O61" s="14">
        <f t="shared" si="8"/>
        <v>2.4598705523817048</v>
      </c>
      <c r="P61" s="14">
        <f t="shared" si="1"/>
        <v>1</v>
      </c>
    </row>
    <row r="62" spans="1:18" x14ac:dyDescent="0.25">
      <c r="A62" s="14">
        <f t="shared" si="9"/>
        <v>0.19000000000000009</v>
      </c>
      <c r="B62" s="14">
        <f t="shared" si="0"/>
        <v>1.9124397298699549</v>
      </c>
      <c r="C62" s="14">
        <f t="shared" si="2"/>
        <v>2.6584184981382437</v>
      </c>
      <c r="D62" s="14">
        <f t="shared" si="3"/>
        <v>2.6584184981382437</v>
      </c>
      <c r="E62" s="14">
        <f t="shared" si="4"/>
        <v>1</v>
      </c>
      <c r="F62" s="14">
        <f t="shared" si="5"/>
        <v>-6.9460730991641713</v>
      </c>
      <c r="G62" s="14">
        <f t="shared" si="10"/>
        <v>-4.2491885706807029</v>
      </c>
      <c r="H62" s="14">
        <f t="shared" si="11"/>
        <v>-5.4947545886716949</v>
      </c>
      <c r="I62" s="14">
        <f t="shared" si="12"/>
        <v>9.1358018951858249</v>
      </c>
      <c r="J62" s="14">
        <f t="shared" si="6"/>
        <v>11.764782455111471</v>
      </c>
      <c r="K62" s="14">
        <f t="shared" si="13"/>
        <v>52.169298796351512</v>
      </c>
      <c r="L62" s="14">
        <f t="shared" si="14"/>
        <v>14.895401387145618</v>
      </c>
      <c r="M62" s="14">
        <f t="shared" si="15"/>
        <v>1.8175862153406974</v>
      </c>
      <c r="N62" s="14">
        <f t="shared" si="7"/>
        <v>2.518694464657262</v>
      </c>
      <c r="O62" s="14">
        <f t="shared" si="8"/>
        <v>2.518694464657262</v>
      </c>
      <c r="P62" s="14">
        <f t="shared" si="1"/>
        <v>1</v>
      </c>
    </row>
    <row r="63" spans="1:18" x14ac:dyDescent="0.25">
      <c r="A63" s="14">
        <f t="shared" si="9"/>
        <v>0.19500000000000009</v>
      </c>
      <c r="B63" s="14">
        <f t="shared" si="0"/>
        <v>1.9627670911823221</v>
      </c>
      <c r="C63" s="14">
        <f t="shared" si="2"/>
        <v>2.7235993796681979</v>
      </c>
      <c r="D63" s="14">
        <f t="shared" si="3"/>
        <v>2.7235993796681979</v>
      </c>
      <c r="E63" s="14">
        <f t="shared" si="4"/>
        <v>1</v>
      </c>
      <c r="F63" s="14">
        <f t="shared" si="5"/>
        <v>-6.8780624570095679</v>
      </c>
      <c r="G63" s="14">
        <f t="shared" si="10"/>
        <v>-4.2185245228893935</v>
      </c>
      <c r="H63" s="14">
        <f t="shared" si="11"/>
        <v>-5.4324758639413488</v>
      </c>
      <c r="I63" s="14">
        <f t="shared" si="12"/>
        <v>9.1147092725713783</v>
      </c>
      <c r="J63" s="14">
        <f t="shared" si="6"/>
        <v>11.688620075791764</v>
      </c>
      <c r="K63" s="14">
        <f t="shared" si="13"/>
        <v>52.053128071127631</v>
      </c>
      <c r="L63" s="14">
        <f t="shared" si="14"/>
        <v>14.822340044665719</v>
      </c>
      <c r="M63" s="14">
        <f t="shared" si="15"/>
        <v>1.8631597617035542</v>
      </c>
      <c r="N63" s="14">
        <f t="shared" si="7"/>
        <v>2.5771375650362209</v>
      </c>
      <c r="O63" s="14">
        <f t="shared" si="8"/>
        <v>2.5771375650362209</v>
      </c>
      <c r="P63" s="14">
        <f t="shared" si="1"/>
        <v>1</v>
      </c>
    </row>
    <row r="64" spans="1:18" x14ac:dyDescent="0.25">
      <c r="A64" s="14">
        <f t="shared" si="9"/>
        <v>0.20000000000000009</v>
      </c>
      <c r="B64" s="14">
        <f t="shared" si="0"/>
        <v>2.0130944524946894</v>
      </c>
      <c r="C64" s="14">
        <f t="shared" si="2"/>
        <v>2.7885352611981515</v>
      </c>
      <c r="D64" s="14">
        <f t="shared" si="3"/>
        <v>2.7885352611981515</v>
      </c>
      <c r="E64" s="14">
        <f t="shared" si="4"/>
        <v>1</v>
      </c>
      <c r="F64" s="14">
        <f t="shared" si="5"/>
        <v>-6.8107546963907293</v>
      </c>
      <c r="G64" s="14">
        <f t="shared" si="10"/>
        <v>-4.1881409276359411</v>
      </c>
      <c r="H64" s="14">
        <f t="shared" si="11"/>
        <v>-5.3708337439050498</v>
      </c>
      <c r="I64" s="14">
        <f t="shared" si="12"/>
        <v>9.0937685679331981</v>
      </c>
      <c r="J64" s="14">
        <f t="shared" si="6"/>
        <v>11.612765907072239</v>
      </c>
      <c r="K64" s="14">
        <f t="shared" si="13"/>
        <v>51.936080456936651</v>
      </c>
      <c r="L64" s="14">
        <f t="shared" si="14"/>
        <v>14.749676565253528</v>
      </c>
      <c r="M64" s="14">
        <f t="shared" si="15"/>
        <v>1.9086286045432201</v>
      </c>
      <c r="N64" s="14">
        <f t="shared" si="7"/>
        <v>2.635201394571582</v>
      </c>
      <c r="O64" s="14">
        <f t="shared" si="8"/>
        <v>2.635201394571582</v>
      </c>
      <c r="P64" s="14">
        <f t="shared" si="1"/>
        <v>1</v>
      </c>
    </row>
    <row r="65" spans="1:16" x14ac:dyDescent="0.25">
      <c r="A65" s="14">
        <f t="shared" si="9"/>
        <v>0.2050000000000001</v>
      </c>
      <c r="B65" s="14">
        <f t="shared" si="0"/>
        <v>2.0634218138070564</v>
      </c>
      <c r="C65" s="14">
        <f t="shared" si="2"/>
        <v>2.8532261427281056</v>
      </c>
      <c r="D65" s="14">
        <f t="shared" si="3"/>
        <v>2.8532261427281056</v>
      </c>
      <c r="E65" s="14">
        <f t="shared" si="4"/>
        <v>1</v>
      </c>
      <c r="F65" s="14">
        <f t="shared" si="5"/>
        <v>-6.7441417221672628</v>
      </c>
      <c r="G65" s="14">
        <f t="shared" si="10"/>
        <v>-4.1580344992247875</v>
      </c>
      <c r="H65" s="14">
        <f t="shared" si="11"/>
        <v>-5.309820775876875</v>
      </c>
      <c r="I65" s="14">
        <f t="shared" si="12"/>
        <v>9.0729783954370742</v>
      </c>
      <c r="J65" s="14">
        <f t="shared" si="6"/>
        <v>11.537216803192855</v>
      </c>
      <c r="K65" s="14">
        <f t="shared" si="13"/>
        <v>51.818148623706627</v>
      </c>
      <c r="L65" s="14">
        <f t="shared" si="14"/>
        <v>14.677408099795532</v>
      </c>
      <c r="M65" s="14">
        <f t="shared" si="15"/>
        <v>1.9539934965204055</v>
      </c>
      <c r="N65" s="14">
        <f t="shared" si="7"/>
        <v>2.6928874785875463</v>
      </c>
      <c r="O65" s="14">
        <f t="shared" si="8"/>
        <v>2.6928874785875463</v>
      </c>
      <c r="P65" s="14">
        <f t="shared" si="1"/>
        <v>1</v>
      </c>
    </row>
    <row r="66" spans="1:16" x14ac:dyDescent="0.25">
      <c r="A66" s="14">
        <f t="shared" si="9"/>
        <v>0.2100000000000001</v>
      </c>
      <c r="B66" s="14">
        <f t="shared" si="0"/>
        <v>2.1137491751194237</v>
      </c>
      <c r="C66" s="14">
        <f t="shared" si="2"/>
        <v>2.9176720242580592</v>
      </c>
      <c r="D66" s="14">
        <f t="shared" si="3"/>
        <v>2.9176720242580592</v>
      </c>
      <c r="E66" s="14">
        <f t="shared" si="4"/>
        <v>1</v>
      </c>
      <c r="F66" s="14">
        <f t="shared" si="5"/>
        <v>-6.6782155643662477</v>
      </c>
      <c r="G66" s="14">
        <f t="shared" si="10"/>
        <v>-4.1282020043041978</v>
      </c>
      <c r="H66" s="14">
        <f t="shared" si="11"/>
        <v>-5.2494296200446779</v>
      </c>
      <c r="I66" s="14">
        <f t="shared" si="12"/>
        <v>9.0523373854155533</v>
      </c>
      <c r="J66" s="14">
        <f t="shared" si="6"/>
        <v>11.461969655092632</v>
      </c>
      <c r="K66" s="14">
        <f t="shared" si="13"/>
        <v>51.699325174566454</v>
      </c>
      <c r="L66" s="14">
        <f t="shared" si="14"/>
        <v>14.605531846312767</v>
      </c>
      <c r="M66" s="14">
        <f t="shared" si="15"/>
        <v>1.9992551834474832</v>
      </c>
      <c r="N66" s="14">
        <f t="shared" si="7"/>
        <v>2.7501973268630096</v>
      </c>
      <c r="O66" s="14">
        <f t="shared" si="8"/>
        <v>2.7501973268630096</v>
      </c>
      <c r="P66" s="14">
        <f t="shared" si="1"/>
        <v>1</v>
      </c>
    </row>
    <row r="67" spans="1:16" x14ac:dyDescent="0.25">
      <c r="A67" s="14">
        <f t="shared" si="9"/>
        <v>0.21500000000000011</v>
      </c>
      <c r="B67" s="14">
        <f t="shared" si="0"/>
        <v>2.1640765364317911</v>
      </c>
      <c r="C67" s="14">
        <f t="shared" si="2"/>
        <v>2.9818729057880131</v>
      </c>
      <c r="D67" s="14">
        <f t="shared" si="3"/>
        <v>2.9818729057880131</v>
      </c>
      <c r="E67" s="14">
        <f t="shared" si="4"/>
        <v>1</v>
      </c>
      <c r="F67" s="14">
        <f t="shared" si="5"/>
        <v>-6.6129683759233489</v>
      </c>
      <c r="G67" s="14">
        <f t="shared" si="10"/>
        <v>-4.0986402609538901</v>
      </c>
      <c r="H67" s="14">
        <f t="shared" si="11"/>
        <v>-5.189653047386706</v>
      </c>
      <c r="I67" s="14">
        <f t="shared" si="12"/>
        <v>9.031844184110783</v>
      </c>
      <c r="J67" s="14">
        <f t="shared" si="6"/>
        <v>11.387021389855699</v>
      </c>
      <c r="K67" s="14">
        <f t="shared" si="13"/>
        <v>51.579602645508217</v>
      </c>
      <c r="L67" s="14">
        <f t="shared" si="14"/>
        <v>14.534045049437786</v>
      </c>
      <c r="M67" s="14">
        <f t="shared" si="15"/>
        <v>2.044414404368037</v>
      </c>
      <c r="N67" s="14">
        <f t="shared" si="7"/>
        <v>2.8071324338122881</v>
      </c>
      <c r="O67" s="14">
        <f t="shared" si="8"/>
        <v>2.8071324338122881</v>
      </c>
      <c r="P67" s="14">
        <f t="shared" si="1"/>
        <v>1</v>
      </c>
    </row>
    <row r="68" spans="1:16" x14ac:dyDescent="0.25">
      <c r="A68" s="14">
        <f t="shared" si="9"/>
        <v>0.22000000000000011</v>
      </c>
      <c r="B68" s="14">
        <f t="shared" si="0"/>
        <v>2.2144038977441585</v>
      </c>
      <c r="C68" s="14">
        <f t="shared" si="2"/>
        <v>3.045828787317967</v>
      </c>
      <c r="D68" s="14">
        <f t="shared" si="3"/>
        <v>3.045828787317967</v>
      </c>
      <c r="E68" s="14">
        <f t="shared" si="4"/>
        <v>1</v>
      </c>
      <c r="F68" s="14">
        <f t="shared" si="5"/>
        <v>-6.5483924304716981</v>
      </c>
      <c r="G68" s="14">
        <f t="shared" si="10"/>
        <v>-4.0693461377924329</v>
      </c>
      <c r="H68" s="14">
        <f t="shared" si="11"/>
        <v>-5.1304839376313067</v>
      </c>
      <c r="I68" s="14">
        <f t="shared" si="12"/>
        <v>9.0114974534218213</v>
      </c>
      <c r="J68" s="14">
        <f t="shared" si="6"/>
        <v>11.312368970167542</v>
      </c>
      <c r="K68" s="14">
        <f t="shared" si="13"/>
        <v>51.458973505059902</v>
      </c>
      <c r="L68" s="14">
        <f t="shared" si="14"/>
        <v>14.46294499990363</v>
      </c>
      <c r="M68" s="14">
        <f t="shared" si="15"/>
        <v>2.0894718916351462</v>
      </c>
      <c r="N68" s="14">
        <f t="shared" si="7"/>
        <v>2.8636942786631256</v>
      </c>
      <c r="O68" s="14">
        <f t="shared" si="8"/>
        <v>2.8636942786631256</v>
      </c>
      <c r="P68" s="14">
        <f t="shared" si="1"/>
        <v>1</v>
      </c>
    </row>
    <row r="69" spans="1:16" x14ac:dyDescent="0.25">
      <c r="A69" s="14">
        <f t="shared" si="9"/>
        <v>0.22500000000000012</v>
      </c>
      <c r="B69" s="14">
        <f t="shared" si="0"/>
        <v>2.2647312590565254</v>
      </c>
      <c r="C69" s="14">
        <f t="shared" si="2"/>
        <v>3.1095396688479209</v>
      </c>
      <c r="D69" s="14">
        <f t="shared" si="3"/>
        <v>3.1095396688479209</v>
      </c>
      <c r="E69" s="14">
        <f t="shared" si="4"/>
        <v>1</v>
      </c>
      <c r="F69" s="14">
        <f t="shared" si="5"/>
        <v>-6.4844801201773601</v>
      </c>
      <c r="G69" s="14">
        <f t="shared" si="10"/>
        <v>-4.0403165531039544</v>
      </c>
      <c r="H69" s="14">
        <f t="shared" si="11"/>
        <v>-5.071915277258638</v>
      </c>
      <c r="I69" s="14">
        <f t="shared" si="12"/>
        <v>8.9912958706563018</v>
      </c>
      <c r="J69" s="14">
        <f t="shared" si="6"/>
        <v>11.238009393781249</v>
      </c>
      <c r="K69" s="14">
        <f t="shared" si="13"/>
        <v>51.337430153969251</v>
      </c>
      <c r="L69" s="14">
        <f t="shared" si="14"/>
        <v>14.392229034044611</v>
      </c>
      <c r="M69" s="14">
        <f t="shared" si="15"/>
        <v>2.1344283709884277</v>
      </c>
      <c r="N69" s="14">
        <f t="shared" si="7"/>
        <v>2.9198843256320317</v>
      </c>
      <c r="O69" s="14">
        <f t="shared" si="8"/>
        <v>2.9198843256320317</v>
      </c>
      <c r="P69" s="14">
        <f t="shared" si="1"/>
        <v>1</v>
      </c>
    </row>
    <row r="70" spans="1:16" x14ac:dyDescent="0.25">
      <c r="A70" s="14">
        <f t="shared" si="9"/>
        <v>0.23000000000000012</v>
      </c>
      <c r="B70" s="14">
        <f t="shared" si="0"/>
        <v>2.3150586203688928</v>
      </c>
      <c r="C70" s="14">
        <f t="shared" si="2"/>
        <v>3.1730055503778742</v>
      </c>
      <c r="D70" s="14">
        <f t="shared" si="3"/>
        <v>3.1730055503778742</v>
      </c>
      <c r="E70" s="14">
        <f t="shared" si="4"/>
        <v>1</v>
      </c>
      <c r="F70" s="14">
        <f t="shared" si="5"/>
        <v>-6.4212239536202969</v>
      </c>
      <c r="G70" s="14">
        <f t="shared" si="10"/>
        <v>-4.0115484739836971</v>
      </c>
      <c r="H70" s="14">
        <f t="shared" si="11"/>
        <v>-5.0139401575433817</v>
      </c>
      <c r="I70" s="14">
        <f t="shared" si="12"/>
        <v>8.9712381282863838</v>
      </c>
      <c r="J70" s="14">
        <f t="shared" si="6"/>
        <v>11.163939692993532</v>
      </c>
      <c r="K70" s="14">
        <f t="shared" si="13"/>
        <v>51.214964924899164</v>
      </c>
      <c r="L70" s="14">
        <f t="shared" si="14"/>
        <v>14.32189453330864</v>
      </c>
      <c r="M70" s="14">
        <f t="shared" si="15"/>
        <v>2.1792845616298595</v>
      </c>
      <c r="N70" s="14">
        <f t="shared" si="7"/>
        <v>2.9757040240969994</v>
      </c>
      <c r="O70" s="14">
        <f t="shared" si="8"/>
        <v>2.9757040240969994</v>
      </c>
      <c r="P70" s="14">
        <f t="shared" si="1"/>
        <v>1</v>
      </c>
    </row>
    <row r="71" spans="1:16" x14ac:dyDescent="0.25">
      <c r="A71" s="14">
        <f t="shared" si="9"/>
        <v>0.23500000000000013</v>
      </c>
      <c r="B71" s="14">
        <f t="shared" si="0"/>
        <v>2.3653859816812601</v>
      </c>
      <c r="C71" s="14">
        <f t="shared" si="2"/>
        <v>3.2362264319078284</v>
      </c>
      <c r="D71" s="14">
        <f t="shared" si="3"/>
        <v>3.2362264319078284</v>
      </c>
      <c r="E71" s="14">
        <f t="shared" si="4"/>
        <v>1</v>
      </c>
      <c r="F71" s="14">
        <f t="shared" si="5"/>
        <v>-6.3586165537196937</v>
      </c>
      <c r="G71" s="14">
        <f t="shared" si="10"/>
        <v>-3.9830389155019592</v>
      </c>
      <c r="H71" s="14">
        <f t="shared" si="11"/>
        <v>-4.9565517726374138</v>
      </c>
      <c r="I71" s="14">
        <f t="shared" si="12"/>
        <v>8.9513229337088731</v>
      </c>
      <c r="J71" s="14">
        <f t="shared" si="6"/>
        <v>11.090156934130345</v>
      </c>
      <c r="K71" s="14">
        <f t="shared" si="13"/>
        <v>51.091570082135462</v>
      </c>
      <c r="L71" s="14">
        <f t="shared" si="14"/>
        <v>14.251938923780925</v>
      </c>
      <c r="M71" s="14">
        <f t="shared" si="15"/>
        <v>2.224041176298404</v>
      </c>
      <c r="N71" s="14">
        <f t="shared" si="7"/>
        <v>3.031154808767651</v>
      </c>
      <c r="O71" s="14">
        <f t="shared" si="8"/>
        <v>3.031154808767651</v>
      </c>
      <c r="P71" s="14">
        <f t="shared" si="1"/>
        <v>1</v>
      </c>
    </row>
    <row r="72" spans="1:16" x14ac:dyDescent="0.25">
      <c r="A72" s="14">
        <f t="shared" si="9"/>
        <v>0.24000000000000013</v>
      </c>
      <c r="B72" s="14">
        <f t="shared" si="0"/>
        <v>2.4157133429936275</v>
      </c>
      <c r="C72" s="14">
        <f t="shared" si="2"/>
        <v>3.2992023134377821</v>
      </c>
      <c r="D72" s="14">
        <f t="shared" si="3"/>
        <v>3.2992023134377821</v>
      </c>
      <c r="E72" s="14">
        <f t="shared" si="4"/>
        <v>1</v>
      </c>
      <c r="F72" s="14">
        <f t="shared" si="5"/>
        <v>-6.2966506557026349</v>
      </c>
      <c r="G72" s="14">
        <f t="shared" si="10"/>
        <v>-3.9547849398860082</v>
      </c>
      <c r="H72" s="14">
        <f t="shared" si="11"/>
        <v>-4.8997434176915062</v>
      </c>
      <c r="I72" s="14">
        <f t="shared" si="12"/>
        <v>8.9315490090094425</v>
      </c>
      <c r="J72" s="14">
        <f t="shared" si="6"/>
        <v>11.016658217041888</v>
      </c>
      <c r="K72" s="14">
        <f t="shared" si="13"/>
        <v>50.967237821307592</v>
      </c>
      <c r="L72" s="14">
        <f t="shared" si="14"/>
        <v>14.18235967571878</v>
      </c>
      <c r="M72" s="14">
        <f t="shared" si="15"/>
        <v>2.2686989213434514</v>
      </c>
      <c r="N72" s="14">
        <f t="shared" si="7"/>
        <v>3.0862380998528605</v>
      </c>
      <c r="O72" s="14">
        <f t="shared" si="8"/>
        <v>3.0862380998528605</v>
      </c>
      <c r="P72" s="14">
        <f t="shared" si="1"/>
        <v>1</v>
      </c>
    </row>
    <row r="73" spans="1:16" x14ac:dyDescent="0.25">
      <c r="A73" s="14">
        <f t="shared" si="9"/>
        <v>0.24500000000000013</v>
      </c>
      <c r="B73" s="14">
        <f t="shared" si="0"/>
        <v>2.4660407043059944</v>
      </c>
      <c r="C73" s="14">
        <f t="shared" si="2"/>
        <v>3.3619331949677358</v>
      </c>
      <c r="D73" s="14">
        <f t="shared" si="3"/>
        <v>3.3619331949677358</v>
      </c>
      <c r="E73" s="14">
        <f t="shared" si="4"/>
        <v>1</v>
      </c>
      <c r="F73" s="14">
        <f t="shared" si="5"/>
        <v>-6.2353191051150771</v>
      </c>
      <c r="G73" s="14">
        <f t="shared" si="10"/>
        <v>-3.9267836557195275</v>
      </c>
      <c r="H73" s="14">
        <f t="shared" si="11"/>
        <v>-4.8435084870150762</v>
      </c>
      <c r="I73" s="14">
        <f t="shared" si="12"/>
        <v>8.9119150907308455</v>
      </c>
      <c r="J73" s="14">
        <f t="shared" si="6"/>
        <v>10.943440674606812</v>
      </c>
      <c r="K73" s="14">
        <f t="shared" si="13"/>
        <v>50.841960269122936</v>
      </c>
      <c r="L73" s="14">
        <f t="shared" si="14"/>
        <v>14.113154303097339</v>
      </c>
      <c r="M73" s="14">
        <f t="shared" si="15"/>
        <v>2.3132584967971055</v>
      </c>
      <c r="N73" s="14">
        <f t="shared" si="7"/>
        <v>3.1409553032258946</v>
      </c>
      <c r="O73" s="14">
        <f t="shared" si="8"/>
        <v>3.1409553032258946</v>
      </c>
      <c r="P73" s="14">
        <f t="shared" si="1"/>
        <v>1</v>
      </c>
    </row>
    <row r="74" spans="1:16" x14ac:dyDescent="0.25">
      <c r="A74" s="14">
        <f t="shared" si="9"/>
        <v>0.25000000000000011</v>
      </c>
      <c r="B74" s="14">
        <f t="shared" si="0"/>
        <v>2.5163680656183618</v>
      </c>
      <c r="C74" s="14">
        <f t="shared" si="2"/>
        <v>3.4244190764976894</v>
      </c>
      <c r="D74" s="14">
        <f t="shared" si="3"/>
        <v>3.4244190764976894</v>
      </c>
      <c r="E74" s="14">
        <f t="shared" si="4"/>
        <v>1</v>
      </c>
      <c r="F74" s="14">
        <f t="shared" si="5"/>
        <v>-6.1746148558740828</v>
      </c>
      <c r="G74" s="14">
        <f t="shared" si="10"/>
        <v>-3.8990322171591703</v>
      </c>
      <c r="H74" s="14">
        <f t="shared" si="11"/>
        <v>-4.7878404722730439</v>
      </c>
      <c r="I74" s="14">
        <f t="shared" si="12"/>
        <v>8.8924199296450492</v>
      </c>
      <c r="J74" s="14">
        <f t="shared" si="6"/>
        <v>10.870501472245447</v>
      </c>
      <c r="K74" s="14">
        <f t="shared" si="13"/>
        <v>50.71572948311556</v>
      </c>
      <c r="L74" s="14">
        <f t="shared" si="14"/>
        <v>14.044320363165991</v>
      </c>
      <c r="M74" s="14">
        <f t="shared" si="15"/>
        <v>2.3577205964453309</v>
      </c>
      <c r="N74" s="14">
        <f t="shared" si="7"/>
        <v>3.195307810587122</v>
      </c>
      <c r="O74" s="14">
        <f t="shared" si="8"/>
        <v>3.195307810587122</v>
      </c>
      <c r="P74" s="14">
        <f t="shared" si="1"/>
        <v>1</v>
      </c>
    </row>
    <row r="75" spans="1:16" x14ac:dyDescent="0.25">
      <c r="A75" s="14">
        <f t="shared" si="9"/>
        <v>0.25500000000000012</v>
      </c>
      <c r="B75" s="14">
        <f t="shared" si="0"/>
        <v>2.5666954269307287</v>
      </c>
      <c r="C75" s="14">
        <f t="shared" si="2"/>
        <v>3.4866599580276429</v>
      </c>
      <c r="D75" s="14">
        <f t="shared" si="3"/>
        <v>3.4866599580276429</v>
      </c>
      <c r="E75" s="14">
        <f t="shared" si="4"/>
        <v>1</v>
      </c>
      <c r="F75" s="14">
        <f t="shared" si="5"/>
        <v>-6.1145309683604054</v>
      </c>
      <c r="G75" s="14">
        <f t="shared" si="10"/>
        <v>-3.871527823167848</v>
      </c>
      <c r="H75" s="14">
        <f t="shared" si="11"/>
        <v>-4.7327329607189608</v>
      </c>
      <c r="I75" s="14">
        <f t="shared" si="12"/>
        <v>8.8730622905292105</v>
      </c>
      <c r="J75" s="14">
        <f t="shared" si="6"/>
        <v>10.797837807441852</v>
      </c>
      <c r="K75" s="14">
        <f t="shared" si="13"/>
        <v>50.58853745140987</v>
      </c>
      <c r="L75" s="14">
        <f t="shared" si="14"/>
        <v>13.975855456015282</v>
      </c>
      <c r="M75" s="14">
        <f t="shared" si="15"/>
        <v>2.4020859078979768</v>
      </c>
      <c r="N75" s="14">
        <f t="shared" si="7"/>
        <v>3.2492969996243311</v>
      </c>
      <c r="O75" s="14">
        <f t="shared" si="8"/>
        <v>3.2492969996243311</v>
      </c>
      <c r="P75" s="14">
        <f t="shared" si="1"/>
        <v>1</v>
      </c>
    </row>
    <row r="76" spans="1:16" x14ac:dyDescent="0.25">
      <c r="A76" s="14">
        <f t="shared" si="9"/>
        <v>0.26000000000000012</v>
      </c>
      <c r="B76" s="14">
        <f t="shared" si="0"/>
        <v>2.6170227882430961</v>
      </c>
      <c r="C76" s="14">
        <f t="shared" si="2"/>
        <v>3.5486558395575969</v>
      </c>
      <c r="D76" s="14">
        <f t="shared" si="3"/>
        <v>3.5486558395575969</v>
      </c>
      <c r="E76" s="14">
        <f t="shared" si="4"/>
        <v>1</v>
      </c>
      <c r="F76" s="14">
        <f t="shared" si="5"/>
        <v>-6.055060607550395</v>
      </c>
      <c r="G76" s="14">
        <f t="shared" si="10"/>
        <v>-3.8442677167643398</v>
      </c>
      <c r="H76" s="14">
        <f t="shared" si="11"/>
        <v>-4.678179633463432</v>
      </c>
      <c r="I76" s="14">
        <f t="shared" si="12"/>
        <v>8.8538409519453882</v>
      </c>
      <c r="J76" s="14">
        <f t="shared" si="6"/>
        <v>10.725446909274535</v>
      </c>
      <c r="K76" s="14">
        <f t="shared" si="13"/>
        <v>50.460376092500333</v>
      </c>
      <c r="L76" s="14">
        <f t="shared" si="14"/>
        <v>13.907757224154148</v>
      </c>
      <c r="M76" s="14">
        <f t="shared" si="15"/>
        <v>2.4463551126577037</v>
      </c>
      <c r="N76" s="14">
        <f t="shared" si="7"/>
        <v>3.3029242341707037</v>
      </c>
      <c r="O76" s="14">
        <f t="shared" si="8"/>
        <v>3.3029242341707037</v>
      </c>
      <c r="P76" s="14">
        <f t="shared" si="1"/>
        <v>1</v>
      </c>
    </row>
    <row r="77" spans="1:16" x14ac:dyDescent="0.25">
      <c r="A77" s="14">
        <f t="shared" si="9"/>
        <v>0.26500000000000012</v>
      </c>
      <c r="B77" s="14">
        <f t="shared" si="0"/>
        <v>2.6673501495554635</v>
      </c>
      <c r="C77" s="14">
        <f t="shared" si="2"/>
        <v>3.6104067210875508</v>
      </c>
      <c r="D77" s="14">
        <f t="shared" si="3"/>
        <v>3.6104067210875508</v>
      </c>
      <c r="E77" s="14">
        <f t="shared" si="4"/>
        <v>1</v>
      </c>
      <c r="F77" s="14">
        <f t="shared" si="5"/>
        <v>-5.9961970411863685</v>
      </c>
      <c r="G77" s="14">
        <f t="shared" si="10"/>
        <v>-3.8172491842888396</v>
      </c>
      <c r="H77" s="14">
        <f t="shared" si="11"/>
        <v>-4.6241742637770855</v>
      </c>
      <c r="I77" s="14">
        <f t="shared" si="12"/>
        <v>8.8347547060239435</v>
      </c>
      <c r="J77" s="14">
        <f t="shared" si="6"/>
        <v>10.653326037955649</v>
      </c>
      <c r="K77" s="14">
        <f t="shared" si="13"/>
        <v>50.331237255047569</v>
      </c>
      <c r="L77" s="14">
        <f t="shared" si="14"/>
        <v>13.840023352097207</v>
      </c>
      <c r="M77" s="14">
        <f t="shared" si="15"/>
        <v>2.4905288861878234</v>
      </c>
      <c r="N77" s="14">
        <f t="shared" si="7"/>
        <v>3.3561908643604821</v>
      </c>
      <c r="O77" s="14">
        <f t="shared" si="8"/>
        <v>3.3561908643604821</v>
      </c>
      <c r="P77" s="14">
        <f t="shared" si="1"/>
        <v>1</v>
      </c>
    </row>
    <row r="78" spans="1:16" x14ac:dyDescent="0.25">
      <c r="A78" s="14">
        <f t="shared" si="9"/>
        <v>0.27000000000000013</v>
      </c>
      <c r="B78" s="14">
        <f t="shared" si="0"/>
        <v>2.7176775108678304</v>
      </c>
      <c r="C78" s="14">
        <f t="shared" si="2"/>
        <v>3.6719126026175051</v>
      </c>
      <c r="D78" s="14">
        <f t="shared" si="3"/>
        <v>3.6719126026175051</v>
      </c>
      <c r="E78" s="14">
        <f t="shared" si="4"/>
        <v>1</v>
      </c>
      <c r="F78" s="14">
        <f t="shared" si="5"/>
        <v>-5.937933637984476</v>
      </c>
      <c r="G78" s="14">
        <f t="shared" si="10"/>
        <v>-3.790469554684083</v>
      </c>
      <c r="H78" s="14">
        <f t="shared" si="11"/>
        <v>-4.570710715427154</v>
      </c>
      <c r="I78" s="14">
        <f t="shared" si="12"/>
        <v>8.8158023582505223</v>
      </c>
      <c r="J78" s="14">
        <f t="shared" si="6"/>
        <v>10.581472484378514</v>
      </c>
      <c r="K78" s="14">
        <f t="shared" si="13"/>
        <v>50.201112717692034</v>
      </c>
      <c r="L78" s="14">
        <f t="shared" si="14"/>
        <v>13.772651565961985</v>
      </c>
      <c r="M78" s="14">
        <f t="shared" si="15"/>
        <v>2.5346078979790758</v>
      </c>
      <c r="N78" s="14">
        <f t="shared" si="7"/>
        <v>3.4090982267823748</v>
      </c>
      <c r="O78" s="14">
        <f t="shared" si="8"/>
        <v>3.4090982267823748</v>
      </c>
      <c r="P78" s="14">
        <f t="shared" si="1"/>
        <v>1</v>
      </c>
    </row>
    <row r="79" spans="1:16" x14ac:dyDescent="0.25">
      <c r="A79" s="14">
        <f t="shared" si="9"/>
        <v>0.27500000000000013</v>
      </c>
      <c r="B79" s="14">
        <f t="shared" si="0"/>
        <v>2.7680048721801978</v>
      </c>
      <c r="C79" s="14">
        <f t="shared" si="2"/>
        <v>3.7331734841474589</v>
      </c>
      <c r="D79" s="14">
        <f t="shared" si="3"/>
        <v>3.7331734841474589</v>
      </c>
      <c r="E79" s="14">
        <f t="shared" si="4"/>
        <v>1</v>
      </c>
      <c r="F79" s="14">
        <f t="shared" si="5"/>
        <v>-5.8802638658792485</v>
      </c>
      <c r="G79" s="14">
        <f t="shared" si="10"/>
        <v>-3.7639261987916828</v>
      </c>
      <c r="H79" s="14">
        <f t="shared" si="11"/>
        <v>-4.5177829410469421</v>
      </c>
      <c r="I79" s="14">
        <f t="shared" si="12"/>
        <v>8.7969827272565642</v>
      </c>
      <c r="J79" s="14">
        <f t="shared" si="6"/>
        <v>10.50988356967328</v>
      </c>
      <c r="K79" s="14">
        <f t="shared" si="13"/>
        <v>50.069994188885921</v>
      </c>
      <c r="L79" s="14">
        <f t="shared" si="14"/>
        <v>13.705639633075821</v>
      </c>
      <c r="M79" s="14">
        <f t="shared" si="15"/>
        <v>2.5785928116153585</v>
      </c>
      <c r="N79" s="14">
        <f t="shared" si="7"/>
        <v>3.4616476446307414</v>
      </c>
      <c r="O79" s="14">
        <f t="shared" si="8"/>
        <v>3.4616476446307414</v>
      </c>
      <c r="P79" s="14">
        <f t="shared" si="1"/>
        <v>1</v>
      </c>
    </row>
    <row r="80" spans="1:16" x14ac:dyDescent="0.25">
      <c r="A80" s="14">
        <f t="shared" si="9"/>
        <v>0.28000000000000014</v>
      </c>
      <c r="B80" s="14">
        <f t="shared" si="0"/>
        <v>2.8183322334925651</v>
      </c>
      <c r="C80" s="14">
        <f t="shared" si="2"/>
        <v>3.7941893656774122</v>
      </c>
      <c r="D80" s="14">
        <f t="shared" si="3"/>
        <v>3.7941893656774122</v>
      </c>
      <c r="E80" s="14">
        <f t="shared" si="4"/>
        <v>1</v>
      </c>
      <c r="F80" s="14">
        <f t="shared" si="5"/>
        <v>-5.8231812903039009</v>
      </c>
      <c r="G80" s="14">
        <f t="shared" si="10"/>
        <v>-3.7376165286633012</v>
      </c>
      <c r="H80" s="14">
        <f t="shared" si="11"/>
        <v>-4.4653849805373218</v>
      </c>
      <c r="I80" s="14">
        <f t="shared" si="12"/>
        <v>8.778294644613247</v>
      </c>
      <c r="J80" s="14">
        <f t="shared" si="6"/>
        <v>10.438556644770593</v>
      </c>
      <c r="K80" s="14">
        <f t="shared" si="13"/>
        <v>49.937873306744152</v>
      </c>
      <c r="L80" s="14">
        <f t="shared" si="14"/>
        <v>13.638985361592331</v>
      </c>
      <c r="M80" s="14">
        <f t="shared" si="15"/>
        <v>2.6224842848384249</v>
      </c>
      <c r="N80" s="14">
        <f t="shared" si="7"/>
        <v>3.5138404278545945</v>
      </c>
      <c r="O80" s="14">
        <f t="shared" si="8"/>
        <v>3.5138404278545945</v>
      </c>
      <c r="P80" s="14">
        <f t="shared" si="1"/>
        <v>1</v>
      </c>
    </row>
    <row r="81" spans="1:16" x14ac:dyDescent="0.25">
      <c r="A81" s="14">
        <f t="shared" si="9"/>
        <v>0.28500000000000014</v>
      </c>
      <c r="B81" s="14">
        <f t="shared" si="0"/>
        <v>2.8686595948049325</v>
      </c>
      <c r="C81" s="14">
        <f t="shared" si="2"/>
        <v>3.8549602472073659</v>
      </c>
      <c r="D81" s="14">
        <f t="shared" si="3"/>
        <v>3.8549602472073659</v>
      </c>
      <c r="E81" s="14">
        <f t="shared" si="4"/>
        <v>1</v>
      </c>
      <c r="F81" s="14">
        <f t="shared" si="5"/>
        <v>-5.7666795725056268</v>
      </c>
      <c r="G81" s="14">
        <f t="shared" si="10"/>
        <v>-3.7115379968863573</v>
      </c>
      <c r="H81" s="14">
        <f t="shared" si="11"/>
        <v>-4.4135109594995328</v>
      </c>
      <c r="I81" s="14">
        <f t="shared" si="12"/>
        <v>8.7597369546288153</v>
      </c>
      <c r="J81" s="14">
        <f t="shared" si="6"/>
        <v>10.367489089973095</v>
      </c>
      <c r="K81" s="14">
        <f t="shared" si="13"/>
        <v>49.804741638915388</v>
      </c>
      <c r="L81" s="14">
        <f t="shared" si="14"/>
        <v>13.572686600117194</v>
      </c>
      <c r="M81" s="14">
        <f t="shared" si="15"/>
        <v>2.6662829696115691</v>
      </c>
      <c r="N81" s="14">
        <f t="shared" si="7"/>
        <v>3.5656778733044598</v>
      </c>
      <c r="O81" s="14">
        <f t="shared" si="8"/>
        <v>3.5656778733044598</v>
      </c>
      <c r="P81" s="14">
        <f t="shared" si="1"/>
        <v>1</v>
      </c>
    </row>
    <row r="82" spans="1:16" x14ac:dyDescent="0.25">
      <c r="A82" s="14">
        <f t="shared" si="9"/>
        <v>0.29000000000000015</v>
      </c>
      <c r="B82" s="14">
        <f t="shared" si="0"/>
        <v>2.9189869561172994</v>
      </c>
      <c r="C82" s="14">
        <f t="shared" si="2"/>
        <v>3.9154861287373195</v>
      </c>
      <c r="D82" s="14">
        <f t="shared" si="3"/>
        <v>3.9154861287373195</v>
      </c>
      <c r="E82" s="14">
        <f t="shared" si="4"/>
        <v>1</v>
      </c>
      <c r="F82" s="14">
        <f t="shared" si="5"/>
        <v>-5.7107524678950261</v>
      </c>
      <c r="G82" s="14">
        <f t="shared" si="10"/>
        <v>-3.6856880959238993</v>
      </c>
      <c r="H82" s="14">
        <f t="shared" si="11"/>
        <v>-4.3621550876985093</v>
      </c>
      <c r="I82" s="14">
        <f t="shared" si="12"/>
        <v>8.7413085141491962</v>
      </c>
      <c r="J82" s="14">
        <f t="shared" si="6"/>
        <v>10.296678314534603</v>
      </c>
      <c r="K82" s="14">
        <f t="shared" si="13"/>
        <v>49.670590682473978</v>
      </c>
      <c r="L82" s="14">
        <f t="shared" si="14"/>
        <v>13.506741237343093</v>
      </c>
      <c r="M82" s="14">
        <f t="shared" si="15"/>
        <v>2.709989512182315</v>
      </c>
      <c r="N82" s="14">
        <f t="shared" si="7"/>
        <v>3.617161264877133</v>
      </c>
      <c r="O82" s="14">
        <f t="shared" si="8"/>
        <v>3.617161264877133</v>
      </c>
      <c r="P82" s="14">
        <f t="shared" si="1"/>
        <v>1</v>
      </c>
    </row>
    <row r="83" spans="1:16" x14ac:dyDescent="0.25">
      <c r="A83" s="14">
        <f t="shared" si="9"/>
        <v>0.29500000000000015</v>
      </c>
      <c r="B83" s="14">
        <f t="shared" si="0"/>
        <v>2.9693143174296668</v>
      </c>
      <c r="C83" s="14">
        <f t="shared" si="2"/>
        <v>3.9757670102672731</v>
      </c>
      <c r="D83" s="14">
        <f t="shared" si="3"/>
        <v>3.9757670102672731</v>
      </c>
      <c r="E83" s="14">
        <f t="shared" si="4"/>
        <v>1</v>
      </c>
      <c r="F83" s="14">
        <f t="shared" si="5"/>
        <v>-5.6553938244288773</v>
      </c>
      <c r="G83" s="14">
        <f t="shared" si="10"/>
        <v>-3.6600643574683152</v>
      </c>
      <c r="H83" s="14">
        <f t="shared" si="11"/>
        <v>-4.3113116575560086</v>
      </c>
      <c r="I83" s="14">
        <f t="shared" si="12"/>
        <v>8.7230081923618545</v>
      </c>
      <c r="J83" s="14">
        <f t="shared" si="6"/>
        <v>10.226121756246823</v>
      </c>
      <c r="K83" s="14">
        <f t="shared" si="13"/>
        <v>49.535411863833751</v>
      </c>
      <c r="L83" s="14">
        <f t="shared" si="14"/>
        <v>13.441147201693635</v>
      </c>
      <c r="M83" s="14">
        <f t="shared" si="15"/>
        <v>2.7536045531441244</v>
      </c>
      <c r="N83" s="14">
        <f t="shared" si="7"/>
        <v>3.668291873658367</v>
      </c>
      <c r="O83" s="14">
        <f t="shared" si="8"/>
        <v>3.668291873658367</v>
      </c>
      <c r="P83" s="14">
        <f t="shared" si="1"/>
        <v>1</v>
      </c>
    </row>
    <row r="84" spans="1:16" x14ac:dyDescent="0.25">
      <c r="A84" s="14">
        <f t="shared" si="9"/>
        <v>0.30000000000000016</v>
      </c>
      <c r="B84" s="14">
        <f t="shared" si="0"/>
        <v>3.0196416787420342</v>
      </c>
      <c r="C84" s="14">
        <f t="shared" si="2"/>
        <v>4.0358028917972275</v>
      </c>
      <c r="D84" s="14">
        <f t="shared" si="3"/>
        <v>4.0358028917972275</v>
      </c>
      <c r="E84" s="14">
        <f t="shared" si="4"/>
        <v>1</v>
      </c>
      <c r="F84" s="14">
        <f t="shared" si="5"/>
        <v>-5.6005975810254958</v>
      </c>
      <c r="G84" s="14">
        <f t="shared" si="10"/>
        <v>-3.6346643518085711</v>
      </c>
      <c r="H84" s="14">
        <f t="shared" si="11"/>
        <v>-4.2609750426728175</v>
      </c>
      <c r="I84" s="14">
        <f t="shared" si="12"/>
        <v>8.7048348706028111</v>
      </c>
      <c r="J84" s="14">
        <f t="shared" si="6"/>
        <v>10.155816881033459</v>
      </c>
      <c r="K84" s="14">
        <f t="shared" si="13"/>
        <v>49.39919653868472</v>
      </c>
      <c r="L84" s="14">
        <f t="shared" si="14"/>
        <v>13.375902460976114</v>
      </c>
      <c r="M84" s="14">
        <f t="shared" si="15"/>
        <v>2.7971287274971384</v>
      </c>
      <c r="N84" s="14">
        <f t="shared" si="7"/>
        <v>3.7190709580635342</v>
      </c>
      <c r="O84" s="14">
        <f t="shared" si="8"/>
        <v>3.7190709580635342</v>
      </c>
      <c r="P84" s="14">
        <f t="shared" si="1"/>
        <v>1</v>
      </c>
    </row>
    <row r="85" spans="1:16" x14ac:dyDescent="0.25">
      <c r="A85" s="14">
        <f t="shared" si="9"/>
        <v>0.30500000000000016</v>
      </c>
      <c r="B85" s="14">
        <f t="shared" si="0"/>
        <v>3.0699690400544015</v>
      </c>
      <c r="C85" s="14">
        <f t="shared" si="2"/>
        <v>4.095593773327181</v>
      </c>
      <c r="D85" s="14">
        <f t="shared" si="3"/>
        <v>4.095593773327181</v>
      </c>
      <c r="E85" s="14">
        <f t="shared" si="4"/>
        <v>1</v>
      </c>
      <c r="F85" s="14">
        <f t="shared" si="5"/>
        <v>-5.546357766011953</v>
      </c>
      <c r="G85" s="14">
        <f t="shared" si="10"/>
        <v>-3.6094856872106922</v>
      </c>
      <c r="H85" s="14">
        <f t="shared" si="11"/>
        <v>-4.2111396963793855</v>
      </c>
      <c r="I85" s="14">
        <f t="shared" si="12"/>
        <v>8.6867874421667572</v>
      </c>
      <c r="J85" s="14">
        <f t="shared" si="6"/>
        <v>10.085761182551563</v>
      </c>
      <c r="K85" s="14">
        <f t="shared" si="13"/>
        <v>49.261935991953557</v>
      </c>
      <c r="L85" s="14">
        <f t="shared" si="14"/>
        <v>13.311005022042849</v>
      </c>
      <c r="M85" s="14">
        <f t="shared" si="15"/>
        <v>2.840562664707972</v>
      </c>
      <c r="N85" s="14">
        <f t="shared" si="7"/>
        <v>3.7694997639762922</v>
      </c>
      <c r="O85" s="14">
        <f t="shared" si="8"/>
        <v>3.7694997639762922</v>
      </c>
      <c r="P85" s="14">
        <f t="shared" si="1"/>
        <v>1</v>
      </c>
    </row>
    <row r="86" spans="1:16" x14ac:dyDescent="0.25">
      <c r="A86" s="14">
        <f t="shared" si="9"/>
        <v>0.31000000000000016</v>
      </c>
      <c r="B86" s="14">
        <f t="shared" si="0"/>
        <v>3.1202964013667684</v>
      </c>
      <c r="C86" s="14">
        <f t="shared" si="2"/>
        <v>4.1551396548571349</v>
      </c>
      <c r="D86" s="14">
        <f t="shared" si="3"/>
        <v>4.1551396548571349</v>
      </c>
      <c r="E86" s="14">
        <f t="shared" si="4"/>
        <v>1</v>
      </c>
      <c r="F86" s="14">
        <f t="shared" si="5"/>
        <v>-5.4926684956023486</v>
      </c>
      <c r="G86" s="14">
        <f t="shared" si="10"/>
        <v>-3.584526009311114</v>
      </c>
      <c r="H86" s="14">
        <f t="shared" si="11"/>
        <v>-4.1618001503141295</v>
      </c>
      <c r="I86" s="14">
        <f t="shared" si="12"/>
        <v>8.6688648121202014</v>
      </c>
      <c r="J86" s="14">
        <f t="shared" si="6"/>
        <v>10.015952181799992</v>
      </c>
      <c r="K86" s="14">
        <f t="shared" si="13"/>
        <v>49.123621437789055</v>
      </c>
      <c r="L86" s="14">
        <f t="shared" si="14"/>
        <v>13.246452930461039</v>
      </c>
      <c r="M86" s="14">
        <f t="shared" si="15"/>
        <v>2.8839069887685729</v>
      </c>
      <c r="N86" s="14">
        <f t="shared" si="7"/>
        <v>3.8195795248852922</v>
      </c>
      <c r="O86" s="14">
        <f t="shared" si="8"/>
        <v>3.8195795248852922</v>
      </c>
      <c r="P86" s="14">
        <f t="shared" si="1"/>
        <v>1</v>
      </c>
    </row>
    <row r="87" spans="1:16" x14ac:dyDescent="0.25">
      <c r="A87" s="14">
        <f t="shared" si="9"/>
        <v>0.31500000000000017</v>
      </c>
      <c r="B87" s="14">
        <f t="shared" si="0"/>
        <v>3.1706237626791358</v>
      </c>
      <c r="C87" s="14">
        <f t="shared" si="2"/>
        <v>4.2144405363870892</v>
      </c>
      <c r="D87" s="14">
        <f t="shared" si="3"/>
        <v>4.2144405363870892</v>
      </c>
      <c r="E87" s="14">
        <f t="shared" si="4"/>
        <v>1</v>
      </c>
      <c r="F87" s="14">
        <f t="shared" si="5"/>
        <v>-5.4395239724065156</v>
      </c>
      <c r="G87" s="14">
        <f t="shared" si="10"/>
        <v>-3.5597830005226876</v>
      </c>
      <c r="H87" s="14">
        <f t="shared" si="11"/>
        <v>-4.1129510130288267</v>
      </c>
      <c r="I87" s="14">
        <f t="shared" si="12"/>
        <v>8.6510658971175882</v>
      </c>
      <c r="J87" s="14">
        <f t="shared" si="6"/>
        <v>9.946387426734848</v>
      </c>
      <c r="K87" s="14">
        <f t="shared" si="13"/>
        <v>48.984244019573516</v>
      </c>
      <c r="L87" s="14">
        <f t="shared" si="14"/>
        <v>13.18224427019087</v>
      </c>
      <c r="M87" s="14">
        <f t="shared" si="15"/>
        <v>2.9271623182541608</v>
      </c>
      <c r="N87" s="14">
        <f t="shared" si="7"/>
        <v>3.8693114620189664</v>
      </c>
      <c r="O87" s="14">
        <f t="shared" si="8"/>
        <v>3.8693114620189664</v>
      </c>
      <c r="P87" s="14">
        <f t="shared" si="1"/>
        <v>1</v>
      </c>
    </row>
    <row r="88" spans="1:16" x14ac:dyDescent="0.25">
      <c r="A88" s="14">
        <f t="shared" si="9"/>
        <v>0.32000000000000017</v>
      </c>
      <c r="B88" s="14">
        <f t="shared" ref="B88:B151" si="16">IF(E88=0,B87,$B$19*A88)</f>
        <v>3.2209511239915032</v>
      </c>
      <c r="C88" s="14">
        <f t="shared" si="2"/>
        <v>4.273496417917042</v>
      </c>
      <c r="D88" s="14">
        <f t="shared" si="3"/>
        <v>4.273496417917042</v>
      </c>
      <c r="E88" s="14">
        <f t="shared" si="4"/>
        <v>1</v>
      </c>
      <c r="F88" s="14">
        <f t="shared" si="5"/>
        <v>-5.3869184839683806</v>
      </c>
      <c r="G88" s="14">
        <f t="shared" si="10"/>
        <v>-3.5352543794529812</v>
      </c>
      <c r="H88" s="14">
        <f t="shared" si="11"/>
        <v>-4.064586968620393</v>
      </c>
      <c r="I88" s="14">
        <f t="shared" si="12"/>
        <v>8.6333896252203228</v>
      </c>
      <c r="J88" s="14">
        <f t="shared" si="6"/>
        <v>9.8770644918917458</v>
      </c>
      <c r="K88" s="14">
        <f t="shared" si="13"/>
        <v>48.843794809961189</v>
      </c>
      <c r="L88" s="14">
        <f t="shared" si="14"/>
        <v>13.118377163271784</v>
      </c>
      <c r="M88" s="14">
        <f t="shared" si="15"/>
        <v>2.9703292663802623</v>
      </c>
      <c r="N88" s="14">
        <f t="shared" si="7"/>
        <v>3.9186967844784251</v>
      </c>
      <c r="O88" s="14">
        <f t="shared" si="8"/>
        <v>3.9186967844784251</v>
      </c>
      <c r="P88" s="14">
        <f t="shared" si="1"/>
        <v>1</v>
      </c>
    </row>
    <row r="89" spans="1:16" x14ac:dyDescent="0.25">
      <c r="A89" s="14">
        <f t="shared" si="9"/>
        <v>0.32500000000000018</v>
      </c>
      <c r="B89" s="14">
        <f t="shared" si="16"/>
        <v>3.2712784853038706</v>
      </c>
      <c r="C89" s="14">
        <f t="shared" ref="C89:C152" si="17">$B$20*A89+0.5*$B$16*A89^2+$B$17</f>
        <v>4.3323072994469962</v>
      </c>
      <c r="D89" s="14">
        <f t="shared" ref="D89:D152" si="18">IF(E89=1,C89,$B$18)</f>
        <v>4.3323072994469962</v>
      </c>
      <c r="E89" s="14">
        <f t="shared" ref="E89:E152" si="19">IF(AND(C90-C89&lt;0,C89&lt;$B$18),0,1)</f>
        <v>1</v>
      </c>
      <c r="F89" s="14">
        <f t="shared" ref="F89:F152" si="20">-$E$13*L88^2</f>
        <v>-5.3348464013333707</v>
      </c>
      <c r="G89" s="14">
        <f t="shared" si="10"/>
        <v>-3.5109379003346528</v>
      </c>
      <c r="H89" s="14">
        <f t="shared" si="11"/>
        <v>-4.0167027753884543</v>
      </c>
      <c r="I89" s="14">
        <f t="shared" si="12"/>
        <v>8.6158349357186488</v>
      </c>
      <c r="J89" s="14">
        <f t="shared" ref="J89:J152" si="21">J88+(H89+$B$16)*$A$22</f>
        <v>9.807980978014804</v>
      </c>
      <c r="K89" s="14">
        <f t="shared" si="13"/>
        <v>48.702264810945003</v>
      </c>
      <c r="L89" s="14">
        <f t="shared" si="14"/>
        <v>13.054849769516698</v>
      </c>
      <c r="M89" s="14">
        <f t="shared" si="15"/>
        <v>3.0134084410588557</v>
      </c>
      <c r="N89" s="14">
        <f t="shared" si="7"/>
        <v>3.9677366893684991</v>
      </c>
      <c r="O89" s="14">
        <f t="shared" ref="O89:O152" si="22">IF(P89=1,N89,$B$18)</f>
        <v>3.9677366893684991</v>
      </c>
      <c r="P89" s="14">
        <f t="shared" ref="P89:P152" si="23">IF(AND(N90-N89&lt;0,N89&lt;$B$18),0,1)</f>
        <v>1</v>
      </c>
    </row>
    <row r="90" spans="1:16" x14ac:dyDescent="0.25">
      <c r="A90" s="14">
        <f t="shared" ref="A90:A153" si="24">A89+$A$22</f>
        <v>0.33000000000000018</v>
      </c>
      <c r="B90" s="14">
        <f t="shared" si="16"/>
        <v>3.3216058466162375</v>
      </c>
      <c r="C90" s="14">
        <f t="shared" si="17"/>
        <v>4.3908731809769508</v>
      </c>
      <c r="D90" s="14">
        <f t="shared" si="18"/>
        <v>4.3908731809769508</v>
      </c>
      <c r="E90" s="14">
        <f t="shared" si="19"/>
        <v>1</v>
      </c>
      <c r="F90" s="14">
        <f t="shared" si="20"/>
        <v>-5.2833021776441562</v>
      </c>
      <c r="G90" s="14">
        <f t="shared" ref="G90:G153" si="25">$F90*COS(PI()/180*$K89)</f>
        <v>-3.486831352467576</v>
      </c>
      <c r="H90" s="14">
        <f t="shared" ref="H90:H153" si="26">$F90*SIN(PI()/180*$K89)</f>
        <v>-3.969293264518083</v>
      </c>
      <c r="I90" s="14">
        <f t="shared" ref="I90:I153" si="27">I89+G90*$A$22</f>
        <v>8.5984007789563108</v>
      </c>
      <c r="J90" s="14">
        <f t="shared" si="21"/>
        <v>9.7391345116922139</v>
      </c>
      <c r="K90" s="14">
        <f t="shared" ref="K90:K153" si="28">180/PI()*ATAN(J90/I90)</f>
        <v>48.559644953952585</v>
      </c>
      <c r="L90" s="14">
        <f t="shared" ref="L90:L153" si="29">SQRT(I90^2+J90^2)</f>
        <v>12.99166028621403</v>
      </c>
      <c r="M90" s="14">
        <f t="shared" ref="M90:M153" si="30">IF(P90=0,M89,M89+I90*$A$22)</f>
        <v>3.0564004449536375</v>
      </c>
      <c r="N90" s="14">
        <f t="shared" ref="N90:N153" si="31">N89+J90*$A$22</f>
        <v>4.0164323619269604</v>
      </c>
      <c r="O90" s="14">
        <f t="shared" si="22"/>
        <v>4.0164323619269604</v>
      </c>
      <c r="P90" s="14">
        <f t="shared" si="23"/>
        <v>1</v>
      </c>
    </row>
    <row r="91" spans="1:16" x14ac:dyDescent="0.25">
      <c r="A91" s="14">
        <f t="shared" si="24"/>
        <v>0.33500000000000019</v>
      </c>
      <c r="B91" s="14">
        <f t="shared" si="16"/>
        <v>3.3719332079286048</v>
      </c>
      <c r="C91" s="14">
        <f t="shared" si="17"/>
        <v>4.449194062506904</v>
      </c>
      <c r="D91" s="14">
        <f t="shared" si="18"/>
        <v>4.449194062506904</v>
      </c>
      <c r="E91" s="14">
        <f t="shared" si="19"/>
        <v>1</v>
      </c>
      <c r="F91" s="14">
        <f t="shared" si="20"/>
        <v>-5.2322803467641155</v>
      </c>
      <c r="G91" s="14">
        <f t="shared" si="25"/>
        <v>-3.4629325596724727</v>
      </c>
      <c r="H91" s="14">
        <f t="shared" si="26"/>
        <v>-3.9223533387870946</v>
      </c>
      <c r="I91" s="14">
        <f t="shared" si="27"/>
        <v>8.5810861161579481</v>
      </c>
      <c r="J91" s="14">
        <f t="shared" si="21"/>
        <v>9.6705227449982782</v>
      </c>
      <c r="K91" s="14">
        <f t="shared" si="28"/>
        <v>48.415926099972971</v>
      </c>
      <c r="L91" s="14">
        <f t="shared" si="29"/>
        <v>12.928806947837366</v>
      </c>
      <c r="M91" s="14">
        <f t="shared" si="30"/>
        <v>3.0993058755344274</v>
      </c>
      <c r="N91" s="14">
        <f t="shared" si="31"/>
        <v>4.0647849756519516</v>
      </c>
      <c r="O91" s="14">
        <f t="shared" si="22"/>
        <v>4.0647849756519516</v>
      </c>
      <c r="P91" s="14">
        <f t="shared" si="23"/>
        <v>1</v>
      </c>
    </row>
    <row r="92" spans="1:16" x14ac:dyDescent="0.25">
      <c r="A92" s="14">
        <f t="shared" si="24"/>
        <v>0.34000000000000019</v>
      </c>
      <c r="B92" s="14">
        <f t="shared" si="16"/>
        <v>3.4222605692409722</v>
      </c>
      <c r="C92" s="14">
        <f t="shared" si="17"/>
        <v>4.5072699440368575</v>
      </c>
      <c r="D92" s="14">
        <f t="shared" si="18"/>
        <v>4.5072699440368575</v>
      </c>
      <c r="E92" s="14">
        <f t="shared" si="19"/>
        <v>1</v>
      </c>
      <c r="F92" s="14">
        <f t="shared" si="20"/>
        <v>-5.1817755219278796</v>
      </c>
      <c r="G92" s="14">
        <f t="shared" si="25"/>
        <v>-3.4392393797557821</v>
      </c>
      <c r="H92" s="14">
        <f t="shared" si="26"/>
        <v>-3.875877971297343</v>
      </c>
      <c r="I92" s="14">
        <f t="shared" si="27"/>
        <v>8.5638899192591698</v>
      </c>
      <c r="J92" s="14">
        <f t="shared" si="21"/>
        <v>9.6021433551417914</v>
      </c>
      <c r="K92" s="14">
        <f t="shared" si="28"/>
        <v>48.271099039715068</v>
      </c>
      <c r="L92" s="14">
        <f t="shared" si="29"/>
        <v>12.866288025762616</v>
      </c>
      <c r="M92" s="14">
        <f t="shared" si="30"/>
        <v>3.1421253251307233</v>
      </c>
      <c r="N92" s="14">
        <f t="shared" si="31"/>
        <v>4.1127956924276603</v>
      </c>
      <c r="O92" s="14">
        <f t="shared" si="22"/>
        <v>4.1127956924276603</v>
      </c>
      <c r="P92" s="14">
        <f t="shared" si="23"/>
        <v>1</v>
      </c>
    </row>
    <row r="93" spans="1:16" x14ac:dyDescent="0.25">
      <c r="A93" s="14">
        <f t="shared" si="24"/>
        <v>0.3450000000000002</v>
      </c>
      <c r="B93" s="14">
        <f t="shared" si="16"/>
        <v>3.4725879305533396</v>
      </c>
      <c r="C93" s="14">
        <f t="shared" si="17"/>
        <v>4.5651008255668115</v>
      </c>
      <c r="D93" s="14">
        <f t="shared" si="18"/>
        <v>4.5651008255668115</v>
      </c>
      <c r="E93" s="14">
        <f t="shared" si="19"/>
        <v>1</v>
      </c>
      <c r="F93" s="14">
        <f t="shared" si="20"/>
        <v>-5.1317823944183569</v>
      </c>
      <c r="G93" s="14">
        <f t="shared" si="25"/>
        <v>-3.4157497039855156</v>
      </c>
      <c r="H93" s="14">
        <f t="shared" si="26"/>
        <v>-3.8298622042294244</v>
      </c>
      <c r="I93" s="14">
        <f t="shared" si="27"/>
        <v>8.5468111707392413</v>
      </c>
      <c r="J93" s="14">
        <f t="shared" si="21"/>
        <v>9.5339940441206448</v>
      </c>
      <c r="K93" s="14">
        <f t="shared" si="28"/>
        <v>48.125154493799293</v>
      </c>
      <c r="L93" s="14">
        <f t="shared" si="29"/>
        <v>12.804101827992506</v>
      </c>
      <c r="M93" s="14">
        <f t="shared" si="30"/>
        <v>3.1848593809844195</v>
      </c>
      <c r="N93" s="14">
        <f t="shared" si="31"/>
        <v>4.1604656626482637</v>
      </c>
      <c r="O93" s="14">
        <f t="shared" si="22"/>
        <v>4.1604656626482637</v>
      </c>
      <c r="P93" s="14">
        <f t="shared" si="23"/>
        <v>1</v>
      </c>
    </row>
    <row r="94" spans="1:16" x14ac:dyDescent="0.25">
      <c r="A94" s="14">
        <f t="shared" si="24"/>
        <v>0.3500000000000002</v>
      </c>
      <c r="B94" s="14">
        <f t="shared" si="16"/>
        <v>3.5229152918657065</v>
      </c>
      <c r="C94" s="14">
        <f t="shared" si="17"/>
        <v>4.622686707096765</v>
      </c>
      <c r="D94" s="14">
        <f t="shared" si="18"/>
        <v>4.622686707096765</v>
      </c>
      <c r="E94" s="14">
        <f t="shared" si="19"/>
        <v>1</v>
      </c>
      <c r="F94" s="14">
        <f t="shared" si="20"/>
        <v>-5.0822957322696318</v>
      </c>
      <c r="G94" s="14">
        <f t="shared" si="25"/>
        <v>-3.3924614565778417</v>
      </c>
      <c r="H94" s="14">
        <f t="shared" si="26"/>
        <v>-3.7843011476202397</v>
      </c>
      <c r="I94" s="14">
        <f t="shared" si="27"/>
        <v>8.529848863456353</v>
      </c>
      <c r="J94" s="14">
        <f t="shared" si="21"/>
        <v>9.4660725383825444</v>
      </c>
      <c r="K94" s="14">
        <f t="shared" si="28"/>
        <v>47.978083112983619</v>
      </c>
      <c r="L94" s="14">
        <f t="shared" si="29"/>
        <v>12.742246698888222</v>
      </c>
      <c r="M94" s="14">
        <f t="shared" si="30"/>
        <v>3.2275086253017014</v>
      </c>
      <c r="N94" s="14">
        <f t="shared" si="31"/>
        <v>4.2077960253401763</v>
      </c>
      <c r="O94" s="14">
        <f t="shared" si="22"/>
        <v>4.2077960253401763</v>
      </c>
      <c r="P94" s="14">
        <f t="shared" si="23"/>
        <v>1</v>
      </c>
    </row>
    <row r="95" spans="1:16" x14ac:dyDescent="0.25">
      <c r="A95" s="14">
        <f t="shared" si="24"/>
        <v>0.3550000000000002</v>
      </c>
      <c r="B95" s="14">
        <f t="shared" si="16"/>
        <v>3.5732426531780739</v>
      </c>
      <c r="C95" s="14">
        <f t="shared" si="17"/>
        <v>4.6800275886267197</v>
      </c>
      <c r="D95" s="14">
        <f t="shared" si="18"/>
        <v>4.6800275886267197</v>
      </c>
      <c r="E95" s="14">
        <f t="shared" si="19"/>
        <v>1</v>
      </c>
      <c r="F95" s="14">
        <f t="shared" si="20"/>
        <v>-5.0333103789951608</v>
      </c>
      <c r="G95" s="14">
        <f t="shared" si="25"/>
        <v>-3.3693725941941568</v>
      </c>
      <c r="H95" s="14">
        <f t="shared" si="26"/>
        <v>-3.7391899781628837</v>
      </c>
      <c r="I95" s="14">
        <f t="shared" si="27"/>
        <v>8.5130020004853826</v>
      </c>
      <c r="J95" s="14">
        <f t="shared" si="21"/>
        <v>9.3983765884917307</v>
      </c>
      <c r="K95" s="14">
        <f t="shared" si="28"/>
        <v>47.8298754784254</v>
      </c>
      <c r="L95" s="14">
        <f t="shared" si="29"/>
        <v>12.680721018908097</v>
      </c>
      <c r="M95" s="14">
        <f t="shared" si="30"/>
        <v>3.2700736353041284</v>
      </c>
      <c r="N95" s="14">
        <f t="shared" si="31"/>
        <v>4.2547879082826352</v>
      </c>
      <c r="O95" s="14">
        <f t="shared" si="22"/>
        <v>4.2547879082826352</v>
      </c>
      <c r="P95" s="14">
        <f t="shared" si="23"/>
        <v>1</v>
      </c>
    </row>
    <row r="96" spans="1:16" x14ac:dyDescent="0.25">
      <c r="A96" s="14">
        <f t="shared" si="24"/>
        <v>0.36000000000000021</v>
      </c>
      <c r="B96" s="14">
        <f t="shared" si="16"/>
        <v>3.6235700144904412</v>
      </c>
      <c r="C96" s="14">
        <f t="shared" si="17"/>
        <v>4.7371234701566731</v>
      </c>
      <c r="D96" s="14">
        <f t="shared" si="18"/>
        <v>4.7371234701566731</v>
      </c>
      <c r="E96" s="14">
        <f t="shared" si="19"/>
        <v>1</v>
      </c>
      <c r="F96" s="14">
        <f t="shared" si="20"/>
        <v>-4.9848212523407058</v>
      </c>
      <c r="G96" s="14">
        <f t="shared" si="25"/>
        <v>-3.3464811054484116</v>
      </c>
      <c r="H96" s="14">
        <f t="shared" si="26"/>
        <v>-3.6945239380283268</v>
      </c>
      <c r="I96" s="14">
        <f t="shared" si="27"/>
        <v>8.4962695949581413</v>
      </c>
      <c r="J96" s="14">
        <f t="shared" si="21"/>
        <v>9.3309039688015893</v>
      </c>
      <c r="K96" s="14">
        <f t="shared" si="28"/>
        <v>47.680522101980394</v>
      </c>
      <c r="L96" s="14">
        <f t="shared" si="29"/>
        <v>12.619523204353143</v>
      </c>
      <c r="M96" s="14">
        <f t="shared" si="30"/>
        <v>3.3125549832789192</v>
      </c>
      <c r="N96" s="14">
        <f t="shared" si="31"/>
        <v>4.3014424281266432</v>
      </c>
      <c r="O96" s="14">
        <f t="shared" si="22"/>
        <v>4.3014424281266432</v>
      </c>
      <c r="P96" s="14">
        <f t="shared" si="23"/>
        <v>1</v>
      </c>
    </row>
    <row r="97" spans="1:16" x14ac:dyDescent="0.25">
      <c r="A97" s="14">
        <f t="shared" si="24"/>
        <v>0.36500000000000021</v>
      </c>
      <c r="B97" s="14">
        <f t="shared" si="16"/>
        <v>3.6738973758028086</v>
      </c>
      <c r="C97" s="14">
        <f t="shared" si="17"/>
        <v>4.7939743516866269</v>
      </c>
      <c r="D97" s="14">
        <f t="shared" si="18"/>
        <v>4.7939743516866269</v>
      </c>
      <c r="E97" s="14">
        <f t="shared" si="19"/>
        <v>1</v>
      </c>
      <c r="F97" s="14">
        <f t="shared" si="20"/>
        <v>-4.9368233430614303</v>
      </c>
      <c r="G97" s="14">
        <f t="shared" si="25"/>
        <v>-3.3237850104244449</v>
      </c>
      <c r="H97" s="14">
        <f t="shared" si="26"/>
        <v>-3.6502983337083577</v>
      </c>
      <c r="I97" s="14">
        <f t="shared" si="27"/>
        <v>8.4796506699060199</v>
      </c>
      <c r="J97" s="14">
        <f t="shared" si="21"/>
        <v>9.2636524771330482</v>
      </c>
      <c r="K97" s="14">
        <f t="shared" si="28"/>
        <v>47.530013426540393</v>
      </c>
      <c r="L97" s="14">
        <f t="shared" si="29"/>
        <v>12.558651707119315</v>
      </c>
      <c r="M97" s="14">
        <f t="shared" si="30"/>
        <v>3.3549532366284494</v>
      </c>
      <c r="N97" s="14">
        <f t="shared" si="31"/>
        <v>4.3477606905123087</v>
      </c>
      <c r="O97" s="14">
        <f t="shared" si="22"/>
        <v>4.3477606905123087</v>
      </c>
      <c r="P97" s="14">
        <f t="shared" si="23"/>
        <v>1</v>
      </c>
    </row>
    <row r="98" spans="1:16" x14ac:dyDescent="0.25">
      <c r="A98" s="14">
        <f t="shared" si="24"/>
        <v>0.37000000000000022</v>
      </c>
      <c r="B98" s="14">
        <f t="shared" si="16"/>
        <v>3.7242247371151755</v>
      </c>
      <c r="C98" s="14">
        <f t="shared" si="17"/>
        <v>4.850580233216581</v>
      </c>
      <c r="D98" s="14">
        <f t="shared" si="18"/>
        <v>4.850580233216581</v>
      </c>
      <c r="E98" s="14">
        <f t="shared" si="19"/>
        <v>1</v>
      </c>
      <c r="F98" s="14">
        <f t="shared" si="20"/>
        <v>-4.889311713722658</v>
      </c>
      <c r="G98" s="14">
        <f t="shared" si="25"/>
        <v>-3.3012823602031118</v>
      </c>
      <c r="H98" s="14">
        <f t="shared" si="26"/>
        <v>-3.606508534879318</v>
      </c>
      <c r="I98" s="14">
        <f t="shared" si="27"/>
        <v>8.4631442581050038</v>
      </c>
      <c r="J98" s="14">
        <f t="shared" si="21"/>
        <v>9.196619934458651</v>
      </c>
      <c r="K98" s="14">
        <f t="shared" si="28"/>
        <v>47.378339826410922</v>
      </c>
      <c r="L98" s="14">
        <f t="shared" si="29"/>
        <v>12.498105014456309</v>
      </c>
      <c r="M98" s="14">
        <f t="shared" si="30"/>
        <v>3.3972689579189743</v>
      </c>
      <c r="N98" s="14">
        <f t="shared" si="31"/>
        <v>4.3937437901846019</v>
      </c>
      <c r="O98" s="14">
        <f t="shared" si="22"/>
        <v>4.3937437901846019</v>
      </c>
      <c r="P98" s="14">
        <f t="shared" si="23"/>
        <v>1</v>
      </c>
    </row>
    <row r="99" spans="1:16" x14ac:dyDescent="0.25">
      <c r="A99" s="14">
        <f t="shared" si="24"/>
        <v>0.37500000000000022</v>
      </c>
      <c r="B99" s="14">
        <f t="shared" si="16"/>
        <v>3.7745520984275429</v>
      </c>
      <c r="C99" s="14">
        <f t="shared" si="17"/>
        <v>4.9069411147465338</v>
      </c>
      <c r="D99" s="14">
        <f t="shared" si="18"/>
        <v>4.9069411147465338</v>
      </c>
      <c r="E99" s="14">
        <f t="shared" si="19"/>
        <v>1</v>
      </c>
      <c r="F99" s="14">
        <f t="shared" si="20"/>
        <v>-4.8422814975237154</v>
      </c>
      <c r="G99" s="14">
        <f t="shared" si="25"/>
        <v>-3.2789712363989669</v>
      </c>
      <c r="H99" s="14">
        <f t="shared" si="26"/>
        <v>-3.5631499732861016</v>
      </c>
      <c r="I99" s="14">
        <f t="shared" si="27"/>
        <v>8.4467494019230092</v>
      </c>
      <c r="J99" s="14">
        <f t="shared" si="21"/>
        <v>9.1298041845922207</v>
      </c>
      <c r="K99" s="14">
        <f t="shared" si="28"/>
        <v>47.225491607730525</v>
      </c>
      <c r="L99" s="14">
        <f t="shared" si="29"/>
        <v>12.437881648732807</v>
      </c>
      <c r="M99" s="14">
        <f t="shared" si="30"/>
        <v>3.4395027049285893</v>
      </c>
      <c r="N99" s="14">
        <f t="shared" si="31"/>
        <v>4.4393928111075631</v>
      </c>
      <c r="O99" s="14">
        <f t="shared" si="22"/>
        <v>4.4393928111075631</v>
      </c>
      <c r="P99" s="14">
        <f t="shared" si="23"/>
        <v>1</v>
      </c>
    </row>
    <row r="100" spans="1:16" x14ac:dyDescent="0.25">
      <c r="A100" s="14">
        <f t="shared" si="24"/>
        <v>0.38000000000000023</v>
      </c>
      <c r="B100" s="14">
        <f t="shared" si="16"/>
        <v>3.8248794597399103</v>
      </c>
      <c r="C100" s="14">
        <f t="shared" si="17"/>
        <v>4.9630569962764879</v>
      </c>
      <c r="D100" s="14">
        <f t="shared" si="18"/>
        <v>4.9630569962764879</v>
      </c>
      <c r="E100" s="14">
        <f t="shared" si="19"/>
        <v>1</v>
      </c>
      <c r="F100" s="14">
        <f t="shared" si="20"/>
        <v>-4.7957278971444142</v>
      </c>
      <c r="G100" s="14">
        <f t="shared" si="25"/>
        <v>-3.256849750706313</v>
      </c>
      <c r="H100" s="14">
        <f t="shared" si="26"/>
        <v>-3.5202181416459708</v>
      </c>
      <c r="I100" s="14">
        <f t="shared" si="27"/>
        <v>8.430465153169477</v>
      </c>
      <c r="J100" s="14">
        <f t="shared" si="21"/>
        <v>9.06320309388399</v>
      </c>
      <c r="K100" s="14">
        <f t="shared" si="28"/>
        <v>47.071459008933218</v>
      </c>
      <c r="L100" s="14">
        <f t="shared" si="29"/>
        <v>12.377980167207944</v>
      </c>
      <c r="M100" s="14">
        <f t="shared" si="30"/>
        <v>3.4816550306944367</v>
      </c>
      <c r="N100" s="14">
        <f t="shared" si="31"/>
        <v>4.4847088265769832</v>
      </c>
      <c r="O100" s="14">
        <f t="shared" si="22"/>
        <v>4.4847088265769832</v>
      </c>
      <c r="P100" s="14">
        <f t="shared" si="23"/>
        <v>1</v>
      </c>
    </row>
    <row r="101" spans="1:16" x14ac:dyDescent="0.25">
      <c r="A101" s="14">
        <f t="shared" si="24"/>
        <v>0.38500000000000023</v>
      </c>
      <c r="B101" s="14">
        <f t="shared" si="16"/>
        <v>3.8752068210522777</v>
      </c>
      <c r="C101" s="14">
        <f t="shared" si="17"/>
        <v>5.0189278778064423</v>
      </c>
      <c r="D101" s="14">
        <f t="shared" si="18"/>
        <v>5.0189278778064423</v>
      </c>
      <c r="E101" s="14">
        <f t="shared" si="19"/>
        <v>1</v>
      </c>
      <c r="F101" s="14">
        <f t="shared" si="20"/>
        <v>-4.7496461836135895</v>
      </c>
      <c r="G101" s="14">
        <f t="shared" si="25"/>
        <v>-3.2349160444543537</v>
      </c>
      <c r="H101" s="14">
        <f t="shared" si="26"/>
        <v>-3.4777085925716853</v>
      </c>
      <c r="I101" s="14">
        <f t="shared" si="27"/>
        <v>8.4142905729472055</v>
      </c>
      <c r="J101" s="14">
        <f t="shared" si="21"/>
        <v>8.9968145509211315</v>
      </c>
      <c r="K101" s="14">
        <f t="shared" si="28"/>
        <v>46.916232201255681</v>
      </c>
      <c r="L101" s="14">
        <f t="shared" si="29"/>
        <v>12.318399161808909</v>
      </c>
      <c r="M101" s="14">
        <f t="shared" si="30"/>
        <v>3.5237264835591726</v>
      </c>
      <c r="N101" s="14">
        <f t="shared" si="31"/>
        <v>4.5296928993315886</v>
      </c>
      <c r="O101" s="14">
        <f t="shared" si="22"/>
        <v>4.5296928993315886</v>
      </c>
      <c r="P101" s="14">
        <f t="shared" si="23"/>
        <v>1</v>
      </c>
    </row>
    <row r="102" spans="1:16" x14ac:dyDescent="0.25">
      <c r="A102" s="14">
        <f t="shared" si="24"/>
        <v>0.39000000000000024</v>
      </c>
      <c r="B102" s="14">
        <f t="shared" si="16"/>
        <v>3.9255341823646446</v>
      </c>
      <c r="C102" s="14">
        <f t="shared" si="17"/>
        <v>5.0745537593363963</v>
      </c>
      <c r="D102" s="14">
        <f t="shared" si="18"/>
        <v>5.0745537593363963</v>
      </c>
      <c r="E102" s="14">
        <f t="shared" si="19"/>
        <v>1</v>
      </c>
      <c r="F102" s="14">
        <f t="shared" si="20"/>
        <v>-4.7040316951992871</v>
      </c>
      <c r="G102" s="14">
        <f t="shared" si="25"/>
        <v>-3.2131682881712931</v>
      </c>
      <c r="H102" s="14">
        <f t="shared" si="26"/>
        <v>-3.4356169375135295</v>
      </c>
      <c r="I102" s="14">
        <f t="shared" si="27"/>
        <v>8.3982247315063496</v>
      </c>
      <c r="J102" s="14">
        <f t="shared" si="21"/>
        <v>8.9306364662335636</v>
      </c>
      <c r="K102" s="14">
        <f t="shared" si="28"/>
        <v>46.759801289290792</v>
      </c>
      <c r="L102" s="14">
        <f t="shared" si="29"/>
        <v>12.259137258914494</v>
      </c>
      <c r="M102" s="14">
        <f t="shared" si="30"/>
        <v>3.5657176072167043</v>
      </c>
      <c r="N102" s="14">
        <f t="shared" si="31"/>
        <v>4.5743460816627568</v>
      </c>
      <c r="O102" s="14">
        <f t="shared" si="22"/>
        <v>4.5743460816627568</v>
      </c>
      <c r="P102" s="14">
        <f t="shared" si="23"/>
        <v>1</v>
      </c>
    </row>
    <row r="103" spans="1:16" x14ac:dyDescent="0.25">
      <c r="A103" s="14">
        <f t="shared" si="24"/>
        <v>0.39500000000000024</v>
      </c>
      <c r="B103" s="14">
        <f t="shared" si="16"/>
        <v>3.9758615436770119</v>
      </c>
      <c r="C103" s="14">
        <f t="shared" si="17"/>
        <v>5.1299346408663498</v>
      </c>
      <c r="D103" s="14">
        <f t="shared" si="18"/>
        <v>5.1299346408663498</v>
      </c>
      <c r="E103" s="14">
        <f t="shared" si="19"/>
        <v>1</v>
      </c>
      <c r="F103" s="14">
        <f t="shared" si="20"/>
        <v>-4.6588798363200725</v>
      </c>
      <c r="G103" s="14">
        <f t="shared" si="25"/>
        <v>-3.1916046811571457</v>
      </c>
      <c r="H103" s="14">
        <f t="shared" si="26"/>
        <v>-3.3939388457197541</v>
      </c>
      <c r="I103" s="14">
        <f t="shared" si="27"/>
        <v>8.3822667081005644</v>
      </c>
      <c r="J103" s="14">
        <f t="shared" si="21"/>
        <v>8.8646667720049646</v>
      </c>
      <c r="K103" s="14">
        <f t="shared" si="28"/>
        <v>46.602156311589233</v>
      </c>
      <c r="L103" s="14">
        <f t="shared" si="29"/>
        <v>12.200193119144467</v>
      </c>
      <c r="M103" s="14">
        <f t="shared" si="30"/>
        <v>3.6076289407572073</v>
      </c>
      <c r="N103" s="14">
        <f t="shared" si="31"/>
        <v>4.6186694155227812</v>
      </c>
      <c r="O103" s="14">
        <f t="shared" si="22"/>
        <v>4.6186694155227812</v>
      </c>
      <c r="P103" s="14">
        <f t="shared" si="23"/>
        <v>1</v>
      </c>
    </row>
    <row r="104" spans="1:16" x14ac:dyDescent="0.25">
      <c r="A104" s="14">
        <f t="shared" si="24"/>
        <v>0.40000000000000024</v>
      </c>
      <c r="B104" s="14">
        <f t="shared" si="16"/>
        <v>4.0261889049893789</v>
      </c>
      <c r="C104" s="14">
        <f t="shared" si="17"/>
        <v>5.1850705223963036</v>
      </c>
      <c r="D104" s="14">
        <f t="shared" si="18"/>
        <v>5.1850705223963036</v>
      </c>
      <c r="E104" s="14">
        <f t="shared" si="19"/>
        <v>1</v>
      </c>
      <c r="F104" s="14">
        <f t="shared" si="20"/>
        <v>-4.6141860764770204</v>
      </c>
      <c r="G104" s="14">
        <f t="shared" si="25"/>
        <v>-3.1702234510650702</v>
      </c>
      <c r="H104" s="14">
        <f t="shared" si="26"/>
        <v>-3.3526700432150309</v>
      </c>
      <c r="I104" s="14">
        <f t="shared" si="27"/>
        <v>8.3664155908452393</v>
      </c>
      <c r="J104" s="14">
        <f t="shared" si="21"/>
        <v>8.7989034217888893</v>
      </c>
      <c r="K104" s="14">
        <f t="shared" si="28"/>
        <v>46.443287241310856</v>
      </c>
      <c r="L104" s="14">
        <f t="shared" si="29"/>
        <v>12.141565437154574</v>
      </c>
      <c r="M104" s="14">
        <f t="shared" si="30"/>
        <v>3.6494610187114334</v>
      </c>
      <c r="N104" s="14">
        <f t="shared" si="31"/>
        <v>4.6626639326317258</v>
      </c>
      <c r="O104" s="14">
        <f t="shared" si="22"/>
        <v>4.6626639326317258</v>
      </c>
      <c r="P104" s="14">
        <f t="shared" si="23"/>
        <v>1</v>
      </c>
    </row>
    <row r="105" spans="1:16" x14ac:dyDescent="0.25">
      <c r="A105" s="14">
        <f t="shared" si="24"/>
        <v>0.40500000000000025</v>
      </c>
      <c r="B105" s="14">
        <f t="shared" si="16"/>
        <v>4.0765162663017467</v>
      </c>
      <c r="C105" s="14">
        <f t="shared" si="17"/>
        <v>5.239961403926257</v>
      </c>
      <c r="D105" s="14">
        <f t="shared" si="18"/>
        <v>5.239961403926257</v>
      </c>
      <c r="E105" s="14">
        <f t="shared" si="19"/>
        <v>1</v>
      </c>
      <c r="F105" s="14">
        <f t="shared" si="20"/>
        <v>-4.5699459492059029</v>
      </c>
      <c r="G105" s="14">
        <f t="shared" si="25"/>
        <v>-3.1490228534910099</v>
      </c>
      <c r="H105" s="14">
        <f t="shared" si="26"/>
        <v>-3.3118063117964462</v>
      </c>
      <c r="I105" s="14">
        <f t="shared" si="27"/>
        <v>8.3506704765777844</v>
      </c>
      <c r="J105" s="14">
        <f t="shared" si="21"/>
        <v>8.7333443902299077</v>
      </c>
      <c r="K105" s="14">
        <f t="shared" si="28"/>
        <v>46.283183986927611</v>
      </c>
      <c r="L105" s="14">
        <f t="shared" si="29"/>
        <v>12.083252941437088</v>
      </c>
      <c r="M105" s="14">
        <f t="shared" si="30"/>
        <v>3.6912143710943224</v>
      </c>
      <c r="N105" s="14">
        <f t="shared" si="31"/>
        <v>4.7063306545828754</v>
      </c>
      <c r="O105" s="14">
        <f t="shared" si="22"/>
        <v>4.7063306545828754</v>
      </c>
      <c r="P105" s="14">
        <f t="shared" si="23"/>
        <v>1</v>
      </c>
    </row>
    <row r="106" spans="1:16" x14ac:dyDescent="0.25">
      <c r="A106" s="14">
        <f t="shared" si="24"/>
        <v>0.41000000000000025</v>
      </c>
      <c r="B106" s="14">
        <f t="shared" si="16"/>
        <v>4.1268436276141136</v>
      </c>
      <c r="C106" s="14">
        <f t="shared" si="17"/>
        <v>5.2946072854562107</v>
      </c>
      <c r="D106" s="14">
        <f t="shared" si="18"/>
        <v>5.2946072854562107</v>
      </c>
      <c r="E106" s="14">
        <f t="shared" si="19"/>
        <v>1</v>
      </c>
      <c r="F106" s="14">
        <f t="shared" si="20"/>
        <v>-4.526155051049189</v>
      </c>
      <c r="G106" s="14">
        <f t="shared" si="25"/>
        <v>-3.128001171571491</v>
      </c>
      <c r="H106" s="14">
        <f t="shared" si="26"/>
        <v>-3.2713434880466874</v>
      </c>
      <c r="I106" s="14">
        <f t="shared" si="27"/>
        <v>8.3350304707199268</v>
      </c>
      <c r="J106" s="14">
        <f t="shared" si="21"/>
        <v>8.6679876727896747</v>
      </c>
      <c r="K106" s="14">
        <f t="shared" si="28"/>
        <v>46.121836392979773</v>
      </c>
      <c r="L106" s="14">
        <f t="shared" si="29"/>
        <v>12.025254394126696</v>
      </c>
      <c r="M106" s="14">
        <f t="shared" si="30"/>
        <v>3.732889523447922</v>
      </c>
      <c r="N106" s="14">
        <f t="shared" si="31"/>
        <v>4.7496705929468241</v>
      </c>
      <c r="O106" s="14">
        <f t="shared" si="22"/>
        <v>4.7496705929468241</v>
      </c>
      <c r="P106" s="14">
        <f t="shared" si="23"/>
        <v>1</v>
      </c>
    </row>
    <row r="107" spans="1:16" x14ac:dyDescent="0.25">
      <c r="A107" s="14">
        <f t="shared" si="24"/>
        <v>0.41500000000000026</v>
      </c>
      <c r="B107" s="14">
        <f t="shared" si="16"/>
        <v>4.1771709889264805</v>
      </c>
      <c r="C107" s="14">
        <f t="shared" si="17"/>
        <v>5.3490081669861649</v>
      </c>
      <c r="D107" s="14">
        <f t="shared" si="18"/>
        <v>5.3490081669861649</v>
      </c>
      <c r="E107" s="14">
        <f t="shared" si="19"/>
        <v>1</v>
      </c>
      <c r="F107" s="14">
        <f t="shared" si="20"/>
        <v>-4.4828090405473651</v>
      </c>
      <c r="G107" s="14">
        <f t="shared" si="25"/>
        <v>-3.1071567155893449</v>
      </c>
      <c r="H107" s="14">
        <f t="shared" si="26"/>
        <v>-3.231277462363952</v>
      </c>
      <c r="I107" s="14">
        <f t="shared" si="27"/>
        <v>8.3194946871419795</v>
      </c>
      <c r="J107" s="14">
        <f t="shared" si="21"/>
        <v>8.6028312854778548</v>
      </c>
      <c r="K107" s="14">
        <f t="shared" si="28"/>
        <v>45.959234240887376</v>
      </c>
      <c r="L107" s="14">
        <f t="shared" si="29"/>
        <v>11.967568590811593</v>
      </c>
      <c r="M107" s="14">
        <f t="shared" si="30"/>
        <v>3.7744869968836321</v>
      </c>
      <c r="N107" s="14">
        <f t="shared" si="31"/>
        <v>4.7926847493742137</v>
      </c>
      <c r="O107" s="14">
        <f t="shared" si="22"/>
        <v>4.7926847493742137</v>
      </c>
      <c r="P107" s="14">
        <f t="shared" si="23"/>
        <v>1</v>
      </c>
    </row>
    <row r="108" spans="1:16" x14ac:dyDescent="0.25">
      <c r="A108" s="14">
        <f t="shared" si="24"/>
        <v>0.42000000000000026</v>
      </c>
      <c r="B108" s="14">
        <f t="shared" si="16"/>
        <v>4.2274983502388483</v>
      </c>
      <c r="C108" s="14">
        <f t="shared" si="17"/>
        <v>5.4031640485161185</v>
      </c>
      <c r="D108" s="14">
        <f t="shared" si="18"/>
        <v>5.4031640485161185</v>
      </c>
      <c r="E108" s="14">
        <f t="shared" si="19"/>
        <v>1</v>
      </c>
      <c r="F108" s="14">
        <f t="shared" si="20"/>
        <v>-4.439903637249186</v>
      </c>
      <c r="G108" s="14">
        <f t="shared" si="25"/>
        <v>-3.0864878225871926</v>
      </c>
      <c r="H108" s="14">
        <f t="shared" si="26"/>
        <v>-3.1916041780082192</v>
      </c>
      <c r="I108" s="14">
        <f t="shared" si="27"/>
        <v>8.3040622480290427</v>
      </c>
      <c r="J108" s="14">
        <f t="shared" si="21"/>
        <v>8.5378732645878141</v>
      </c>
      <c r="K108" s="14">
        <f t="shared" si="28"/>
        <v>45.795367249818824</v>
      </c>
      <c r="L108" s="14">
        <f t="shared" si="29"/>
        <v>11.910194360349648</v>
      </c>
      <c r="M108" s="14">
        <f t="shared" si="30"/>
        <v>3.8160073081237771</v>
      </c>
      <c r="N108" s="14">
        <f t="shared" si="31"/>
        <v>4.835374115697153</v>
      </c>
      <c r="O108" s="14">
        <f t="shared" si="22"/>
        <v>4.835374115697153</v>
      </c>
      <c r="P108" s="14">
        <f t="shared" si="23"/>
        <v>1</v>
      </c>
    </row>
    <row r="109" spans="1:16" x14ac:dyDescent="0.25">
      <c r="A109" s="14">
        <f t="shared" si="24"/>
        <v>0.42500000000000027</v>
      </c>
      <c r="B109" s="14">
        <f t="shared" si="16"/>
        <v>4.2778257115512153</v>
      </c>
      <c r="C109" s="14">
        <f t="shared" si="17"/>
        <v>5.4570749300460726</v>
      </c>
      <c r="D109" s="14">
        <f t="shared" si="18"/>
        <v>5.4570749300460726</v>
      </c>
      <c r="E109" s="14">
        <f t="shared" si="19"/>
        <v>1</v>
      </c>
      <c r="F109" s="14">
        <f t="shared" si="20"/>
        <v>-4.3974346207404409</v>
      </c>
      <c r="G109" s="14">
        <f t="shared" si="25"/>
        <v>-3.0659928559885055</v>
      </c>
      <c r="H109" s="14">
        <f t="shared" si="26"/>
        <v>-3.1523196301634884</v>
      </c>
      <c r="I109" s="14">
        <f t="shared" si="27"/>
        <v>8.2887322837491002</v>
      </c>
      <c r="J109" s="14">
        <f t="shared" si="21"/>
        <v>8.4731116664369974</v>
      </c>
      <c r="K109" s="14">
        <f t="shared" si="28"/>
        <v>45.630225077618356</v>
      </c>
      <c r="L109" s="14">
        <f t="shared" si="29"/>
        <v>11.853130564689454</v>
      </c>
      <c r="M109" s="14">
        <f t="shared" si="30"/>
        <v>3.8574509695425228</v>
      </c>
      <c r="N109" s="14">
        <f t="shared" si="31"/>
        <v>4.8777396740293382</v>
      </c>
      <c r="O109" s="14">
        <f t="shared" si="22"/>
        <v>4.8777396740293382</v>
      </c>
      <c r="P109" s="14">
        <f t="shared" si="23"/>
        <v>1</v>
      </c>
    </row>
    <row r="110" spans="1:16" x14ac:dyDescent="0.25">
      <c r="A110" s="14">
        <f t="shared" si="24"/>
        <v>0.43000000000000027</v>
      </c>
      <c r="B110" s="14">
        <f t="shared" si="16"/>
        <v>4.3281530728635831</v>
      </c>
      <c r="C110" s="14">
        <f t="shared" si="17"/>
        <v>5.5107408115760261</v>
      </c>
      <c r="D110" s="14">
        <f t="shared" si="18"/>
        <v>5.5107408115760261</v>
      </c>
      <c r="E110" s="14">
        <f t="shared" si="19"/>
        <v>1</v>
      </c>
      <c r="F110" s="14">
        <f t="shared" si="20"/>
        <v>-4.3553978296908351</v>
      </c>
      <c r="G110" s="14">
        <f t="shared" si="25"/>
        <v>-3.0456702052260747</v>
      </c>
      <c r="H110" s="14">
        <f t="shared" si="26"/>
        <v>-3.1134198650156062</v>
      </c>
      <c r="I110" s="14">
        <f t="shared" si="27"/>
        <v>8.2735039327229707</v>
      </c>
      <c r="J110" s="14">
        <f t="shared" si="21"/>
        <v>8.4085445671119192</v>
      </c>
      <c r="K110" s="14">
        <f t="shared" si="28"/>
        <v>45.463797321794694</v>
      </c>
      <c r="L110" s="14">
        <f t="shared" si="29"/>
        <v>11.79637609869615</v>
      </c>
      <c r="M110" s="14">
        <f t="shared" si="30"/>
        <v>3.8988184892061377</v>
      </c>
      <c r="N110" s="14">
        <f t="shared" si="31"/>
        <v>4.9197823968648979</v>
      </c>
      <c r="O110" s="14">
        <f t="shared" si="22"/>
        <v>4.9197823968648979</v>
      </c>
      <c r="P110" s="14">
        <f t="shared" si="23"/>
        <v>1</v>
      </c>
    </row>
    <row r="111" spans="1:16" x14ac:dyDescent="0.25">
      <c r="A111" s="14">
        <f t="shared" si="24"/>
        <v>0.43500000000000028</v>
      </c>
      <c r="B111" s="14">
        <f t="shared" si="16"/>
        <v>4.37848043417595</v>
      </c>
      <c r="C111" s="14">
        <f t="shared" si="17"/>
        <v>5.5641616931059801</v>
      </c>
      <c r="D111" s="14">
        <f t="shared" si="18"/>
        <v>5.5641616931059801</v>
      </c>
      <c r="E111" s="14">
        <f t="shared" si="19"/>
        <v>1</v>
      </c>
      <c r="F111" s="14">
        <f t="shared" si="20"/>
        <v>-4.3137891609185841</v>
      </c>
      <c r="G111" s="14">
        <f t="shared" si="25"/>
        <v>-3.0255182853776974</v>
      </c>
      <c r="H111" s="14">
        <f t="shared" si="26"/>
        <v>-3.0749009788453123</v>
      </c>
      <c r="I111" s="14">
        <f t="shared" si="27"/>
        <v>8.2583763412960813</v>
      </c>
      <c r="J111" s="14">
        <f t="shared" si="21"/>
        <v>8.3441700622176924</v>
      </c>
      <c r="K111" s="14">
        <f t="shared" si="28"/>
        <v>45.296073520572698</v>
      </c>
      <c r="L111" s="14">
        <f t="shared" si="29"/>
        <v>11.739929889981834</v>
      </c>
      <c r="M111" s="14">
        <f t="shared" si="30"/>
        <v>3.9401103709126182</v>
      </c>
      <c r="N111" s="14">
        <f t="shared" si="31"/>
        <v>4.9615032471759868</v>
      </c>
      <c r="O111" s="14">
        <f t="shared" si="22"/>
        <v>4.9615032471759868</v>
      </c>
      <c r="P111" s="14">
        <f t="shared" si="23"/>
        <v>1</v>
      </c>
    </row>
    <row r="112" spans="1:16" x14ac:dyDescent="0.25">
      <c r="A112" s="14">
        <f t="shared" si="24"/>
        <v>0.44000000000000028</v>
      </c>
      <c r="B112" s="14">
        <f t="shared" si="16"/>
        <v>4.4288077954883169</v>
      </c>
      <c r="C112" s="14">
        <f t="shared" si="17"/>
        <v>5.6173375746359344</v>
      </c>
      <c r="D112" s="14">
        <f t="shared" si="18"/>
        <v>5.6173375746359344</v>
      </c>
      <c r="E112" s="14">
        <f t="shared" si="19"/>
        <v>1</v>
      </c>
      <c r="F112" s="14">
        <f t="shared" si="20"/>
        <v>-4.2726045684723548</v>
      </c>
      <c r="G112" s="14">
        <f t="shared" si="25"/>
        <v>-3.0055355368089209</v>
      </c>
      <c r="H112" s="14">
        <f t="shared" si="26"/>
        <v>-3.0367591171361532</v>
      </c>
      <c r="I112" s="14">
        <f t="shared" si="27"/>
        <v>8.2433486636120374</v>
      </c>
      <c r="J112" s="14">
        <f t="shared" si="21"/>
        <v>8.2799862666320116</v>
      </c>
      <c r="K112" s="14">
        <f t="shared" si="28"/>
        <v>45.127043154010089</v>
      </c>
      <c r="L112" s="14">
        <f t="shared" si="29"/>
        <v>11.683790898740403</v>
      </c>
      <c r="M112" s="14">
        <f t="shared" si="30"/>
        <v>3.9813271142306785</v>
      </c>
      <c r="N112" s="14">
        <f t="shared" si="31"/>
        <v>5.0029031785091469</v>
      </c>
      <c r="O112" s="14">
        <f t="shared" si="22"/>
        <v>5.0029031785091469</v>
      </c>
      <c r="P112" s="14">
        <f t="shared" si="23"/>
        <v>1</v>
      </c>
    </row>
    <row r="113" spans="1:16" x14ac:dyDescent="0.25">
      <c r="A113" s="14">
        <f t="shared" si="24"/>
        <v>0.44500000000000028</v>
      </c>
      <c r="B113" s="14">
        <f t="shared" si="16"/>
        <v>4.4791351568006847</v>
      </c>
      <c r="C113" s="14">
        <f t="shared" si="17"/>
        <v>5.6702684561658874</v>
      </c>
      <c r="D113" s="14">
        <f t="shared" si="18"/>
        <v>5.6702684561658874</v>
      </c>
      <c r="E113" s="14">
        <f t="shared" si="19"/>
        <v>1</v>
      </c>
      <c r="F113" s="14">
        <f t="shared" si="20"/>
        <v>-4.2318400627301616</v>
      </c>
      <c r="G113" s="14">
        <f t="shared" si="25"/>
        <v>-2.9857204248226799</v>
      </c>
      <c r="H113" s="14">
        <f t="shared" si="26"/>
        <v>-2.9989904736968898</v>
      </c>
      <c r="I113" s="14">
        <f t="shared" si="27"/>
        <v>8.2284200614879239</v>
      </c>
      <c r="J113" s="14">
        <f t="shared" si="21"/>
        <v>8.2159913142635279</v>
      </c>
      <c r="K113" s="14">
        <f t="shared" si="28"/>
        <v>44.956695645181505</v>
      </c>
      <c r="L113" s="14">
        <f t="shared" si="29"/>
        <v>11.62795811758671</v>
      </c>
      <c r="M113" s="14">
        <f t="shared" si="30"/>
        <v>4.022469214538118</v>
      </c>
      <c r="N113" s="14">
        <f t="shared" si="31"/>
        <v>5.0439831350804649</v>
      </c>
      <c r="O113" s="14">
        <f t="shared" si="22"/>
        <v>5.0439831350804649</v>
      </c>
      <c r="P113" s="14">
        <f t="shared" si="23"/>
        <v>1</v>
      </c>
    </row>
    <row r="114" spans="1:16" x14ac:dyDescent="0.25">
      <c r="A114" s="14">
        <f t="shared" si="24"/>
        <v>0.45000000000000029</v>
      </c>
      <c r="B114" s="14">
        <f t="shared" si="16"/>
        <v>4.5294625181130517</v>
      </c>
      <c r="C114" s="14">
        <f t="shared" si="17"/>
        <v>5.7229543376958416</v>
      </c>
      <c r="D114" s="14">
        <f t="shared" si="18"/>
        <v>5.7229543376958416</v>
      </c>
      <c r="E114" s="14">
        <f t="shared" si="19"/>
        <v>1</v>
      </c>
      <c r="F114" s="14">
        <f t="shared" si="20"/>
        <v>-4.19149170951487</v>
      </c>
      <c r="G114" s="14">
        <f t="shared" si="25"/>
        <v>-2.9660714393156464</v>
      </c>
      <c r="H114" s="14">
        <f t="shared" si="26"/>
        <v>-2.9615912897980867</v>
      </c>
      <c r="I114" s="14">
        <f t="shared" si="27"/>
        <v>8.2135897042913459</v>
      </c>
      <c r="J114" s="14">
        <f t="shared" si="21"/>
        <v>8.152183357814538</v>
      </c>
      <c r="K114" s="14">
        <f t="shared" si="28"/>
        <v>44.785020361431904</v>
      </c>
      <c r="L114" s="14">
        <f t="shared" si="29"/>
        <v>11.572430571399817</v>
      </c>
      <c r="M114" s="14">
        <f t="shared" si="30"/>
        <v>4.0635371630595749</v>
      </c>
      <c r="N114" s="14">
        <f t="shared" si="31"/>
        <v>5.0847440518695377</v>
      </c>
      <c r="O114" s="14">
        <f t="shared" si="22"/>
        <v>5.0847440518695377</v>
      </c>
      <c r="P114" s="14">
        <f t="shared" si="23"/>
        <v>1</v>
      </c>
    </row>
    <row r="115" spans="1:16" x14ac:dyDescent="0.25">
      <c r="A115" s="14">
        <f t="shared" si="24"/>
        <v>0.45500000000000029</v>
      </c>
      <c r="B115" s="14">
        <f t="shared" si="16"/>
        <v>4.5797898794254186</v>
      </c>
      <c r="C115" s="14">
        <f t="shared" si="17"/>
        <v>5.7753952192257954</v>
      </c>
      <c r="D115" s="14">
        <f t="shared" si="18"/>
        <v>5.7753952192257954</v>
      </c>
      <c r="E115" s="14">
        <f t="shared" si="19"/>
        <v>1</v>
      </c>
      <c r="F115" s="14">
        <f t="shared" si="20"/>
        <v>-4.1515556292259417</v>
      </c>
      <c r="G115" s="14">
        <f t="shared" si="25"/>
        <v>-2.9465870944411541</v>
      </c>
      <c r="H115" s="14">
        <f t="shared" si="26"/>
        <v>-2.9245578533225229</v>
      </c>
      <c r="I115" s="14">
        <f t="shared" si="27"/>
        <v>8.1988567688191409</v>
      </c>
      <c r="J115" s="14">
        <f t="shared" si="21"/>
        <v>8.0885605685479245</v>
      </c>
      <c r="K115" s="14">
        <f t="shared" si="28"/>
        <v>44.612006615701667</v>
      </c>
      <c r="L115" s="14">
        <f t="shared" si="29"/>
        <v>11.517207317170243</v>
      </c>
      <c r="M115" s="14">
        <f t="shared" si="30"/>
        <v>4.1045314469036702</v>
      </c>
      <c r="N115" s="14">
        <f t="shared" si="31"/>
        <v>5.1251868547122772</v>
      </c>
      <c r="O115" s="14">
        <f t="shared" si="22"/>
        <v>5.1251868547122772</v>
      </c>
      <c r="P115" s="14">
        <f t="shared" si="23"/>
        <v>1</v>
      </c>
    </row>
    <row r="116" spans="1:16" x14ac:dyDescent="0.25">
      <c r="A116" s="14">
        <f t="shared" si="24"/>
        <v>0.4600000000000003</v>
      </c>
      <c r="B116" s="14">
        <f t="shared" si="16"/>
        <v>4.6301172407377864</v>
      </c>
      <c r="C116" s="14">
        <f t="shared" si="17"/>
        <v>5.8275911007557486</v>
      </c>
      <c r="D116" s="14">
        <f t="shared" si="18"/>
        <v>5.8275911007557486</v>
      </c>
      <c r="E116" s="14">
        <f t="shared" si="19"/>
        <v>1</v>
      </c>
      <c r="F116" s="14">
        <f t="shared" si="20"/>
        <v>-4.1120279959870736</v>
      </c>
      <c r="G116" s="14">
        <f t="shared" si="25"/>
        <v>-2.9272659282785125</v>
      </c>
      <c r="H116" s="14">
        <f t="shared" si="26"/>
        <v>-2.887886497929101</v>
      </c>
      <c r="I116" s="14">
        <f t="shared" si="27"/>
        <v>8.1842204391777482</v>
      </c>
      <c r="J116" s="14">
        <f t="shared" si="21"/>
        <v>8.0251211360582797</v>
      </c>
      <c r="K116" s="14">
        <f t="shared" si="28"/>
        <v>44.437643667925549</v>
      </c>
      <c r="L116" s="14">
        <f t="shared" si="29"/>
        <v>11.462287443850993</v>
      </c>
      <c r="M116" s="14">
        <f t="shared" si="30"/>
        <v>4.1454525490995593</v>
      </c>
      <c r="N116" s="14">
        <f t="shared" si="31"/>
        <v>5.1653124603925686</v>
      </c>
      <c r="O116" s="14">
        <f t="shared" si="22"/>
        <v>5.1653124603925686</v>
      </c>
      <c r="P116" s="14">
        <f t="shared" si="23"/>
        <v>1</v>
      </c>
    </row>
    <row r="117" spans="1:16" x14ac:dyDescent="0.25">
      <c r="A117" s="14">
        <f t="shared" si="24"/>
        <v>0.4650000000000003</v>
      </c>
      <c r="B117" s="14">
        <f t="shared" si="16"/>
        <v>4.6804446020501533</v>
      </c>
      <c r="C117" s="14">
        <f t="shared" si="17"/>
        <v>5.8795419822857022</v>
      </c>
      <c r="D117" s="14">
        <f t="shared" si="18"/>
        <v>5.8795419822857022</v>
      </c>
      <c r="E117" s="14">
        <f t="shared" si="19"/>
        <v>1</v>
      </c>
      <c r="F117" s="14">
        <f t="shared" si="20"/>
        <v>-4.072905036809388</v>
      </c>
      <c r="G117" s="14">
        <f t="shared" si="25"/>
        <v>-2.9081065025085686</v>
      </c>
      <c r="H117" s="14">
        <f t="shared" si="26"/>
        <v>-2.8515736022299452</v>
      </c>
      <c r="I117" s="14">
        <f t="shared" si="27"/>
        <v>8.1696799066652055</v>
      </c>
      <c r="J117" s="14">
        <f t="shared" si="21"/>
        <v>7.9618632680471304</v>
      </c>
      <c r="K117" s="14">
        <f t="shared" si="28"/>
        <v>44.261920726507824</v>
      </c>
      <c r="L117" s="14">
        <f t="shared" si="29"/>
        <v>11.407670072212262</v>
      </c>
      <c r="M117" s="14">
        <f t="shared" si="30"/>
        <v>4.1863009486328853</v>
      </c>
      <c r="N117" s="14">
        <f t="shared" si="31"/>
        <v>5.2051217767328044</v>
      </c>
      <c r="O117" s="14">
        <f t="shared" si="22"/>
        <v>5.2051217767328044</v>
      </c>
      <c r="P117" s="14">
        <f t="shared" si="23"/>
        <v>1</v>
      </c>
    </row>
    <row r="118" spans="1:16" x14ac:dyDescent="0.25">
      <c r="A118" s="14">
        <f t="shared" si="24"/>
        <v>0.47000000000000031</v>
      </c>
      <c r="B118" s="14">
        <f t="shared" si="16"/>
        <v>4.7307719633625211</v>
      </c>
      <c r="C118" s="14">
        <f t="shared" si="17"/>
        <v>5.9312478638156572</v>
      </c>
      <c r="D118" s="14">
        <f t="shared" si="18"/>
        <v>5.9312478638156572</v>
      </c>
      <c r="E118" s="14">
        <f t="shared" si="19"/>
        <v>1</v>
      </c>
      <c r="F118" s="14">
        <f t="shared" si="20"/>
        <v>-4.0341830307698672</v>
      </c>
      <c r="G118" s="14">
        <f t="shared" si="25"/>
        <v>-2.8891074020953744</v>
      </c>
      <c r="H118" s="14">
        <f t="shared" si="26"/>
        <v>-2.8156155889803682</v>
      </c>
      <c r="I118" s="14">
        <f t="shared" si="27"/>
        <v>8.1552343696547283</v>
      </c>
      <c r="J118" s="14">
        <f t="shared" si="21"/>
        <v>7.8987851901022283</v>
      </c>
      <c r="K118" s="14">
        <f t="shared" si="28"/>
        <v>44.084826949875982</v>
      </c>
      <c r="L118" s="14">
        <f t="shared" si="29"/>
        <v>11.353354354699585</v>
      </c>
      <c r="M118" s="14">
        <f t="shared" si="30"/>
        <v>4.2270771204811588</v>
      </c>
      <c r="N118" s="14">
        <f t="shared" si="31"/>
        <v>5.2446157026833156</v>
      </c>
      <c r="O118" s="14">
        <f t="shared" si="22"/>
        <v>5.2446157026833156</v>
      </c>
      <c r="P118" s="14">
        <f t="shared" si="23"/>
        <v>1</v>
      </c>
    </row>
    <row r="119" spans="1:16" x14ac:dyDescent="0.25">
      <c r="A119" s="14">
        <f t="shared" si="24"/>
        <v>0.47500000000000031</v>
      </c>
      <c r="B119" s="14">
        <f t="shared" si="16"/>
        <v>4.7810993246748881</v>
      </c>
      <c r="C119" s="14">
        <f t="shared" si="17"/>
        <v>5.9827087453456107</v>
      </c>
      <c r="D119" s="14">
        <f t="shared" si="18"/>
        <v>5.9827087453456107</v>
      </c>
      <c r="E119" s="14">
        <f t="shared" si="19"/>
        <v>1</v>
      </c>
      <c r="F119" s="14">
        <f t="shared" si="20"/>
        <v>-3.995858308204657</v>
      </c>
      <c r="G119" s="14">
        <f t="shared" si="25"/>
        <v>-2.8702672349737721</v>
      </c>
      <c r="H119" s="14">
        <f t="shared" si="26"/>
        <v>-2.7800089242813955</v>
      </c>
      <c r="I119" s="14">
        <f t="shared" si="27"/>
        <v>8.1408830334798594</v>
      </c>
      <c r="J119" s="14">
        <f t="shared" si="21"/>
        <v>7.8358851454808214</v>
      </c>
      <c r="K119" s="14">
        <f t="shared" si="28"/>
        <v>43.906351448115359</v>
      </c>
      <c r="L119" s="14">
        <f t="shared" si="29"/>
        <v>11.299339475295325</v>
      </c>
      <c r="M119" s="14">
        <f t="shared" si="30"/>
        <v>4.2677815356485578</v>
      </c>
      <c r="N119" s="14">
        <f t="shared" si="31"/>
        <v>5.2837951284107199</v>
      </c>
      <c r="O119" s="14">
        <f t="shared" si="22"/>
        <v>5.2837951284107199</v>
      </c>
      <c r="P119" s="14">
        <f t="shared" si="23"/>
        <v>1</v>
      </c>
    </row>
    <row r="120" spans="1:16" x14ac:dyDescent="0.25">
      <c r="A120" s="14">
        <f t="shared" si="24"/>
        <v>0.48000000000000032</v>
      </c>
      <c r="B120" s="14">
        <f t="shared" si="16"/>
        <v>4.831426685987255</v>
      </c>
      <c r="C120" s="14">
        <f t="shared" si="17"/>
        <v>6.0339246268755637</v>
      </c>
      <c r="D120" s="14">
        <f t="shared" si="18"/>
        <v>6.0339246268755637</v>
      </c>
      <c r="E120" s="14">
        <f t="shared" si="19"/>
        <v>1</v>
      </c>
      <c r="F120" s="14">
        <f t="shared" si="20"/>
        <v>-3.9579272499169842</v>
      </c>
      <c r="G120" s="14">
        <f t="shared" si="25"/>
        <v>-2.8515846317427891</v>
      </c>
      <c r="H120" s="14">
        <f t="shared" si="26"/>
        <v>-2.7447501167945627</v>
      </c>
      <c r="I120" s="14">
        <f t="shared" si="27"/>
        <v>8.1266251103211449</v>
      </c>
      <c r="J120" s="14">
        <f t="shared" si="21"/>
        <v>7.7731613948968485</v>
      </c>
      <c r="K120" s="14">
        <f t="shared" si="28"/>
        <v>43.726483284687141</v>
      </c>
      <c r="L120" s="14">
        <f t="shared" si="29"/>
        <v>11.245624649383283</v>
      </c>
      <c r="M120" s="14">
        <f t="shared" si="30"/>
        <v>4.3084146612001639</v>
      </c>
      <c r="N120" s="14">
        <f t="shared" si="31"/>
        <v>5.3226609353852039</v>
      </c>
      <c r="O120" s="14">
        <f t="shared" si="22"/>
        <v>5.3226609353852039</v>
      </c>
      <c r="P120" s="14">
        <f t="shared" si="23"/>
        <v>1</v>
      </c>
    </row>
    <row r="121" spans="1:16" x14ac:dyDescent="0.25">
      <c r="A121" s="14">
        <f t="shared" si="24"/>
        <v>0.48500000000000032</v>
      </c>
      <c r="B121" s="14">
        <f t="shared" si="16"/>
        <v>4.8817540472996228</v>
      </c>
      <c r="C121" s="14">
        <f t="shared" si="17"/>
        <v>6.0848955084055181</v>
      </c>
      <c r="D121" s="14">
        <f t="shared" si="18"/>
        <v>6.0848955084055181</v>
      </c>
      <c r="E121" s="14">
        <f t="shared" si="19"/>
        <v>1</v>
      </c>
      <c r="F121" s="14">
        <f t="shared" si="20"/>
        <v>-3.9203862863993231</v>
      </c>
      <c r="G121" s="14">
        <f t="shared" si="25"/>
        <v>-2.8330582453646622</v>
      </c>
      <c r="H121" s="14">
        <f t="shared" si="26"/>
        <v>-2.7098357169686831</v>
      </c>
      <c r="I121" s="14">
        <f t="shared" si="27"/>
        <v>8.1124598190943207</v>
      </c>
      <c r="J121" s="14">
        <f t="shared" si="21"/>
        <v>7.710612216312005</v>
      </c>
      <c r="K121" s="14">
        <f t="shared" si="28"/>
        <v>43.545211478232176</v>
      </c>
      <c r="L121" s="14">
        <f t="shared" si="29"/>
        <v>11.192209123616292</v>
      </c>
      <c r="M121" s="14">
        <f t="shared" si="30"/>
        <v>4.3489769602956354</v>
      </c>
      <c r="N121" s="14">
        <f t="shared" si="31"/>
        <v>5.3612139964667636</v>
      </c>
      <c r="O121" s="14">
        <f t="shared" si="22"/>
        <v>5.3612139964667636</v>
      </c>
      <c r="P121" s="14">
        <f t="shared" si="23"/>
        <v>1</v>
      </c>
    </row>
    <row r="122" spans="1:16" x14ac:dyDescent="0.25">
      <c r="A122" s="14">
        <f t="shared" si="24"/>
        <v>0.49000000000000032</v>
      </c>
      <c r="B122" s="14">
        <f t="shared" si="16"/>
        <v>4.9320814086119897</v>
      </c>
      <c r="C122" s="14">
        <f t="shared" si="17"/>
        <v>6.135621389935471</v>
      </c>
      <c r="D122" s="14">
        <f t="shared" si="18"/>
        <v>6.135621389935471</v>
      </c>
      <c r="E122" s="14">
        <f t="shared" si="19"/>
        <v>1</v>
      </c>
      <c r="F122" s="14">
        <f t="shared" si="20"/>
        <v>-3.8832318970695527</v>
      </c>
      <c r="G122" s="14">
        <f t="shared" si="25"/>
        <v>-2.8146867508693787</v>
      </c>
      <c r="H122" s="14">
        <f t="shared" si="26"/>
        <v>-2.6752623162783085</v>
      </c>
      <c r="I122" s="14">
        <f t="shared" si="27"/>
        <v>8.0983863853399729</v>
      </c>
      <c r="J122" s="14">
        <f t="shared" si="21"/>
        <v>7.6482359047306137</v>
      </c>
      <c r="K122" s="14">
        <f t="shared" si="28"/>
        <v>43.362525004463215</v>
      </c>
      <c r="L122" s="14">
        <f t="shared" si="29"/>
        <v>11.139092175786605</v>
      </c>
      <c r="M122" s="14">
        <f t="shared" si="30"/>
        <v>4.3894688922223351</v>
      </c>
      <c r="N122" s="14">
        <f t="shared" si="31"/>
        <v>5.3994551759904166</v>
      </c>
      <c r="O122" s="14">
        <f t="shared" si="22"/>
        <v>5.3994551759904166</v>
      </c>
      <c r="P122" s="14">
        <f t="shared" si="23"/>
        <v>1</v>
      </c>
    </row>
    <row r="123" spans="1:16" x14ac:dyDescent="0.25">
      <c r="A123" s="14">
        <f t="shared" si="24"/>
        <v>0.49500000000000033</v>
      </c>
      <c r="B123" s="14">
        <f t="shared" si="16"/>
        <v>4.9824087699243567</v>
      </c>
      <c r="C123" s="14">
        <f t="shared" si="17"/>
        <v>6.1861022714654252</v>
      </c>
      <c r="D123" s="14">
        <f t="shared" si="18"/>
        <v>6.1861022714654252</v>
      </c>
      <c r="E123" s="14">
        <f t="shared" si="19"/>
        <v>1</v>
      </c>
      <c r="F123" s="14">
        <f t="shared" si="20"/>
        <v>-3.8464606095207809</v>
      </c>
      <c r="G123" s="14">
        <f t="shared" si="25"/>
        <v>-2.7964688450645547</v>
      </c>
      <c r="H123" s="14">
        <f t="shared" si="26"/>
        <v>-2.6410265464736042</v>
      </c>
      <c r="I123" s="14">
        <f t="shared" si="27"/>
        <v>8.0844040411146505</v>
      </c>
      <c r="J123" s="14">
        <f t="shared" si="21"/>
        <v>7.5860307719982458</v>
      </c>
      <c r="K123" s="14">
        <f t="shared" si="28"/>
        <v>43.17841279814801</v>
      </c>
      <c r="L123" s="14">
        <f t="shared" si="29"/>
        <v>11.08627311469888</v>
      </c>
      <c r="M123" s="14">
        <f t="shared" si="30"/>
        <v>4.4298909124279087</v>
      </c>
      <c r="N123" s="14">
        <f t="shared" si="31"/>
        <v>5.4373853298504082</v>
      </c>
      <c r="O123" s="14">
        <f t="shared" si="22"/>
        <v>5.4373853298504082</v>
      </c>
      <c r="P123" s="14">
        <f t="shared" si="23"/>
        <v>1</v>
      </c>
    </row>
    <row r="124" spans="1:16" x14ac:dyDescent="0.25">
      <c r="A124" s="14">
        <f t="shared" si="24"/>
        <v>0.50000000000000033</v>
      </c>
      <c r="B124" s="14">
        <f t="shared" si="16"/>
        <v>5.0327361312367245</v>
      </c>
      <c r="C124" s="14">
        <f t="shared" si="17"/>
        <v>6.2363381529953799</v>
      </c>
      <c r="D124" s="14">
        <f t="shared" si="18"/>
        <v>6.2363381529953799</v>
      </c>
      <c r="E124" s="14">
        <f t="shared" si="19"/>
        <v>1</v>
      </c>
      <c r="F124" s="14">
        <f t="shared" si="20"/>
        <v>-3.8100689987845513</v>
      </c>
      <c r="G124" s="14">
        <f t="shared" si="25"/>
        <v>-2.7784032462505421</v>
      </c>
      <c r="H124" s="14">
        <f t="shared" si="26"/>
        <v>-2.6071250788413591</v>
      </c>
      <c r="I124" s="14">
        <f t="shared" si="27"/>
        <v>8.0705120248833975</v>
      </c>
      <c r="J124" s="14">
        <f t="shared" si="21"/>
        <v>7.5239951466040393</v>
      </c>
      <c r="K124" s="14">
        <f t="shared" si="28"/>
        <v>42.992863755186008</v>
      </c>
      <c r="L124" s="14">
        <f t="shared" si="29"/>
        <v>11.033751280045633</v>
      </c>
      <c r="M124" s="14">
        <f t="shared" si="30"/>
        <v>4.4702434725523252</v>
      </c>
      <c r="N124" s="14">
        <f t="shared" si="31"/>
        <v>5.4750053055834282</v>
      </c>
      <c r="O124" s="14">
        <f t="shared" si="22"/>
        <v>5.4750053055834282</v>
      </c>
      <c r="P124" s="14">
        <f t="shared" si="23"/>
        <v>1</v>
      </c>
    </row>
    <row r="125" spans="1:16" x14ac:dyDescent="0.25">
      <c r="A125" s="14">
        <f t="shared" si="24"/>
        <v>0.50500000000000034</v>
      </c>
      <c r="B125" s="14">
        <f t="shared" si="16"/>
        <v>5.0830634925490914</v>
      </c>
      <c r="C125" s="14">
        <f t="shared" si="17"/>
        <v>6.2863290345253331</v>
      </c>
      <c r="D125" s="14">
        <f t="shared" si="18"/>
        <v>6.2863290345253331</v>
      </c>
      <c r="E125" s="14">
        <f t="shared" si="19"/>
        <v>1</v>
      </c>
      <c r="F125" s="14">
        <f t="shared" si="20"/>
        <v>-3.7740536866071683</v>
      </c>
      <c r="G125" s="14">
        <f t="shared" si="25"/>
        <v>-2.7604886939406068</v>
      </c>
      <c r="H125" s="14">
        <f t="shared" si="26"/>
        <v>-2.5735546234768831</v>
      </c>
      <c r="I125" s="14">
        <f t="shared" si="27"/>
        <v>8.0567095814136938</v>
      </c>
      <c r="J125" s="14">
        <f t="shared" si="21"/>
        <v>7.4621273734866547</v>
      </c>
      <c r="K125" s="14">
        <f t="shared" si="28"/>
        <v>42.805866734781141</v>
      </c>
      <c r="L125" s="14">
        <f t="shared" si="29"/>
        <v>10.981526042284928</v>
      </c>
      <c r="M125" s="14">
        <f t="shared" si="30"/>
        <v>4.5105270204593939</v>
      </c>
      <c r="N125" s="14">
        <f t="shared" si="31"/>
        <v>5.5123159424508614</v>
      </c>
      <c r="O125" s="14">
        <f t="shared" si="22"/>
        <v>5.5123159424508614</v>
      </c>
      <c r="P125" s="14">
        <f t="shared" si="23"/>
        <v>1</v>
      </c>
    </row>
    <row r="126" spans="1:16" x14ac:dyDescent="0.25">
      <c r="A126" s="14">
        <f t="shared" si="24"/>
        <v>0.51000000000000034</v>
      </c>
      <c r="B126" s="14">
        <f t="shared" si="16"/>
        <v>5.1333908538614592</v>
      </c>
      <c r="C126" s="14">
        <f t="shared" si="17"/>
        <v>6.3360749160552867</v>
      </c>
      <c r="D126" s="14">
        <f t="shared" si="18"/>
        <v>6.3360749160552867</v>
      </c>
      <c r="E126" s="14">
        <f t="shared" si="19"/>
        <v>1</v>
      </c>
      <c r="F126" s="14">
        <f t="shared" si="20"/>
        <v>-3.7384113407388444</v>
      </c>
      <c r="G126" s="14">
        <f t="shared" si="25"/>
        <v>-2.7427239485860508</v>
      </c>
      <c r="H126" s="14">
        <f t="shared" si="26"/>
        <v>-2.5403119285665188</v>
      </c>
      <c r="I126" s="14">
        <f t="shared" si="27"/>
        <v>8.0429959616707638</v>
      </c>
      <c r="J126" s="14">
        <f t="shared" si="21"/>
        <v>7.4004258138438219</v>
      </c>
      <c r="K126" s="14">
        <f t="shared" si="28"/>
        <v>42.617410561713506</v>
      </c>
      <c r="L126" s="14">
        <f t="shared" si="29"/>
        <v>10.929596802520129</v>
      </c>
      <c r="M126" s="14">
        <f t="shared" si="30"/>
        <v>4.5507420002677481</v>
      </c>
      <c r="N126" s="14">
        <f t="shared" si="31"/>
        <v>5.5493180715200809</v>
      </c>
      <c r="O126" s="14">
        <f t="shared" si="22"/>
        <v>5.5493180715200809</v>
      </c>
      <c r="P126" s="14">
        <f t="shared" si="23"/>
        <v>1</v>
      </c>
    </row>
    <row r="127" spans="1:16" x14ac:dyDescent="0.25">
      <c r="A127" s="14">
        <f t="shared" si="24"/>
        <v>0.51500000000000035</v>
      </c>
      <c r="B127" s="14">
        <f t="shared" si="16"/>
        <v>5.1837182151738261</v>
      </c>
      <c r="C127" s="14">
        <f t="shared" si="17"/>
        <v>6.3855757975852399</v>
      </c>
      <c r="D127" s="14">
        <f t="shared" si="18"/>
        <v>6.3855757975852399</v>
      </c>
      <c r="E127" s="14">
        <f t="shared" si="19"/>
        <v>1</v>
      </c>
      <c r="F127" s="14">
        <f t="shared" si="20"/>
        <v>-3.7031386742354044</v>
      </c>
      <c r="G127" s="14">
        <f t="shared" si="25"/>
        <v>-2.7251077913061317</v>
      </c>
      <c r="H127" s="14">
        <f t="shared" si="26"/>
        <v>-2.5073937796805201</v>
      </c>
      <c r="I127" s="14">
        <f t="shared" si="27"/>
        <v>8.0293704227142335</v>
      </c>
      <c r="J127" s="14">
        <f t="shared" si="21"/>
        <v>7.3388888449454193</v>
      </c>
      <c r="K127" s="14">
        <f t="shared" si="28"/>
        <v>42.427484028712591</v>
      </c>
      <c r="L127" s="14">
        <f t="shared" si="29"/>
        <v>10.877962992381546</v>
      </c>
      <c r="M127" s="14">
        <f t="shared" si="30"/>
        <v>4.5908888523813189</v>
      </c>
      <c r="N127" s="14">
        <f t="shared" si="31"/>
        <v>5.5860125157448079</v>
      </c>
      <c r="O127" s="14">
        <f t="shared" si="22"/>
        <v>5.5860125157448079</v>
      </c>
      <c r="P127" s="14">
        <f t="shared" si="23"/>
        <v>1</v>
      </c>
    </row>
    <row r="128" spans="1:16" x14ac:dyDescent="0.25">
      <c r="A128" s="14">
        <f t="shared" si="24"/>
        <v>0.52000000000000035</v>
      </c>
      <c r="B128" s="14">
        <f t="shared" si="16"/>
        <v>5.2340455764861931</v>
      </c>
      <c r="C128" s="14">
        <f t="shared" si="17"/>
        <v>6.4348316791151943</v>
      </c>
      <c r="D128" s="14">
        <f t="shared" si="18"/>
        <v>6.4348316791151943</v>
      </c>
      <c r="E128" s="14">
        <f t="shared" si="19"/>
        <v>1</v>
      </c>
      <c r="F128" s="14">
        <f t="shared" si="20"/>
        <v>-3.6682324447722965</v>
      </c>
      <c r="G128" s="14">
        <f t="shared" si="25"/>
        <v>-2.7076390236226606</v>
      </c>
      <c r="H128" s="14">
        <f t="shared" si="26"/>
        <v>-2.4747969990760583</v>
      </c>
      <c r="I128" s="14">
        <f t="shared" si="27"/>
        <v>8.0158322275961194</v>
      </c>
      <c r="J128" s="14">
        <f t="shared" si="21"/>
        <v>7.2775148599500392</v>
      </c>
      <c r="K128" s="14">
        <f t="shared" si="28"/>
        <v>42.236075898934793</v>
      </c>
      <c r="L128" s="14">
        <f t="shared" si="29"/>
        <v>10.826624073909752</v>
      </c>
      <c r="M128" s="14">
        <f t="shared" si="30"/>
        <v>4.6309680135192997</v>
      </c>
      <c r="N128" s="14">
        <f t="shared" si="31"/>
        <v>5.6224000900445583</v>
      </c>
      <c r="O128" s="14">
        <f t="shared" si="22"/>
        <v>5.6224000900445583</v>
      </c>
      <c r="P128" s="14">
        <f t="shared" si="23"/>
        <v>1</v>
      </c>
    </row>
    <row r="129" spans="1:16" x14ac:dyDescent="0.25">
      <c r="A129" s="14">
        <f t="shared" si="24"/>
        <v>0.52500000000000036</v>
      </c>
      <c r="B129" s="14">
        <f t="shared" si="16"/>
        <v>5.2843729377985609</v>
      </c>
      <c r="C129" s="14">
        <f t="shared" si="17"/>
        <v>6.4838425606451473</v>
      </c>
      <c r="D129" s="14">
        <f t="shared" si="18"/>
        <v>6.4838425606451473</v>
      </c>
      <c r="E129" s="14">
        <f t="shared" si="19"/>
        <v>1</v>
      </c>
      <c r="F129" s="14">
        <f t="shared" si="20"/>
        <v>-3.6336894539706277</v>
      </c>
      <c r="G129" s="14">
        <f t="shared" si="25"/>
        <v>-2.6903164671991266</v>
      </c>
      <c r="H129" s="14">
        <f t="shared" si="26"/>
        <v>-2.4425184450101023</v>
      </c>
      <c r="I129" s="14">
        <f t="shared" si="27"/>
        <v>8.0023806452601232</v>
      </c>
      <c r="J129" s="14">
        <f t="shared" si="21"/>
        <v>7.2163022677249886</v>
      </c>
      <c r="K129" s="14">
        <f t="shared" si="28"/>
        <v>42.043174908547996</v>
      </c>
      <c r="L129" s="14">
        <f t="shared" si="29"/>
        <v>10.775579539440402</v>
      </c>
      <c r="M129" s="14">
        <f t="shared" si="30"/>
        <v>4.6709799167456003</v>
      </c>
      <c r="N129" s="14">
        <f t="shared" si="31"/>
        <v>5.6584816013831833</v>
      </c>
      <c r="O129" s="14">
        <f t="shared" si="22"/>
        <v>5.6584816013831833</v>
      </c>
      <c r="P129" s="14">
        <f t="shared" si="23"/>
        <v>1</v>
      </c>
    </row>
    <row r="130" spans="1:16" x14ac:dyDescent="0.25">
      <c r="A130" s="14">
        <f t="shared" si="24"/>
        <v>0.53000000000000036</v>
      </c>
      <c r="B130" s="14">
        <f t="shared" si="16"/>
        <v>5.3347002991109278</v>
      </c>
      <c r="C130" s="14">
        <f t="shared" si="17"/>
        <v>6.5326084421751025</v>
      </c>
      <c r="D130" s="14">
        <f t="shared" si="18"/>
        <v>6.5326084421751025</v>
      </c>
      <c r="E130" s="14">
        <f t="shared" si="19"/>
        <v>1</v>
      </c>
      <c r="F130" s="14">
        <f t="shared" si="20"/>
        <v>-3.5995065467350056</v>
      </c>
      <c r="G130" s="14">
        <f t="shared" si="25"/>
        <v>-2.6731389635842446</v>
      </c>
      <c r="H130" s="14">
        <f t="shared" si="26"/>
        <v>-2.410555011061958</v>
      </c>
      <c r="I130" s="14">
        <f t="shared" si="27"/>
        <v>7.9890149504422023</v>
      </c>
      <c r="J130" s="14">
        <f t="shared" si="21"/>
        <v>7.1552494926696788</v>
      </c>
      <c r="K130" s="14">
        <f t="shared" si="28"/>
        <v>41.848769769426099</v>
      </c>
      <c r="L130" s="14">
        <f t="shared" si="29"/>
        <v>10.724828911490324</v>
      </c>
      <c r="M130" s="14">
        <f t="shared" si="30"/>
        <v>4.7109249914978113</v>
      </c>
      <c r="N130" s="14">
        <f t="shared" si="31"/>
        <v>5.6942578488465321</v>
      </c>
      <c r="O130" s="14">
        <f t="shared" si="22"/>
        <v>5.6942578488465321</v>
      </c>
      <c r="P130" s="14">
        <f t="shared" si="23"/>
        <v>1</v>
      </c>
    </row>
    <row r="131" spans="1:16" x14ac:dyDescent="0.25">
      <c r="A131" s="14">
        <f t="shared" si="24"/>
        <v>0.53500000000000036</v>
      </c>
      <c r="B131" s="14">
        <f t="shared" si="16"/>
        <v>5.3850276604232947</v>
      </c>
      <c r="C131" s="14">
        <f t="shared" si="17"/>
        <v>6.5811293237050563</v>
      </c>
      <c r="D131" s="14">
        <f t="shared" si="18"/>
        <v>6.5811293237050563</v>
      </c>
      <c r="E131" s="14">
        <f t="shared" si="19"/>
        <v>1</v>
      </c>
      <c r="F131" s="14">
        <f t="shared" si="20"/>
        <v>-3.5656806106029002</v>
      </c>
      <c r="G131" s="14">
        <f t="shared" si="25"/>
        <v>-2.6561053739597602</v>
      </c>
      <c r="H131" s="14">
        <f t="shared" si="26"/>
        <v>-2.3789036254652172</v>
      </c>
      <c r="I131" s="14">
        <f t="shared" si="27"/>
        <v>7.9757344235724039</v>
      </c>
      <c r="J131" s="14">
        <f t="shared" si="21"/>
        <v>7.0943549745423526</v>
      </c>
      <c r="K131" s="14">
        <f t="shared" si="28"/>
        <v>41.65284917195622</v>
      </c>
      <c r="L131" s="14">
        <f t="shared" si="29"/>
        <v>10.6743717426447</v>
      </c>
      <c r="M131" s="14">
        <f t="shared" si="30"/>
        <v>4.750803663615673</v>
      </c>
      <c r="N131" s="14">
        <f t="shared" si="31"/>
        <v>5.7297296237192441</v>
      </c>
      <c r="O131" s="14">
        <f t="shared" si="22"/>
        <v>5.7297296237192441</v>
      </c>
      <c r="P131" s="14">
        <f t="shared" si="23"/>
        <v>1</v>
      </c>
    </row>
    <row r="132" spans="1:16" x14ac:dyDescent="0.25">
      <c r="A132" s="14">
        <f t="shared" si="24"/>
        <v>0.54000000000000037</v>
      </c>
      <c r="B132" s="14">
        <f t="shared" si="16"/>
        <v>5.4353550217356625</v>
      </c>
      <c r="C132" s="14">
        <f t="shared" si="17"/>
        <v>6.6294052052350088</v>
      </c>
      <c r="D132" s="14">
        <f t="shared" si="18"/>
        <v>6.6294052052350088</v>
      </c>
      <c r="E132" s="14">
        <f t="shared" si="19"/>
        <v>1</v>
      </c>
      <c r="F132" s="14">
        <f t="shared" si="20"/>
        <v>-3.5322085751053214</v>
      </c>
      <c r="G132" s="14">
        <f t="shared" si="25"/>
        <v>-2.6392145788924166</v>
      </c>
      <c r="H132" s="14">
        <f t="shared" si="26"/>
        <v>-2.3475612504489183</v>
      </c>
      <c r="I132" s="14">
        <f t="shared" si="27"/>
        <v>7.9625383506779421</v>
      </c>
      <c r="J132" s="14">
        <f t="shared" si="21"/>
        <v>7.0336171682901076</v>
      </c>
      <c r="K132" s="14">
        <f t="shared" si="28"/>
        <v>41.455401787961506</v>
      </c>
      <c r="L132" s="14">
        <f t="shared" si="29"/>
        <v>10.624207615445133</v>
      </c>
      <c r="M132" s="14">
        <f t="shared" si="30"/>
        <v>4.7906163553690631</v>
      </c>
      <c r="N132" s="14">
        <f t="shared" si="31"/>
        <v>5.764897709560695</v>
      </c>
      <c r="O132" s="14">
        <f t="shared" si="22"/>
        <v>5.764897709560695</v>
      </c>
      <c r="P132" s="14">
        <f t="shared" si="23"/>
        <v>1</v>
      </c>
    </row>
    <row r="133" spans="1:16" x14ac:dyDescent="0.25">
      <c r="A133" s="14">
        <f t="shared" si="24"/>
        <v>0.54500000000000037</v>
      </c>
      <c r="B133" s="14">
        <f t="shared" si="16"/>
        <v>5.4856823830480295</v>
      </c>
      <c r="C133" s="14">
        <f t="shared" si="17"/>
        <v>6.6774360867649634</v>
      </c>
      <c r="D133" s="14">
        <f t="shared" si="18"/>
        <v>6.6774360867649634</v>
      </c>
      <c r="E133" s="14">
        <f t="shared" si="19"/>
        <v>1</v>
      </c>
      <c r="F133" s="14">
        <f t="shared" si="20"/>
        <v>-3.4990874111385533</v>
      </c>
      <c r="G133" s="14">
        <f t="shared" si="25"/>
        <v>-2.6224654780899423</v>
      </c>
      <c r="H133" s="14">
        <f t="shared" si="26"/>
        <v>-2.3165248815876751</v>
      </c>
      <c r="I133" s="14">
        <f t="shared" si="27"/>
        <v>7.9494260232874927</v>
      </c>
      <c r="J133" s="14">
        <f t="shared" si="21"/>
        <v>6.9730345438821697</v>
      </c>
      <c r="K133" s="14">
        <f t="shared" si="28"/>
        <v>41.25641627374241</v>
      </c>
      <c r="L133" s="14">
        <f t="shared" si="29"/>
        <v>10.57433614227836</v>
      </c>
      <c r="M133" s="14">
        <f t="shared" si="30"/>
        <v>4.8303634854855009</v>
      </c>
      <c r="N133" s="14">
        <f t="shared" si="31"/>
        <v>5.7997628822801062</v>
      </c>
      <c r="O133" s="14">
        <f t="shared" si="22"/>
        <v>5.7997628822801062</v>
      </c>
      <c r="P133" s="14">
        <f t="shared" si="23"/>
        <v>1</v>
      </c>
    </row>
    <row r="134" spans="1:16" x14ac:dyDescent="0.25">
      <c r="A134" s="14">
        <f t="shared" si="24"/>
        <v>0.55000000000000038</v>
      </c>
      <c r="B134" s="14">
        <f t="shared" si="16"/>
        <v>5.5360097443603964</v>
      </c>
      <c r="C134" s="14">
        <f t="shared" si="17"/>
        <v>6.7252219682949175</v>
      </c>
      <c r="D134" s="14">
        <f t="shared" si="18"/>
        <v>6.7252219682949175</v>
      </c>
      <c r="E134" s="14">
        <f t="shared" si="19"/>
        <v>1</v>
      </c>
      <c r="F134" s="14">
        <f t="shared" si="20"/>
        <v>-3.4663141303467264</v>
      </c>
      <c r="G134" s="14">
        <f t="shared" si="25"/>
        <v>-2.6058569901609294</v>
      </c>
      <c r="H134" s="14">
        <f t="shared" si="26"/>
        <v>-2.2857915471605903</v>
      </c>
      <c r="I134" s="14">
        <f t="shared" si="27"/>
        <v>7.936396738336688</v>
      </c>
      <c r="J134" s="14">
        <f t="shared" si="21"/>
        <v>6.9126055861463671</v>
      </c>
      <c r="K134" s="14">
        <f t="shared" si="28"/>
        <v>41.055881273239329</v>
      </c>
      <c r="L134" s="14">
        <f t="shared" si="29"/>
        <v>10.52475696526543</v>
      </c>
      <c r="M134" s="14">
        <f t="shared" si="30"/>
        <v>4.8700454691771844</v>
      </c>
      <c r="N134" s="14">
        <f t="shared" si="31"/>
        <v>5.834325910210838</v>
      </c>
      <c r="O134" s="14">
        <f t="shared" si="22"/>
        <v>5.834325910210838</v>
      </c>
      <c r="P134" s="14">
        <f t="shared" si="23"/>
        <v>1</v>
      </c>
    </row>
    <row r="135" spans="1:16" x14ac:dyDescent="0.25">
      <c r="A135" s="14">
        <f t="shared" si="24"/>
        <v>0.55500000000000038</v>
      </c>
      <c r="B135" s="14">
        <f t="shared" si="16"/>
        <v>5.5863371056727642</v>
      </c>
      <c r="C135" s="14">
        <f t="shared" si="17"/>
        <v>6.7727628498248711</v>
      </c>
      <c r="D135" s="14">
        <f t="shared" si="18"/>
        <v>6.7727628498248711</v>
      </c>
      <c r="E135" s="14">
        <f t="shared" si="19"/>
        <v>1</v>
      </c>
      <c r="F135" s="14">
        <f t="shared" si="20"/>
        <v>-3.4338857845149988</v>
      </c>
      <c r="G135" s="14">
        <f t="shared" si="25"/>
        <v>-2.589388052378486</v>
      </c>
      <c r="H135" s="14">
        <f t="shared" si="26"/>
        <v>-2.255358307518728</v>
      </c>
      <c r="I135" s="14">
        <f t="shared" si="27"/>
        <v>7.9234497980747953</v>
      </c>
      <c r="J135" s="14">
        <f t="shared" si="21"/>
        <v>6.8523287946087734</v>
      </c>
      <c r="K135" s="14">
        <f t="shared" si="28"/>
        <v>40.853785421319593</v>
      </c>
      <c r="L135" s="14">
        <f t="shared" si="29"/>
        <v>10.475469756151083</v>
      </c>
      <c r="M135" s="14">
        <f t="shared" si="30"/>
        <v>4.9096627181675583</v>
      </c>
      <c r="N135" s="14">
        <f t="shared" si="31"/>
        <v>5.8685875541838817</v>
      </c>
      <c r="O135" s="14">
        <f t="shared" si="22"/>
        <v>5.8685875541838817</v>
      </c>
      <c r="P135" s="14">
        <f t="shared" si="23"/>
        <v>1</v>
      </c>
    </row>
    <row r="136" spans="1:16" x14ac:dyDescent="0.25">
      <c r="A136" s="14">
        <f t="shared" si="24"/>
        <v>0.56000000000000039</v>
      </c>
      <c r="B136" s="14">
        <f t="shared" si="16"/>
        <v>5.6366644669851311</v>
      </c>
      <c r="C136" s="14">
        <f t="shared" si="17"/>
        <v>6.8200587313548251</v>
      </c>
      <c r="D136" s="14">
        <f t="shared" si="18"/>
        <v>6.8200587313548251</v>
      </c>
      <c r="E136" s="14">
        <f t="shared" si="19"/>
        <v>1</v>
      </c>
      <c r="F136" s="14">
        <f t="shared" si="20"/>
        <v>-3.4017994649731169</v>
      </c>
      <c r="G136" s="14">
        <f t="shared" si="25"/>
        <v>-2.5730576204475315</v>
      </c>
      <c r="H136" s="14">
        <f t="shared" si="26"/>
        <v>-2.2252222544609497</v>
      </c>
      <c r="I136" s="14">
        <f t="shared" si="27"/>
        <v>7.9105845099725576</v>
      </c>
      <c r="J136" s="14">
        <f t="shared" si="21"/>
        <v>6.7922026833364688</v>
      </c>
      <c r="K136" s="14">
        <f t="shared" si="28"/>
        <v>40.650117347191653</v>
      </c>
      <c r="L136" s="14">
        <f t="shared" si="29"/>
        <v>10.426474216193165</v>
      </c>
      <c r="M136" s="14">
        <f t="shared" si="30"/>
        <v>4.949215640717421</v>
      </c>
      <c r="N136" s="14">
        <f t="shared" si="31"/>
        <v>5.9025485676005642</v>
      </c>
      <c r="O136" s="14">
        <f t="shared" si="22"/>
        <v>5.9025485676005642</v>
      </c>
      <c r="P136" s="14">
        <f t="shared" si="23"/>
        <v>1</v>
      </c>
    </row>
    <row r="137" spans="1:16" x14ac:dyDescent="0.25">
      <c r="A137" s="14">
        <f t="shared" si="24"/>
        <v>0.56500000000000039</v>
      </c>
      <c r="B137" s="14">
        <f t="shared" si="16"/>
        <v>5.6869918282974989</v>
      </c>
      <c r="C137" s="14">
        <f t="shared" si="17"/>
        <v>6.8671096128847786</v>
      </c>
      <c r="D137" s="14">
        <f t="shared" si="18"/>
        <v>6.8671096128847786</v>
      </c>
      <c r="E137" s="14">
        <f t="shared" si="19"/>
        <v>1</v>
      </c>
      <c r="F137" s="14">
        <f t="shared" si="20"/>
        <v>-3.3700523020091673</v>
      </c>
      <c r="G137" s="14">
        <f t="shared" si="25"/>
        <v>-2.5568646682756233</v>
      </c>
      <c r="H137" s="14">
        <f t="shared" si="26"/>
        <v>-2.1953805106179369</v>
      </c>
      <c r="I137" s="14">
        <f t="shared" si="27"/>
        <v>7.8978001866311791</v>
      </c>
      <c r="J137" s="14">
        <f t="shared" si="21"/>
        <v>6.732225780783379</v>
      </c>
      <c r="K137" s="14">
        <f t="shared" si="28"/>
        <v>40.44486567794943</v>
      </c>
      <c r="L137" s="14">
        <f t="shared" si="29"/>
        <v>10.377770076051783</v>
      </c>
      <c r="M137" s="14">
        <f t="shared" si="30"/>
        <v>4.9887046416505774</v>
      </c>
      <c r="N137" s="14">
        <f t="shared" si="31"/>
        <v>5.9362096965044815</v>
      </c>
      <c r="O137" s="14">
        <f t="shared" si="22"/>
        <v>5.9362096965044815</v>
      </c>
      <c r="P137" s="14">
        <f t="shared" si="23"/>
        <v>1</v>
      </c>
    </row>
    <row r="138" spans="1:16" x14ac:dyDescent="0.25">
      <c r="A138" s="14">
        <f t="shared" si="24"/>
        <v>0.5700000000000004</v>
      </c>
      <c r="B138" s="14">
        <f t="shared" si="16"/>
        <v>5.7373191896098659</v>
      </c>
      <c r="C138" s="14">
        <f t="shared" si="17"/>
        <v>6.9139154944147325</v>
      </c>
      <c r="D138" s="14">
        <f t="shared" si="18"/>
        <v>6.9139154944147325</v>
      </c>
      <c r="E138" s="14">
        <f t="shared" si="19"/>
        <v>1</v>
      </c>
      <c r="F138" s="14">
        <f t="shared" si="20"/>
        <v>-3.3386414642932709</v>
      </c>
      <c r="G138" s="14">
        <f t="shared" si="25"/>
        <v>-2.540808187747174</v>
      </c>
      <c r="H138" s="14">
        <f t="shared" si="26"/>
        <v>-2.1658302288441811</v>
      </c>
      <c r="I138" s="14">
        <f t="shared" si="27"/>
        <v>7.8850961456924429</v>
      </c>
      <c r="J138" s="14">
        <f t="shared" si="21"/>
        <v>6.6723966296391577</v>
      </c>
      <c r="K138" s="14">
        <f t="shared" si="28"/>
        <v>40.238019042249846</v>
      </c>
      <c r="L138" s="14">
        <f t="shared" si="29"/>
        <v>10.329357095678017</v>
      </c>
      <c r="M138" s="14">
        <f t="shared" si="30"/>
        <v>5.0281301223790393</v>
      </c>
      <c r="N138" s="14">
        <f t="shared" si="31"/>
        <v>5.9695716796526774</v>
      </c>
      <c r="O138" s="14">
        <f t="shared" si="22"/>
        <v>5.9695716796526774</v>
      </c>
      <c r="P138" s="14">
        <f t="shared" si="23"/>
        <v>1</v>
      </c>
    </row>
    <row r="139" spans="1:16" x14ac:dyDescent="0.25">
      <c r="A139" s="14">
        <f t="shared" si="24"/>
        <v>0.5750000000000004</v>
      </c>
      <c r="B139" s="14">
        <f t="shared" si="16"/>
        <v>5.7876465509222328</v>
      </c>
      <c r="C139" s="14">
        <f t="shared" si="17"/>
        <v>6.9604763759446859</v>
      </c>
      <c r="D139" s="14">
        <f t="shared" si="18"/>
        <v>6.9604763759446859</v>
      </c>
      <c r="E139" s="14">
        <f t="shared" si="19"/>
        <v>1</v>
      </c>
      <c r="F139" s="14">
        <f t="shared" si="20"/>
        <v>-3.3075641583110471</v>
      </c>
      <c r="G139" s="14">
        <f t="shared" si="25"/>
        <v>-2.5248871885009594</v>
      </c>
      <c r="H139" s="14">
        <f t="shared" si="26"/>
        <v>-2.1365685916177806</v>
      </c>
      <c r="I139" s="14">
        <f t="shared" si="27"/>
        <v>7.8724717097499379</v>
      </c>
      <c r="J139" s="14">
        <f t="shared" si="21"/>
        <v>6.612713786681069</v>
      </c>
      <c r="K139" s="14">
        <f t="shared" si="28"/>
        <v>40.029566074126386</v>
      </c>
      <c r="L139" s="14">
        <f t="shared" si="29"/>
        <v>10.281235064201917</v>
      </c>
      <c r="M139" s="14">
        <f t="shared" si="30"/>
        <v>5.0674924809277888</v>
      </c>
      <c r="N139" s="14">
        <f t="shared" si="31"/>
        <v>6.002635248586083</v>
      </c>
      <c r="O139" s="14">
        <f t="shared" si="22"/>
        <v>6.002635248586083</v>
      </c>
      <c r="P139" s="14">
        <f t="shared" si="23"/>
        <v>1</v>
      </c>
    </row>
    <row r="140" spans="1:16" x14ac:dyDescent="0.25">
      <c r="A140" s="14">
        <f t="shared" si="24"/>
        <v>0.5800000000000004</v>
      </c>
      <c r="B140" s="14">
        <f t="shared" si="16"/>
        <v>5.8379739122346006</v>
      </c>
      <c r="C140" s="14">
        <f t="shared" si="17"/>
        <v>7.0067922574746397</v>
      </c>
      <c r="D140" s="14">
        <f t="shared" si="18"/>
        <v>7.0067922574746397</v>
      </c>
      <c r="E140" s="14">
        <f t="shared" si="19"/>
        <v>1</v>
      </c>
      <c r="F140" s="14">
        <f t="shared" si="20"/>
        <v>-3.2768176278066248</v>
      </c>
      <c r="G140" s="14">
        <f t="shared" si="25"/>
        <v>-2.5091006977107786</v>
      </c>
      <c r="H140" s="14">
        <f t="shared" si="26"/>
        <v>-2.1075928104478621</v>
      </c>
      <c r="I140" s="14">
        <f t="shared" si="27"/>
        <v>7.8599262062613837</v>
      </c>
      <c r="J140" s="14">
        <f t="shared" si="21"/>
        <v>6.5531758226288295</v>
      </c>
      <c r="K140" s="14">
        <f t="shared" si="28"/>
        <v>39.81949541694172</v>
      </c>
      <c r="L140" s="14">
        <f t="shared" si="29"/>
        <v>10.233403799819564</v>
      </c>
      <c r="M140" s="14">
        <f t="shared" si="30"/>
        <v>5.1067921119590958</v>
      </c>
      <c r="N140" s="14">
        <f t="shared" si="31"/>
        <v>6.0354011276992274</v>
      </c>
      <c r="O140" s="14">
        <f t="shared" si="22"/>
        <v>6.0354011276992274</v>
      </c>
      <c r="P140" s="14">
        <f t="shared" si="23"/>
        <v>1</v>
      </c>
    </row>
    <row r="141" spans="1:16" x14ac:dyDescent="0.25">
      <c r="A141" s="14">
        <f t="shared" si="24"/>
        <v>0.58500000000000041</v>
      </c>
      <c r="B141" s="14">
        <f t="shared" si="16"/>
        <v>5.8883012735469675</v>
      </c>
      <c r="C141" s="14">
        <f t="shared" si="17"/>
        <v>7.0528631390045931</v>
      </c>
      <c r="D141" s="14">
        <f t="shared" si="18"/>
        <v>7.0528631390045931</v>
      </c>
      <c r="E141" s="14">
        <f t="shared" si="19"/>
        <v>1</v>
      </c>
      <c r="F141" s="14">
        <f t="shared" si="20"/>
        <v>-3.2463991532350067</v>
      </c>
      <c r="G141" s="14">
        <f t="shared" si="25"/>
        <v>-2.4934477598691553</v>
      </c>
      <c r="H141" s="14">
        <f t="shared" si="26"/>
        <v>-2.0789001252894423</v>
      </c>
      <c r="I141" s="14">
        <f t="shared" si="27"/>
        <v>7.8474589674620381</v>
      </c>
      <c r="J141" s="14">
        <f t="shared" si="21"/>
        <v>6.4937813220023823</v>
      </c>
      <c r="K141" s="14">
        <f t="shared" si="28"/>
        <v>39.607795727482305</v>
      </c>
      <c r="L141" s="14">
        <f t="shared" si="29"/>
        <v>10.185863149678941</v>
      </c>
      <c r="M141" s="14">
        <f t="shared" si="30"/>
        <v>5.1460294067964059</v>
      </c>
      <c r="N141" s="14">
        <f t="shared" si="31"/>
        <v>6.0678700343092391</v>
      </c>
      <c r="O141" s="14">
        <f t="shared" si="22"/>
        <v>6.0678700343092391</v>
      </c>
      <c r="P141" s="14">
        <f t="shared" si="23"/>
        <v>1</v>
      </c>
    </row>
    <row r="142" spans="1:16" x14ac:dyDescent="0.25">
      <c r="A142" s="14">
        <f t="shared" si="24"/>
        <v>0.59000000000000041</v>
      </c>
      <c r="B142" s="14">
        <f t="shared" si="16"/>
        <v>5.9386286348593345</v>
      </c>
      <c r="C142" s="14">
        <f t="shared" si="17"/>
        <v>7.0986890205345468</v>
      </c>
      <c r="D142" s="14">
        <f t="shared" si="18"/>
        <v>7.0986890205345468</v>
      </c>
      <c r="E142" s="14">
        <f t="shared" si="19"/>
        <v>1</v>
      </c>
      <c r="F142" s="14">
        <f t="shared" si="20"/>
        <v>-3.2163060512236088</v>
      </c>
      <c r="G142" s="14">
        <f t="shared" si="25"/>
        <v>-2.477927436573963</v>
      </c>
      <c r="H142" s="14">
        <f t="shared" si="26"/>
        <v>-2.0504878039655812</v>
      </c>
      <c r="I142" s="14">
        <f t="shared" si="27"/>
        <v>7.8350693302791683</v>
      </c>
      <c r="J142" s="14">
        <f t="shared" si="21"/>
        <v>6.4345288829825549</v>
      </c>
      <c r="K142" s="14">
        <f t="shared" si="28"/>
        <v>39.394455680197829</v>
      </c>
      <c r="L142" s="14">
        <f t="shared" si="29"/>
        <v>10.138612989764329</v>
      </c>
      <c r="M142" s="14">
        <f t="shared" si="30"/>
        <v>5.1852047534478016</v>
      </c>
      <c r="N142" s="14">
        <f t="shared" si="31"/>
        <v>6.1000426787241517</v>
      </c>
      <c r="O142" s="14">
        <f t="shared" si="22"/>
        <v>6.1000426787241517</v>
      </c>
      <c r="P142" s="14">
        <f t="shared" si="23"/>
        <v>1</v>
      </c>
    </row>
    <row r="143" spans="1:16" x14ac:dyDescent="0.25">
      <c r="A143" s="14">
        <f t="shared" si="24"/>
        <v>0.59500000000000042</v>
      </c>
      <c r="B143" s="14">
        <f t="shared" si="16"/>
        <v>5.9889559961717023</v>
      </c>
      <c r="C143" s="14">
        <f t="shared" si="17"/>
        <v>7.1442699020645009</v>
      </c>
      <c r="D143" s="14">
        <f t="shared" si="18"/>
        <v>7.1442699020645009</v>
      </c>
      <c r="E143" s="14">
        <f t="shared" si="19"/>
        <v>1</v>
      </c>
      <c r="F143" s="14">
        <f t="shared" si="20"/>
        <v>-3.1865356740427577</v>
      </c>
      <c r="G143" s="14">
        <f t="shared" si="25"/>
        <v>-2.4625388063178466</v>
      </c>
      <c r="H143" s="14">
        <f t="shared" si="26"/>
        <v>-2.0223531415966414</v>
      </c>
      <c r="I143" s="14">
        <f t="shared" si="27"/>
        <v>7.8227566362475791</v>
      </c>
      <c r="J143" s="14">
        <f t="shared" si="21"/>
        <v>6.3754171172745719</v>
      </c>
      <c r="K143" s="14">
        <f t="shared" si="28"/>
        <v>39.17946397158854</v>
      </c>
      <c r="L143" s="14">
        <f t="shared" si="29"/>
        <v>10.091653224779037</v>
      </c>
      <c r="M143" s="14">
        <f t="shared" si="30"/>
        <v>5.2243185366290392</v>
      </c>
      <c r="N143" s="14">
        <f t="shared" si="31"/>
        <v>6.131919764310525</v>
      </c>
      <c r="O143" s="14">
        <f t="shared" si="22"/>
        <v>6.131919764310525</v>
      </c>
      <c r="P143" s="14">
        <f t="shared" si="23"/>
        <v>1</v>
      </c>
    </row>
    <row r="144" spans="1:16" x14ac:dyDescent="0.25">
      <c r="A144" s="14">
        <f t="shared" si="24"/>
        <v>0.60000000000000042</v>
      </c>
      <c r="B144" s="14">
        <f t="shared" si="16"/>
        <v>6.0392833574840692</v>
      </c>
      <c r="C144" s="14">
        <f t="shared" si="17"/>
        <v>7.1896057835944553</v>
      </c>
      <c r="D144" s="14">
        <f t="shared" si="18"/>
        <v>7.1896057835944553</v>
      </c>
      <c r="E144" s="14">
        <f t="shared" si="19"/>
        <v>1</v>
      </c>
      <c r="F144" s="14">
        <f t="shared" si="20"/>
        <v>-3.1570854090849871</v>
      </c>
      <c r="G144" s="14">
        <f t="shared" si="25"/>
        <v>-2.4472809642803339</v>
      </c>
      <c r="H144" s="14">
        <f t="shared" si="26"/>
        <v>-1.9944934600365174</v>
      </c>
      <c r="I144" s="14">
        <f t="shared" si="27"/>
        <v>7.8105202314261772</v>
      </c>
      <c r="J144" s="14">
        <f t="shared" si="21"/>
        <v>6.3164446499743896</v>
      </c>
      <c r="K144" s="14">
        <f t="shared" si="28"/>
        <v>38.962809324743226</v>
      </c>
      <c r="L144" s="14">
        <f t="shared" si="29"/>
        <v>10.044983788026126</v>
      </c>
      <c r="M144" s="14">
        <f t="shared" si="30"/>
        <v>5.2633711377861703</v>
      </c>
      <c r="N144" s="14">
        <f t="shared" si="31"/>
        <v>6.1635019875603971</v>
      </c>
      <c r="O144" s="14">
        <f t="shared" si="22"/>
        <v>6.1635019875603971</v>
      </c>
      <c r="P144" s="14">
        <f t="shared" si="23"/>
        <v>1</v>
      </c>
    </row>
    <row r="145" spans="1:16" x14ac:dyDescent="0.25">
      <c r="A145" s="14">
        <f t="shared" si="24"/>
        <v>0.60500000000000043</v>
      </c>
      <c r="B145" s="14">
        <f t="shared" si="16"/>
        <v>6.089610718796437</v>
      </c>
      <c r="C145" s="14">
        <f t="shared" si="17"/>
        <v>7.2346966651244093</v>
      </c>
      <c r="D145" s="14">
        <f t="shared" si="18"/>
        <v>7.2346966651244093</v>
      </c>
      <c r="E145" s="14">
        <f t="shared" si="19"/>
        <v>1</v>
      </c>
      <c r="F145" s="14">
        <f t="shared" si="20"/>
        <v>-3.1279526783529388</v>
      </c>
      <c r="G145" s="14">
        <f t="shared" si="25"/>
        <v>-2.4321530221225065</v>
      </c>
      <c r="H145" s="14">
        <f t="shared" si="26"/>
        <v>-1.9669061073156699</v>
      </c>
      <c r="I145" s="14">
        <f t="shared" si="27"/>
        <v>7.7983594663155644</v>
      </c>
      <c r="J145" s="14">
        <f t="shared" si="21"/>
        <v>6.2576101194378113</v>
      </c>
      <c r="K145" s="14">
        <f t="shared" si="28"/>
        <v>38.744480494030739</v>
      </c>
      <c r="L145" s="14">
        <f t="shared" si="29"/>
        <v>9.9986046412869065</v>
      </c>
      <c r="M145" s="14">
        <f t="shared" si="30"/>
        <v>5.3023629351177481</v>
      </c>
      <c r="N145" s="14">
        <f t="shared" si="31"/>
        <v>6.1947900381575858</v>
      </c>
      <c r="O145" s="14">
        <f t="shared" si="22"/>
        <v>6.1947900381575858</v>
      </c>
      <c r="P145" s="14">
        <f t="shared" si="23"/>
        <v>1</v>
      </c>
    </row>
    <row r="146" spans="1:16" x14ac:dyDescent="0.25">
      <c r="A146" s="14">
        <f t="shared" si="24"/>
        <v>0.61000000000000043</v>
      </c>
      <c r="B146" s="14">
        <f t="shared" si="16"/>
        <v>6.1399380801088039</v>
      </c>
      <c r="C146" s="14">
        <f t="shared" si="17"/>
        <v>7.2795425466543628</v>
      </c>
      <c r="D146" s="14">
        <f t="shared" si="18"/>
        <v>7.2795425466543628</v>
      </c>
      <c r="E146" s="14">
        <f t="shared" si="19"/>
        <v>1</v>
      </c>
      <c r="F146" s="14">
        <f t="shared" si="20"/>
        <v>-3.0991349379556858</v>
      </c>
      <c r="G146" s="14">
        <f t="shared" si="25"/>
        <v>-2.4171541077841208</v>
      </c>
      <c r="H146" s="14">
        <f t="shared" si="26"/>
        <v>-1.9395884570908191</v>
      </c>
      <c r="I146" s="14">
        <f t="shared" si="27"/>
        <v>7.7862736957766439</v>
      </c>
      <c r="J146" s="14">
        <f t="shared" si="21"/>
        <v>6.1989121771523576</v>
      </c>
      <c r="K146" s="14">
        <f t="shared" si="28"/>
        <v>38.524466269947922</v>
      </c>
      <c r="L146" s="14">
        <f t="shared" si="29"/>
        <v>9.9525157746969217</v>
      </c>
      <c r="M146" s="14">
        <f t="shared" si="30"/>
        <v>5.3412943035966309</v>
      </c>
      <c r="N146" s="14">
        <f t="shared" si="31"/>
        <v>6.2257845990433474</v>
      </c>
      <c r="O146" s="14">
        <f t="shared" si="22"/>
        <v>6.2257845990433474</v>
      </c>
      <c r="P146" s="14">
        <f t="shared" si="23"/>
        <v>1</v>
      </c>
    </row>
    <row r="147" spans="1:16" x14ac:dyDescent="0.25">
      <c r="A147" s="14">
        <f t="shared" si="24"/>
        <v>0.61500000000000044</v>
      </c>
      <c r="B147" s="14">
        <f t="shared" si="16"/>
        <v>6.1902654414211709</v>
      </c>
      <c r="C147" s="14">
        <f t="shared" si="17"/>
        <v>7.3241434281843167</v>
      </c>
      <c r="D147" s="14">
        <f t="shared" si="18"/>
        <v>7.3241434281843167</v>
      </c>
      <c r="E147" s="14">
        <f t="shared" si="19"/>
        <v>1</v>
      </c>
      <c r="F147" s="14">
        <f t="shared" si="20"/>
        <v>-3.0706296776133231</v>
      </c>
      <c r="G147" s="14">
        <f t="shared" si="25"/>
        <v>-2.4022833652830671</v>
      </c>
      <c r="H147" s="14">
        <f t="shared" si="26"/>
        <v>-1.9125379081011602</v>
      </c>
      <c r="I147" s="14">
        <f t="shared" si="27"/>
        <v>7.7742622789502285</v>
      </c>
      <c r="J147" s="14">
        <f t="shared" si="21"/>
        <v>6.1403494876118518</v>
      </c>
      <c r="K147" s="14">
        <f t="shared" si="28"/>
        <v>38.302755484126671</v>
      </c>
      <c r="L147" s="14">
        <f t="shared" si="29"/>
        <v>9.9067172066191294</v>
      </c>
      <c r="M147" s="14">
        <f t="shared" si="30"/>
        <v>5.3801656149913821</v>
      </c>
      <c r="N147" s="14">
        <f t="shared" si="31"/>
        <v>6.2564863464814069</v>
      </c>
      <c r="O147" s="14">
        <f t="shared" si="22"/>
        <v>6.2564863464814069</v>
      </c>
      <c r="P147" s="14">
        <f t="shared" si="23"/>
        <v>1</v>
      </c>
    </row>
    <row r="148" spans="1:16" x14ac:dyDescent="0.25">
      <c r="A148" s="14">
        <f t="shared" si="24"/>
        <v>0.62000000000000044</v>
      </c>
      <c r="B148" s="14">
        <f t="shared" si="16"/>
        <v>6.2405928027335387</v>
      </c>
      <c r="C148" s="14">
        <f t="shared" si="17"/>
        <v>7.3684993097142701</v>
      </c>
      <c r="D148" s="14">
        <f t="shared" si="18"/>
        <v>7.3684993097142701</v>
      </c>
      <c r="E148" s="14">
        <f t="shared" si="19"/>
        <v>1</v>
      </c>
      <c r="F148" s="14">
        <f t="shared" si="20"/>
        <v>-3.0424344201696294</v>
      </c>
      <c r="G148" s="14">
        <f t="shared" si="25"/>
        <v>-2.3875399545170346</v>
      </c>
      <c r="H148" s="14">
        <f t="shared" si="26"/>
        <v>-1.8857518836309581</v>
      </c>
      <c r="I148" s="14">
        <f t="shared" si="27"/>
        <v>7.7623245791776432</v>
      </c>
      <c r="J148" s="14">
        <f t="shared" si="21"/>
        <v>6.0819207281936967</v>
      </c>
      <c r="K148" s="14">
        <f t="shared" si="28"/>
        <v>38.079337014502826</v>
      </c>
      <c r="L148" s="14">
        <f t="shared" si="29"/>
        <v>9.8612089835140146</v>
      </c>
      <c r="M148" s="14">
        <f t="shared" si="30"/>
        <v>5.4189772378872707</v>
      </c>
      <c r="N148" s="14">
        <f t="shared" si="31"/>
        <v>6.2868959501223758</v>
      </c>
      <c r="O148" s="14">
        <f t="shared" si="22"/>
        <v>6.2868959501223758</v>
      </c>
      <c r="P148" s="14">
        <f t="shared" si="23"/>
        <v>1</v>
      </c>
    </row>
    <row r="149" spans="1:16" x14ac:dyDescent="0.25">
      <c r="A149" s="14">
        <f t="shared" si="24"/>
        <v>0.62500000000000044</v>
      </c>
      <c r="B149" s="14">
        <f t="shared" si="16"/>
        <v>6.2909201640459056</v>
      </c>
      <c r="C149" s="14">
        <f t="shared" si="17"/>
        <v>7.4126101912442239</v>
      </c>
      <c r="D149" s="14">
        <f t="shared" si="18"/>
        <v>7.4126101912442239</v>
      </c>
      <c r="E149" s="14">
        <f t="shared" si="19"/>
        <v>1</v>
      </c>
      <c r="F149" s="14">
        <f t="shared" si="20"/>
        <v>-3.0145467211126626</v>
      </c>
      <c r="G149" s="14">
        <f t="shared" si="25"/>
        <v>-2.3729230510672847</v>
      </c>
      <c r="H149" s="14">
        <f t="shared" si="26"/>
        <v>-1.8592278309783969</v>
      </c>
      <c r="I149" s="14">
        <f t="shared" si="27"/>
        <v>7.7504599639223066</v>
      </c>
      <c r="J149" s="14">
        <f t="shared" si="21"/>
        <v>6.0236245890388043</v>
      </c>
      <c r="K149" s="14">
        <f t="shared" si="28"/>
        <v>37.854199790649687</v>
      </c>
      <c r="L149" s="14">
        <f t="shared" si="29"/>
        <v>9.8159911798063195</v>
      </c>
      <c r="M149" s="14">
        <f t="shared" si="30"/>
        <v>5.4577295377068822</v>
      </c>
      <c r="N149" s="14">
        <f t="shared" si="31"/>
        <v>6.3170140730675701</v>
      </c>
      <c r="O149" s="14">
        <f t="shared" si="22"/>
        <v>6.3170140730675701</v>
      </c>
      <c r="P149" s="14">
        <f t="shared" si="23"/>
        <v>1</v>
      </c>
    </row>
    <row r="150" spans="1:16" x14ac:dyDescent="0.25">
      <c r="A150" s="14">
        <f t="shared" si="24"/>
        <v>0.63000000000000045</v>
      </c>
      <c r="B150" s="14">
        <f t="shared" si="16"/>
        <v>6.3412475253582725</v>
      </c>
      <c r="C150" s="14">
        <f t="shared" si="17"/>
        <v>7.4564760727741772</v>
      </c>
      <c r="D150" s="14">
        <f t="shared" si="18"/>
        <v>7.4564760727741772</v>
      </c>
      <c r="E150" s="14">
        <f t="shared" si="19"/>
        <v>1</v>
      </c>
      <c r="F150" s="14">
        <f t="shared" si="20"/>
        <v>-2.9869641681030989</v>
      </c>
      <c r="G150" s="14">
        <f t="shared" si="25"/>
        <v>-2.3584318460044038</v>
      </c>
      <c r="H150" s="14">
        <f t="shared" si="26"/>
        <v>-1.8329632209305502</v>
      </c>
      <c r="I150" s="14">
        <f t="shared" si="27"/>
        <v>7.7386678046922848</v>
      </c>
      <c r="J150" s="14">
        <f t="shared" si="21"/>
        <v>5.9654597729341514</v>
      </c>
      <c r="K150" s="14">
        <f t="shared" si="28"/>
        <v>37.627332799278577</v>
      </c>
      <c r="L150" s="14">
        <f t="shared" si="29"/>
        <v>9.7710638977481103</v>
      </c>
      <c r="M150" s="14">
        <f t="shared" si="30"/>
        <v>5.4964228767303434</v>
      </c>
      <c r="N150" s="14">
        <f t="shared" si="31"/>
        <v>6.346841371932241</v>
      </c>
      <c r="O150" s="14">
        <f t="shared" si="22"/>
        <v>6.346841371932241</v>
      </c>
      <c r="P150" s="14">
        <f t="shared" si="23"/>
        <v>1</v>
      </c>
    </row>
    <row r="151" spans="1:16" x14ac:dyDescent="0.25">
      <c r="A151" s="14">
        <f t="shared" si="24"/>
        <v>0.63500000000000045</v>
      </c>
      <c r="B151" s="14">
        <f t="shared" si="16"/>
        <v>6.3915748866706403</v>
      </c>
      <c r="C151" s="14">
        <f t="shared" si="17"/>
        <v>7.5000969543041309</v>
      </c>
      <c r="D151" s="14">
        <f t="shared" si="18"/>
        <v>7.5000969543041309</v>
      </c>
      <c r="E151" s="14">
        <f t="shared" si="19"/>
        <v>1</v>
      </c>
      <c r="F151" s="14">
        <f t="shared" si="20"/>
        <v>-2.9596843805101711</v>
      </c>
      <c r="G151" s="14">
        <f t="shared" si="25"/>
        <v>-2.3440655456959267</v>
      </c>
      <c r="H151" s="14">
        <f t="shared" si="26"/>
        <v>-1.8069555472443515</v>
      </c>
      <c r="I151" s="14">
        <f t="shared" si="27"/>
        <v>7.7269474769638054</v>
      </c>
      <c r="J151" s="14">
        <f t="shared" si="21"/>
        <v>5.9074249951979301</v>
      </c>
      <c r="K151" s="14">
        <f t="shared" si="28"/>
        <v>37.398725089909135</v>
      </c>
      <c r="L151" s="14">
        <f t="shared" si="29"/>
        <v>9.7264272672778773</v>
      </c>
      <c r="M151" s="14">
        <f t="shared" si="30"/>
        <v>5.5350576141151624</v>
      </c>
      <c r="N151" s="14">
        <f t="shared" si="31"/>
        <v>6.3763784969082309</v>
      </c>
      <c r="O151" s="14">
        <f t="shared" si="22"/>
        <v>6.3763784969082309</v>
      </c>
      <c r="P151" s="14">
        <f t="shared" si="23"/>
        <v>1</v>
      </c>
    </row>
    <row r="152" spans="1:16" x14ac:dyDescent="0.25">
      <c r="A152" s="14">
        <f t="shared" si="24"/>
        <v>0.64000000000000046</v>
      </c>
      <c r="B152" s="14">
        <f t="shared" ref="B152:B215" si="32">IF(E152=0,B151,$B$19*A152)</f>
        <v>6.4419022479830073</v>
      </c>
      <c r="C152" s="14">
        <f t="shared" si="17"/>
        <v>7.5434728358340841</v>
      </c>
      <c r="D152" s="14">
        <f t="shared" si="18"/>
        <v>7.5434728358340841</v>
      </c>
      <c r="E152" s="14">
        <f t="shared" si="19"/>
        <v>1</v>
      </c>
      <c r="F152" s="14">
        <f t="shared" si="20"/>
        <v>-2.9327050089550446</v>
      </c>
      <c r="G152" s="14">
        <f t="shared" si="25"/>
        <v>-2.3298233716157077</v>
      </c>
      <c r="H152" s="14">
        <f t="shared" si="26"/>
        <v>-1.7812023261334531</v>
      </c>
      <c r="I152" s="14">
        <f t="shared" si="27"/>
        <v>7.7152983601057272</v>
      </c>
      <c r="J152" s="14">
        <f t="shared" si="21"/>
        <v>5.849518983567263</v>
      </c>
      <c r="K152" s="14">
        <f t="shared" si="28"/>
        <v>37.168365780711675</v>
      </c>
      <c r="L152" s="14">
        <f t="shared" si="29"/>
        <v>9.6820814458753599</v>
      </c>
      <c r="M152" s="14">
        <f t="shared" si="30"/>
        <v>5.5736341059156906</v>
      </c>
      <c r="N152" s="14">
        <f t="shared" si="31"/>
        <v>6.4056260918260675</v>
      </c>
      <c r="O152" s="14">
        <f t="shared" si="22"/>
        <v>6.4056260918260675</v>
      </c>
      <c r="P152" s="14">
        <f t="shared" si="23"/>
        <v>1</v>
      </c>
    </row>
    <row r="153" spans="1:16" x14ac:dyDescent="0.25">
      <c r="A153" s="14">
        <f t="shared" si="24"/>
        <v>0.64500000000000046</v>
      </c>
      <c r="B153" s="14">
        <f t="shared" si="32"/>
        <v>6.4922296092953751</v>
      </c>
      <c r="C153" s="14">
        <f t="shared" ref="C153:C216" si="33">$B$20*A153+0.5*$B$16*A153^2+$B$17</f>
        <v>7.5866037173640386</v>
      </c>
      <c r="D153" s="14">
        <f t="shared" ref="D153:D216" si="34">IF(E153=1,C153,$B$18)</f>
        <v>7.5866037173640386</v>
      </c>
      <c r="E153" s="14">
        <f t="shared" ref="E153:E216" si="35">IF(AND(C154-C153&lt;0,C153&lt;$B$18),0,1)</f>
        <v>1</v>
      </c>
      <c r="F153" s="14">
        <f t="shared" ref="F153:F216" si="36">-$E$13*L152^2</f>
        <v>-2.9060237348614808</v>
      </c>
      <c r="G153" s="14">
        <f t="shared" si="25"/>
        <v>-2.3157045601549395</v>
      </c>
      <c r="H153" s="14">
        <f t="shared" si="26"/>
        <v>-1.7557010957608608</v>
      </c>
      <c r="I153" s="14">
        <f t="shared" si="27"/>
        <v>7.7037198373049529</v>
      </c>
      <c r="J153" s="14">
        <f t="shared" ref="J153:J216" si="37">J152+(H153+$B$16)*$A$22</f>
        <v>5.7917404780884585</v>
      </c>
      <c r="K153" s="14">
        <f t="shared" si="28"/>
        <v>36.93624406452404</v>
      </c>
      <c r="L153" s="14">
        <f t="shared" si="29"/>
        <v>9.6380266184117893</v>
      </c>
      <c r="M153" s="14">
        <f t="shared" si="30"/>
        <v>5.6121527051022158</v>
      </c>
      <c r="N153" s="14">
        <f t="shared" si="31"/>
        <v>6.4345847942165095</v>
      </c>
      <c r="O153" s="14">
        <f t="shared" ref="O153:O216" si="38">IF(P153=1,N153,$B$18)</f>
        <v>6.4345847942165095</v>
      </c>
      <c r="P153" s="14">
        <f t="shared" ref="P153:P216" si="39">IF(AND(N154-N153&lt;0,N153&lt;$B$18),0,1)</f>
        <v>1</v>
      </c>
    </row>
    <row r="154" spans="1:16" x14ac:dyDescent="0.25">
      <c r="A154" s="14">
        <f t="shared" ref="A154:A217" si="40">A153+$A$22</f>
        <v>0.65000000000000047</v>
      </c>
      <c r="B154" s="14">
        <f t="shared" si="32"/>
        <v>6.542556970607742</v>
      </c>
      <c r="C154" s="14">
        <f t="shared" si="33"/>
        <v>7.6294895988939917</v>
      </c>
      <c r="D154" s="14">
        <f t="shared" si="34"/>
        <v>7.6294895988939917</v>
      </c>
      <c r="E154" s="14">
        <f t="shared" si="35"/>
        <v>1</v>
      </c>
      <c r="F154" s="14">
        <f t="shared" si="36"/>
        <v>-2.8796382700136398</v>
      </c>
      <c r="G154" s="14">
        <f t="shared" ref="G154:G217" si="41">$F154*COS(PI()/180*$K153)</f>
        <v>-2.3017083624346943</v>
      </c>
      <c r="H154" s="14">
        <f t="shared" ref="H154:H217" si="42">$F154*SIN(PI()/180*$K153)</f>
        <v>-1.7304494157372372</v>
      </c>
      <c r="I154" s="14">
        <f t="shared" ref="I154:I217" si="43">I153+G154*$A$22</f>
        <v>7.692211295492779</v>
      </c>
      <c r="J154" s="14">
        <f t="shared" si="37"/>
        <v>5.7340882310097721</v>
      </c>
      <c r="K154" s="14">
        <f t="shared" ref="K154:K217" si="44">180/PI()*ATAN(J154/I154)</f>
        <v>36.702349215045174</v>
      </c>
      <c r="L154" s="14">
        <f t="shared" ref="L154:L217" si="45">SQRT(I154^2+J154^2)</f>
        <v>9.5942629969952087</v>
      </c>
      <c r="M154" s="14">
        <f t="shared" ref="M154:M217" si="46">IF(P154=0,M153,M153+I154*$A$22)</f>
        <v>5.6506137615796792</v>
      </c>
      <c r="N154" s="14">
        <f t="shared" ref="N154:N217" si="47">N153+J154*$A$22</f>
        <v>6.463255235371558</v>
      </c>
      <c r="O154" s="14">
        <f t="shared" si="38"/>
        <v>6.463255235371558</v>
      </c>
      <c r="P154" s="14">
        <f t="shared" si="39"/>
        <v>1</v>
      </c>
    </row>
    <row r="155" spans="1:16" x14ac:dyDescent="0.25">
      <c r="A155" s="14">
        <f t="shared" si="40"/>
        <v>0.65500000000000047</v>
      </c>
      <c r="B155" s="14">
        <f t="shared" si="32"/>
        <v>6.5928843319201089</v>
      </c>
      <c r="C155" s="14">
        <f t="shared" si="33"/>
        <v>7.672130480423947</v>
      </c>
      <c r="D155" s="14">
        <f t="shared" si="34"/>
        <v>7.672130480423947</v>
      </c>
      <c r="E155" s="14">
        <f t="shared" si="35"/>
        <v>1</v>
      </c>
      <c r="F155" s="14">
        <f t="shared" si="36"/>
        <v>-2.8535463561208561</v>
      </c>
      <c r="G155" s="14">
        <f t="shared" si="41"/>
        <v>-2.2878340441198635</v>
      </c>
      <c r="H155" s="14">
        <f t="shared" si="42"/>
        <v>-1.7054448666247661</v>
      </c>
      <c r="I155" s="14">
        <f t="shared" si="43"/>
        <v>7.6807721252721795</v>
      </c>
      <c r="J155" s="14">
        <f t="shared" si="37"/>
        <v>5.6765610066766481</v>
      </c>
      <c r="K155" s="14">
        <f t="shared" si="44"/>
        <v>36.466670593207439</v>
      </c>
      <c r="L155" s="14">
        <f t="shared" si="45"/>
        <v>9.5507908208105956</v>
      </c>
      <c r="M155" s="14">
        <f t="shared" si="46"/>
        <v>5.6890176222060402</v>
      </c>
      <c r="N155" s="14">
        <f t="shared" si="47"/>
        <v>6.4916380404049416</v>
      </c>
      <c r="O155" s="14">
        <f t="shared" si="38"/>
        <v>6.4916380404049416</v>
      </c>
      <c r="P155" s="14">
        <f t="shared" si="39"/>
        <v>1</v>
      </c>
    </row>
    <row r="156" spans="1:16" x14ac:dyDescent="0.25">
      <c r="A156" s="14">
        <f t="shared" si="40"/>
        <v>0.66000000000000048</v>
      </c>
      <c r="B156" s="14">
        <f t="shared" si="32"/>
        <v>6.6432116932324767</v>
      </c>
      <c r="C156" s="14">
        <f t="shared" si="33"/>
        <v>7.7145263619539008</v>
      </c>
      <c r="D156" s="14">
        <f t="shared" si="34"/>
        <v>7.7145263619539008</v>
      </c>
      <c r="E156" s="14">
        <f t="shared" si="35"/>
        <v>1</v>
      </c>
      <c r="F156" s="14">
        <f t="shared" si="36"/>
        <v>-2.8277457643892778</v>
      </c>
      <c r="G156" s="14">
        <f t="shared" si="41"/>
        <v>-2.2740808852344103</v>
      </c>
      <c r="H156" s="14">
        <f t="shared" si="42"/>
        <v>-1.6806850494464993</v>
      </c>
      <c r="I156" s="14">
        <f t="shared" si="43"/>
        <v>7.6694017208460075</v>
      </c>
      <c r="J156" s="14">
        <f t="shared" si="37"/>
        <v>5.6191575814294152</v>
      </c>
      <c r="K156" s="14">
        <f t="shared" si="44"/>
        <v>36.229197653729976</v>
      </c>
      <c r="L156" s="14">
        <f t="shared" si="45"/>
        <v>9.5076103559544016</v>
      </c>
      <c r="M156" s="14">
        <f t="shared" si="46"/>
        <v>5.7273646308102704</v>
      </c>
      <c r="N156" s="14">
        <f t="shared" si="47"/>
        <v>6.5197338283120887</v>
      </c>
      <c r="O156" s="14">
        <f t="shared" si="38"/>
        <v>6.5197338283120887</v>
      </c>
      <c r="P156" s="14">
        <f t="shared" si="39"/>
        <v>1</v>
      </c>
    </row>
    <row r="157" spans="1:16" x14ac:dyDescent="0.25">
      <c r="A157" s="14">
        <f t="shared" si="40"/>
        <v>0.66500000000000048</v>
      </c>
      <c r="B157" s="14">
        <f t="shared" si="32"/>
        <v>6.6935390545448437</v>
      </c>
      <c r="C157" s="14">
        <f t="shared" si="33"/>
        <v>7.7566772434838542</v>
      </c>
      <c r="D157" s="14">
        <f t="shared" si="34"/>
        <v>7.7566772434838542</v>
      </c>
      <c r="E157" s="14">
        <f t="shared" si="35"/>
        <v>1</v>
      </c>
      <c r="F157" s="14">
        <f t="shared" si="36"/>
        <v>-2.8022342951001931</v>
      </c>
      <c r="G157" s="14">
        <f t="shared" si="41"/>
        <v>-2.2604481799777907</v>
      </c>
      <c r="H157" s="14">
        <f t="shared" si="42"/>
        <v>-1.6561675852010782</v>
      </c>
      <c r="I157" s="14">
        <f t="shared" si="43"/>
        <v>7.6580994799461184</v>
      </c>
      <c r="J157" s="14">
        <f t="shared" si="37"/>
        <v>5.5618767435034098</v>
      </c>
      <c r="K157" s="14">
        <f t="shared" si="44"/>
        <v>35.989919951854645</v>
      </c>
      <c r="L157" s="14">
        <f t="shared" si="45"/>
        <v>9.4647218952632262</v>
      </c>
      <c r="M157" s="14">
        <f t="shared" si="46"/>
        <v>5.7656551282100006</v>
      </c>
      <c r="N157" s="14">
        <f t="shared" si="47"/>
        <v>6.5475432120296055</v>
      </c>
      <c r="O157" s="14">
        <f t="shared" si="38"/>
        <v>6.5475432120296055</v>
      </c>
      <c r="P157" s="14">
        <f t="shared" si="39"/>
        <v>1</v>
      </c>
    </row>
    <row r="158" spans="1:16" x14ac:dyDescent="0.25">
      <c r="A158" s="14">
        <f t="shared" si="40"/>
        <v>0.67000000000000048</v>
      </c>
      <c r="B158" s="14">
        <f t="shared" si="32"/>
        <v>6.7438664158572106</v>
      </c>
      <c r="C158" s="14">
        <f t="shared" si="33"/>
        <v>7.798583125013808</v>
      </c>
      <c r="D158" s="14">
        <f t="shared" si="34"/>
        <v>7.798583125013808</v>
      </c>
      <c r="E158" s="14">
        <f t="shared" si="35"/>
        <v>1</v>
      </c>
      <c r="F158" s="14">
        <f t="shared" si="36"/>
        <v>-2.7770097771949285</v>
      </c>
      <c r="G158" s="14">
        <f t="shared" si="41"/>
        <v>-2.2469352365424484</v>
      </c>
      <c r="H158" s="14">
        <f t="shared" si="42"/>
        <v>-1.631890114382754</v>
      </c>
      <c r="I158" s="14">
        <f t="shared" si="43"/>
        <v>7.6468648037634059</v>
      </c>
      <c r="J158" s="14">
        <f t="shared" si="37"/>
        <v>5.5047172929314963</v>
      </c>
      <c r="K158" s="14">
        <f t="shared" si="44"/>
        <v>35.748827150266479</v>
      </c>
      <c r="L158" s="14">
        <f t="shared" si="45"/>
        <v>9.4221257581362501</v>
      </c>
      <c r="M158" s="14">
        <f t="shared" si="46"/>
        <v>5.8038894522288178</v>
      </c>
      <c r="N158" s="14">
        <f t="shared" si="47"/>
        <v>6.5750667984942632</v>
      </c>
      <c r="O158" s="14">
        <f t="shared" si="38"/>
        <v>6.5750667984942632</v>
      </c>
      <c r="P158" s="14">
        <f t="shared" si="39"/>
        <v>1</v>
      </c>
    </row>
    <row r="159" spans="1:16" x14ac:dyDescent="0.25">
      <c r="A159" s="14">
        <f t="shared" si="40"/>
        <v>0.67500000000000049</v>
      </c>
      <c r="B159" s="14">
        <f t="shared" si="32"/>
        <v>6.7941937771695784</v>
      </c>
      <c r="C159" s="14">
        <f t="shared" si="33"/>
        <v>7.8402440065437613</v>
      </c>
      <c r="D159" s="14">
        <f t="shared" si="34"/>
        <v>7.8402440065437613</v>
      </c>
      <c r="E159" s="14">
        <f t="shared" si="35"/>
        <v>1</v>
      </c>
      <c r="F159" s="14">
        <f t="shared" si="36"/>
        <v>-2.7520700678661729</v>
      </c>
      <c r="G159" s="14">
        <f t="shared" si="41"/>
        <v>-2.2335413769322652</v>
      </c>
      <c r="H159" s="14">
        <f t="shared" si="42"/>
        <v>-1.607850296506625</v>
      </c>
      <c r="I159" s="14">
        <f t="shared" si="43"/>
        <v>7.6356970968787445</v>
      </c>
      <c r="J159" s="14">
        <f t="shared" si="37"/>
        <v>5.4476780414489632</v>
      </c>
      <c r="K159" s="14">
        <f t="shared" si="44"/>
        <v>35.505909026200285</v>
      </c>
      <c r="L159" s="14">
        <f t="shared" si="45"/>
        <v>9.3798222903511181</v>
      </c>
      <c r="M159" s="14">
        <f t="shared" si="46"/>
        <v>5.8420679377132112</v>
      </c>
      <c r="N159" s="14">
        <f t="shared" si="47"/>
        <v>6.6023051887015081</v>
      </c>
      <c r="O159" s="14">
        <f t="shared" si="38"/>
        <v>6.6023051887015081</v>
      </c>
      <c r="P159" s="14">
        <f t="shared" si="39"/>
        <v>1</v>
      </c>
    </row>
    <row r="160" spans="1:16" x14ac:dyDescent="0.25">
      <c r="A160" s="14">
        <f t="shared" si="40"/>
        <v>0.68000000000000049</v>
      </c>
      <c r="B160" s="14">
        <f t="shared" si="32"/>
        <v>6.8445211384819453</v>
      </c>
      <c r="C160" s="14">
        <f t="shared" si="33"/>
        <v>7.881659888073715</v>
      </c>
      <c r="D160" s="14">
        <f t="shared" si="34"/>
        <v>7.881659888073715</v>
      </c>
      <c r="E160" s="14">
        <f t="shared" si="35"/>
        <v>1</v>
      </c>
      <c r="F160" s="14">
        <f t="shared" si="36"/>
        <v>-2.7274130521555984</v>
      </c>
      <c r="G160" s="14">
        <f t="shared" si="41"/>
        <v>-2.2202659367818494</v>
      </c>
      <c r="H160" s="14">
        <f t="shared" si="42"/>
        <v>-1.5840458096390186</v>
      </c>
      <c r="I160" s="14">
        <f t="shared" si="43"/>
        <v>7.624595767194835</v>
      </c>
      <c r="J160" s="14">
        <f t="shared" si="37"/>
        <v>5.3907578124007678</v>
      </c>
      <c r="K160" s="14">
        <f t="shared" si="44"/>
        <v>35.261155478734636</v>
      </c>
      <c r="L160" s="14">
        <f t="shared" si="45"/>
        <v>9.33781186387289</v>
      </c>
      <c r="M160" s="14">
        <f t="shared" si="46"/>
        <v>5.8801909165491857</v>
      </c>
      <c r="N160" s="14">
        <f t="shared" si="47"/>
        <v>6.629258977763512</v>
      </c>
      <c r="O160" s="14">
        <f t="shared" si="38"/>
        <v>6.629258977763512</v>
      </c>
      <c r="P160" s="14">
        <f t="shared" si="39"/>
        <v>1</v>
      </c>
    </row>
    <row r="161" spans="1:16" x14ac:dyDescent="0.25">
      <c r="A161" s="14">
        <f t="shared" si="40"/>
        <v>0.6850000000000005</v>
      </c>
      <c r="B161" s="14">
        <f t="shared" si="32"/>
        <v>6.8948484997943122</v>
      </c>
      <c r="C161" s="14">
        <f t="shared" si="33"/>
        <v>7.9228307696036691</v>
      </c>
      <c r="D161" s="14">
        <f t="shared" si="34"/>
        <v>7.9228307696036691</v>
      </c>
      <c r="E161" s="14">
        <f t="shared" si="35"/>
        <v>1</v>
      </c>
      <c r="F161" s="14">
        <f t="shared" si="36"/>
        <v>-2.703036642557644</v>
      </c>
      <c r="G161" s="14">
        <f t="shared" si="41"/>
        <v>-2.2071082651765552</v>
      </c>
      <c r="H161" s="14">
        <f t="shared" si="42"/>
        <v>-1.5604743499329419</v>
      </c>
      <c r="I161" s="14">
        <f t="shared" si="43"/>
        <v>7.6135602258689525</v>
      </c>
      <c r="J161" s="14">
        <f t="shared" si="37"/>
        <v>5.3339554406511027</v>
      </c>
      <c r="K161" s="14">
        <f t="shared" si="44"/>
        <v>35.014556536274561</v>
      </c>
      <c r="L161" s="14">
        <f t="shared" si="45"/>
        <v>9.2960948766557454</v>
      </c>
      <c r="M161" s="14">
        <f t="shared" si="46"/>
        <v>5.9182587176785306</v>
      </c>
      <c r="N161" s="14">
        <f t="shared" si="47"/>
        <v>6.6559287549667676</v>
      </c>
      <c r="O161" s="14">
        <f t="shared" si="38"/>
        <v>6.6559287549667676</v>
      </c>
      <c r="P161" s="14">
        <f t="shared" si="39"/>
        <v>1</v>
      </c>
    </row>
    <row r="162" spans="1:16" x14ac:dyDescent="0.25">
      <c r="A162" s="14">
        <f t="shared" si="40"/>
        <v>0.6900000000000005</v>
      </c>
      <c r="B162" s="14">
        <f t="shared" si="32"/>
        <v>6.9451758611066801</v>
      </c>
      <c r="C162" s="14">
        <f t="shared" si="33"/>
        <v>7.9637566511336226</v>
      </c>
      <c r="D162" s="14">
        <f t="shared" si="34"/>
        <v>7.9637566511336226</v>
      </c>
      <c r="E162" s="14">
        <f t="shared" si="35"/>
        <v>1</v>
      </c>
      <c r="F162" s="14">
        <f t="shared" si="36"/>
        <v>-2.678938778629341</v>
      </c>
      <c r="G162" s="14">
        <f t="shared" si="41"/>
        <v>-2.1940677244731202</v>
      </c>
      <c r="H162" s="14">
        <f t="shared" si="42"/>
        <v>-1.5371336311685493</v>
      </c>
      <c r="I162" s="14">
        <f t="shared" si="43"/>
        <v>7.6025898872465874</v>
      </c>
      <c r="J162" s="14">
        <f t="shared" si="37"/>
        <v>5.2772697724952602</v>
      </c>
      <c r="K162" s="14">
        <f t="shared" si="44"/>
        <v>34.766102364224054</v>
      </c>
      <c r="L162" s="14">
        <f t="shared" si="45"/>
        <v>9.2546717524370496</v>
      </c>
      <c r="M162" s="14">
        <f t="shared" si="46"/>
        <v>5.9562716671147635</v>
      </c>
      <c r="N162" s="14">
        <f t="shared" si="47"/>
        <v>6.6823151038292439</v>
      </c>
      <c r="O162" s="14">
        <f t="shared" si="38"/>
        <v>6.6823151038292439</v>
      </c>
      <c r="P162" s="14">
        <f t="shared" si="39"/>
        <v>1</v>
      </c>
    </row>
    <row r="163" spans="1:16" x14ac:dyDescent="0.25">
      <c r="A163" s="14">
        <f t="shared" si="40"/>
        <v>0.69500000000000051</v>
      </c>
      <c r="B163" s="14">
        <f t="shared" si="32"/>
        <v>6.995503222419047</v>
      </c>
      <c r="C163" s="14">
        <f t="shared" si="33"/>
        <v>8.0044375326635766</v>
      </c>
      <c r="D163" s="14">
        <f t="shared" si="34"/>
        <v>8.0044375326635766</v>
      </c>
      <c r="E163" s="14">
        <f t="shared" si="35"/>
        <v>1</v>
      </c>
      <c r="F163" s="14">
        <f t="shared" si="36"/>
        <v>-2.6551174266060436</v>
      </c>
      <c r="G163" s="14">
        <f t="shared" si="41"/>
        <v>-2.181143690120801</v>
      </c>
      <c r="H163" s="14">
        <f t="shared" si="42"/>
        <v>-1.5140213842985553</v>
      </c>
      <c r="I163" s="14">
        <f t="shared" si="43"/>
        <v>7.5916841687959833</v>
      </c>
      <c r="J163" s="14">
        <f t="shared" si="37"/>
        <v>5.2206996655737674</v>
      </c>
      <c r="K163" s="14">
        <f t="shared" si="44"/>
        <v>34.515783272849035</v>
      </c>
      <c r="L163" s="14">
        <f t="shared" si="45"/>
        <v>9.2135429405234568</v>
      </c>
      <c r="M163" s="14">
        <f t="shared" si="46"/>
        <v>5.9942300879587433</v>
      </c>
      <c r="N163" s="14">
        <f t="shared" si="47"/>
        <v>6.7084186021571126</v>
      </c>
      <c r="O163" s="14">
        <f t="shared" si="38"/>
        <v>6.7084186021571126</v>
      </c>
      <c r="P163" s="14">
        <f t="shared" si="39"/>
        <v>1</v>
      </c>
    </row>
    <row r="164" spans="1:16" x14ac:dyDescent="0.25">
      <c r="A164" s="14">
        <f t="shared" si="40"/>
        <v>0.70000000000000051</v>
      </c>
      <c r="B164" s="14">
        <f t="shared" si="32"/>
        <v>7.0458305837314148</v>
      </c>
      <c r="C164" s="14">
        <f t="shared" si="33"/>
        <v>8.0448734141935301</v>
      </c>
      <c r="D164" s="14">
        <f t="shared" si="34"/>
        <v>8.0448734141935301</v>
      </c>
      <c r="E164" s="14">
        <f t="shared" si="35"/>
        <v>1</v>
      </c>
      <c r="F164" s="14">
        <f t="shared" si="36"/>
        <v>-2.6315705790229584</v>
      </c>
      <c r="G164" s="14">
        <f t="shared" si="41"/>
        <v>-2.1683355504829116</v>
      </c>
      <c r="H164" s="14">
        <f t="shared" si="42"/>
        <v>-1.491135356998551</v>
      </c>
      <c r="I164" s="14">
        <f t="shared" si="43"/>
        <v>7.580842491043569</v>
      </c>
      <c r="J164" s="14">
        <f t="shared" si="37"/>
        <v>5.1642439887887743</v>
      </c>
      <c r="K164" s="14">
        <f t="shared" si="44"/>
        <v>34.263589725331649</v>
      </c>
      <c r="L164" s="14">
        <f t="shared" si="45"/>
        <v>9.1727089155686521</v>
      </c>
      <c r="M164" s="14">
        <f t="shared" si="46"/>
        <v>6.0321343004139614</v>
      </c>
      <c r="N164" s="14">
        <f t="shared" si="47"/>
        <v>6.7342398221010562</v>
      </c>
      <c r="O164" s="14">
        <f t="shared" si="38"/>
        <v>6.7342398221010562</v>
      </c>
      <c r="P164" s="14">
        <f t="shared" si="39"/>
        <v>1</v>
      </c>
    </row>
    <row r="165" spans="1:16" x14ac:dyDescent="0.25">
      <c r="A165" s="14">
        <f t="shared" si="40"/>
        <v>0.70500000000000052</v>
      </c>
      <c r="B165" s="14">
        <f t="shared" si="32"/>
        <v>7.0961579450437817</v>
      </c>
      <c r="C165" s="14">
        <f t="shared" si="33"/>
        <v>8.085064295723484</v>
      </c>
      <c r="D165" s="14">
        <f t="shared" si="34"/>
        <v>8.085064295723484</v>
      </c>
      <c r="E165" s="14">
        <f t="shared" si="35"/>
        <v>1</v>
      </c>
      <c r="F165" s="14">
        <f t="shared" si="36"/>
        <v>-2.6082962543423318</v>
      </c>
      <c r="G165" s="14">
        <f t="shared" si="41"/>
        <v>-2.1556427066586274</v>
      </c>
      <c r="H165" s="14">
        <f t="shared" si="42"/>
        <v>-1.4684733132221726</v>
      </c>
      <c r="I165" s="14">
        <f t="shared" si="43"/>
        <v>7.5700642775102756</v>
      </c>
      <c r="J165" s="14">
        <f t="shared" si="37"/>
        <v>5.1079016222226636</v>
      </c>
      <c r="K165" s="14">
        <f t="shared" si="44"/>
        <v>34.009512346015974</v>
      </c>
      <c r="L165" s="14">
        <f t="shared" si="45"/>
        <v>9.1321701773424095</v>
      </c>
      <c r="M165" s="14">
        <f t="shared" si="46"/>
        <v>6.0699846218015123</v>
      </c>
      <c r="N165" s="14">
        <f t="shared" si="47"/>
        <v>6.7597793302121696</v>
      </c>
      <c r="O165" s="14">
        <f t="shared" si="38"/>
        <v>6.7597793302121696</v>
      </c>
      <c r="P165" s="14">
        <f t="shared" si="39"/>
        <v>1</v>
      </c>
    </row>
    <row r="166" spans="1:16" x14ac:dyDescent="0.25">
      <c r="A166" s="14">
        <f t="shared" si="40"/>
        <v>0.71000000000000052</v>
      </c>
      <c r="B166" s="14">
        <f t="shared" si="32"/>
        <v>7.1464853063561486</v>
      </c>
      <c r="C166" s="14">
        <f t="shared" si="33"/>
        <v>8.1250101772534364</v>
      </c>
      <c r="D166" s="14">
        <f t="shared" si="34"/>
        <v>8.1250101772534364</v>
      </c>
      <c r="E166" s="14">
        <f t="shared" si="35"/>
        <v>1</v>
      </c>
      <c r="F166" s="14">
        <f t="shared" si="36"/>
        <v>-2.585292496586205</v>
      </c>
      <c r="G166" s="14">
        <f t="shared" si="41"/>
        <v>-2.1430645723049779</v>
      </c>
      <c r="H166" s="14">
        <f t="shared" si="42"/>
        <v>-1.4460330327610824</v>
      </c>
      <c r="I166" s="14">
        <f t="shared" si="43"/>
        <v>7.5593489546487502</v>
      </c>
      <c r="J166" s="14">
        <f t="shared" si="37"/>
        <v>5.0516714570588581</v>
      </c>
      <c r="K166" s="14">
        <f t="shared" si="44"/>
        <v>33.753541928845451</v>
      </c>
      <c r="L166" s="14">
        <f t="shared" si="45"/>
        <v>9.0919272504905315</v>
      </c>
      <c r="M166" s="14">
        <f t="shared" si="46"/>
        <v>6.1077813665747565</v>
      </c>
      <c r="N166" s="14">
        <f t="shared" si="47"/>
        <v>6.7850376874974643</v>
      </c>
      <c r="O166" s="14">
        <f t="shared" si="38"/>
        <v>6.7850376874974643</v>
      </c>
      <c r="P166" s="14">
        <f t="shared" si="39"/>
        <v>1</v>
      </c>
    </row>
    <row r="167" spans="1:16" x14ac:dyDescent="0.25">
      <c r="A167" s="14">
        <f t="shared" si="40"/>
        <v>0.71500000000000052</v>
      </c>
      <c r="B167" s="14">
        <f t="shared" si="32"/>
        <v>7.1968126676685165</v>
      </c>
      <c r="C167" s="14">
        <f t="shared" si="33"/>
        <v>8.1647110587833929</v>
      </c>
      <c r="D167" s="14">
        <f t="shared" si="34"/>
        <v>8.1647110587833929</v>
      </c>
      <c r="E167" s="14">
        <f t="shared" si="35"/>
        <v>1</v>
      </c>
      <c r="F167" s="14">
        <f t="shared" si="36"/>
        <v>-2.5625573749745816</v>
      </c>
      <c r="G167" s="14">
        <f t="shared" si="41"/>
        <v>-2.1306005734588807</v>
      </c>
      <c r="H167" s="14">
        <f t="shared" si="42"/>
        <v>-1.4238123108097178</v>
      </c>
      <c r="I167" s="14">
        <f t="shared" si="43"/>
        <v>7.5486959517814558</v>
      </c>
      <c r="J167" s="14">
        <f t="shared" si="37"/>
        <v>4.9955523955048093</v>
      </c>
      <c r="K167" s="14">
        <f t="shared" si="44"/>
        <v>33.495669445991915</v>
      </c>
      <c r="L167" s="14">
        <f t="shared" si="45"/>
        <v>9.0519806842853772</v>
      </c>
      <c r="M167" s="14">
        <f t="shared" si="46"/>
        <v>6.1455248463336636</v>
      </c>
      <c r="N167" s="14">
        <f t="shared" si="47"/>
        <v>6.8100154494749887</v>
      </c>
      <c r="O167" s="14">
        <f t="shared" si="38"/>
        <v>6.8100154494749887</v>
      </c>
      <c r="P167" s="14">
        <f t="shared" si="39"/>
        <v>1</v>
      </c>
    </row>
    <row r="168" spans="1:16" x14ac:dyDescent="0.25">
      <c r="A168" s="14">
        <f t="shared" si="40"/>
        <v>0.72000000000000053</v>
      </c>
      <c r="B168" s="14">
        <f t="shared" si="32"/>
        <v>7.2471400289808834</v>
      </c>
      <c r="C168" s="14">
        <f t="shared" si="33"/>
        <v>8.2041669403133461</v>
      </c>
      <c r="D168" s="14">
        <f t="shared" si="34"/>
        <v>8.2041669403133461</v>
      </c>
      <c r="E168" s="14">
        <f t="shared" si="35"/>
        <v>1</v>
      </c>
      <c r="F168" s="14">
        <f t="shared" si="36"/>
        <v>-2.5400889835689426</v>
      </c>
      <c r="G168" s="14">
        <f t="shared" si="41"/>
        <v>-2.1182501483591376</v>
      </c>
      <c r="H168" s="14">
        <f t="shared" si="42"/>
        <v>-1.4018089575347976</v>
      </c>
      <c r="I168" s="14">
        <f t="shared" si="43"/>
        <v>7.5381047010396598</v>
      </c>
      <c r="J168" s="14">
        <f t="shared" si="37"/>
        <v>4.9395433507171358</v>
      </c>
      <c r="K168" s="14">
        <f t="shared" si="44"/>
        <v>33.23588605667566</v>
      </c>
      <c r="L168" s="14">
        <f t="shared" si="45"/>
        <v>9.0123310523665339</v>
      </c>
      <c r="M168" s="14">
        <f t="shared" si="46"/>
        <v>6.1832153698388614</v>
      </c>
      <c r="N168" s="14">
        <f t="shared" si="47"/>
        <v>6.8347131662285747</v>
      </c>
      <c r="O168" s="14">
        <f t="shared" si="38"/>
        <v>6.8347131662285747</v>
      </c>
      <c r="P168" s="14">
        <f t="shared" si="39"/>
        <v>1</v>
      </c>
    </row>
    <row r="169" spans="1:16" x14ac:dyDescent="0.25">
      <c r="A169" s="14">
        <f t="shared" si="40"/>
        <v>0.72500000000000053</v>
      </c>
      <c r="B169" s="14">
        <f t="shared" si="32"/>
        <v>7.2974673902932503</v>
      </c>
      <c r="C169" s="14">
        <f t="shared" si="33"/>
        <v>8.2433778218432998</v>
      </c>
      <c r="D169" s="14">
        <f t="shared" si="34"/>
        <v>8.2433778218432998</v>
      </c>
      <c r="E169" s="14">
        <f t="shared" si="35"/>
        <v>1</v>
      </c>
      <c r="F169" s="14">
        <f t="shared" si="36"/>
        <v>-2.5178854409209523</v>
      </c>
      <c r="G169" s="14">
        <f t="shared" si="41"/>
        <v>-2.1060127472682657</v>
      </c>
      <c r="H169" s="14">
        <f t="shared" si="42"/>
        <v>-1.3800207976495393</v>
      </c>
      <c r="I169" s="14">
        <f t="shared" si="43"/>
        <v>7.5275746373033181</v>
      </c>
      <c r="J169" s="14">
        <f t="shared" si="37"/>
        <v>4.8836432467288882</v>
      </c>
      <c r="K169" s="14">
        <f t="shared" si="44"/>
        <v>32.974183116175915</v>
      </c>
      <c r="L169" s="14">
        <f t="shared" si="45"/>
        <v>8.9729789524712942</v>
      </c>
      <c r="M169" s="14">
        <f t="shared" si="46"/>
        <v>6.2208532430253785</v>
      </c>
      <c r="N169" s="14">
        <f t="shared" si="47"/>
        <v>6.8591313824622189</v>
      </c>
      <c r="O169" s="14">
        <f t="shared" si="38"/>
        <v>6.8591313824622189</v>
      </c>
      <c r="P169" s="14">
        <f t="shared" si="39"/>
        <v>1</v>
      </c>
    </row>
    <row r="170" spans="1:16" x14ac:dyDescent="0.25">
      <c r="A170" s="14">
        <f t="shared" si="40"/>
        <v>0.73000000000000054</v>
      </c>
      <c r="B170" s="14">
        <f t="shared" si="32"/>
        <v>7.3477947516056181</v>
      </c>
      <c r="C170" s="14">
        <f t="shared" si="33"/>
        <v>8.2823437033732539</v>
      </c>
      <c r="D170" s="14">
        <f t="shared" si="34"/>
        <v>8.2823437033732539</v>
      </c>
      <c r="E170" s="14">
        <f t="shared" si="35"/>
        <v>1</v>
      </c>
      <c r="F170" s="14">
        <f t="shared" si="36"/>
        <v>-2.4959448897262781</v>
      </c>
      <c r="G170" s="14">
        <f t="shared" si="41"/>
        <v>-2.0938878322940617</v>
      </c>
      <c r="H170" s="14">
        <f t="shared" si="42"/>
        <v>-1.3584456699925833</v>
      </c>
      <c r="I170" s="14">
        <f t="shared" si="43"/>
        <v>7.5171051981418477</v>
      </c>
      <c r="J170" s="14">
        <f t="shared" si="37"/>
        <v>4.8278510183789249</v>
      </c>
      <c r="K170" s="14">
        <f t="shared" si="44"/>
        <v>32.71055218503075</v>
      </c>
      <c r="L170" s="14">
        <f t="shared" si="45"/>
        <v>8.9339250061545528</v>
      </c>
      <c r="M170" s="14">
        <f t="shared" si="46"/>
        <v>6.2584387690160881</v>
      </c>
      <c r="N170" s="14">
        <f t="shared" si="47"/>
        <v>6.8832706375541131</v>
      </c>
      <c r="O170" s="14">
        <f t="shared" si="38"/>
        <v>6.8832706375541131</v>
      </c>
      <c r="P170" s="14">
        <f t="shared" si="39"/>
        <v>1</v>
      </c>
    </row>
    <row r="171" spans="1:16" x14ac:dyDescent="0.25">
      <c r="A171" s="14">
        <f t="shared" si="40"/>
        <v>0.73500000000000054</v>
      </c>
      <c r="B171" s="14">
        <f t="shared" si="32"/>
        <v>7.398122112917985</v>
      </c>
      <c r="C171" s="14">
        <f t="shared" si="33"/>
        <v>8.3210645849032066</v>
      </c>
      <c r="D171" s="14">
        <f t="shared" si="34"/>
        <v>8.3210645849032066</v>
      </c>
      <c r="E171" s="14">
        <f t="shared" si="35"/>
        <v>1</v>
      </c>
      <c r="F171" s="14">
        <f t="shared" si="36"/>
        <v>-2.4742654964834023</v>
      </c>
      <c r="G171" s="14">
        <f t="shared" si="41"/>
        <v>-2.0818748772107889</v>
      </c>
      <c r="H171" s="14">
        <f t="shared" si="42"/>
        <v>-1.3370814271116105</v>
      </c>
      <c r="I171" s="14">
        <f t="shared" si="43"/>
        <v>7.5066958237557939</v>
      </c>
      <c r="J171" s="14">
        <f t="shared" si="37"/>
        <v>4.7721656112433672</v>
      </c>
      <c r="K171" s="14">
        <f t="shared" si="44"/>
        <v>32.444985038424875</v>
      </c>
      <c r="L171" s="14">
        <f t="shared" si="45"/>
        <v>8.8951698584977255</v>
      </c>
      <c r="M171" s="14">
        <f t="shared" si="46"/>
        <v>6.2959722481348672</v>
      </c>
      <c r="N171" s="14">
        <f t="shared" si="47"/>
        <v>6.9071314656103295</v>
      </c>
      <c r="O171" s="14">
        <f t="shared" si="38"/>
        <v>6.9071314656103295</v>
      </c>
      <c r="P171" s="14">
        <f t="shared" si="39"/>
        <v>1</v>
      </c>
    </row>
    <row r="172" spans="1:16" x14ac:dyDescent="0.25">
      <c r="A172" s="14">
        <f t="shared" si="40"/>
        <v>0.74000000000000055</v>
      </c>
      <c r="B172" s="14">
        <f t="shared" si="32"/>
        <v>7.4484494742303529</v>
      </c>
      <c r="C172" s="14">
        <f t="shared" si="33"/>
        <v>8.3595404664331596</v>
      </c>
      <c r="D172" s="14">
        <f t="shared" si="34"/>
        <v>8.3595404664331596</v>
      </c>
      <c r="E172" s="14">
        <f t="shared" si="35"/>
        <v>1</v>
      </c>
      <c r="F172" s="14">
        <f t="shared" si="36"/>
        <v>-2.4528454511573194</v>
      </c>
      <c r="G172" s="14">
        <f t="shared" si="41"/>
        <v>-2.0699733672798817</v>
      </c>
      <c r="H172" s="14">
        <f t="shared" si="42"/>
        <v>-1.3159259348516323</v>
      </c>
      <c r="I172" s="14">
        <f t="shared" si="43"/>
        <v>7.4963459569193942</v>
      </c>
      <c r="J172" s="14">
        <f t="shared" si="37"/>
        <v>4.7165859815691089</v>
      </c>
      <c r="K172" s="14">
        <f t="shared" si="44"/>
        <v>32.177473675763878</v>
      </c>
      <c r="L172" s="14">
        <f t="shared" si="45"/>
        <v>8.8567141778063494</v>
      </c>
      <c r="M172" s="14">
        <f t="shared" si="46"/>
        <v>6.3334539779194641</v>
      </c>
      <c r="N172" s="14">
        <f t="shared" si="47"/>
        <v>6.9307143955181747</v>
      </c>
      <c r="O172" s="14">
        <f t="shared" si="38"/>
        <v>6.9307143955181747</v>
      </c>
      <c r="P172" s="14">
        <f t="shared" si="39"/>
        <v>1</v>
      </c>
    </row>
    <row r="173" spans="1:16" x14ac:dyDescent="0.25">
      <c r="A173" s="14">
        <f t="shared" si="40"/>
        <v>0.74500000000000055</v>
      </c>
      <c r="B173" s="14">
        <f t="shared" si="32"/>
        <v>7.4987768355427198</v>
      </c>
      <c r="C173" s="14">
        <f t="shared" si="33"/>
        <v>8.3977713479631149</v>
      </c>
      <c r="D173" s="14">
        <f t="shared" si="34"/>
        <v>8.3977713479631149</v>
      </c>
      <c r="E173" s="14">
        <f t="shared" si="35"/>
        <v>1</v>
      </c>
      <c r="F173" s="14">
        <f t="shared" si="36"/>
        <v>-2.4316829668480362</v>
      </c>
      <c r="G173" s="14">
        <f t="shared" si="41"/>
        <v>-2.0581827990700687</v>
      </c>
      <c r="H173" s="14">
        <f t="shared" si="42"/>
        <v>-1.2949770719479803</v>
      </c>
      <c r="I173" s="14">
        <f t="shared" si="43"/>
        <v>7.4860550429240442</v>
      </c>
      <c r="J173" s="14">
        <f t="shared" si="37"/>
        <v>4.6611110962093694</v>
      </c>
      <c r="K173" s="14">
        <f t="shared" si="44"/>
        <v>31.908010330432589</v>
      </c>
      <c r="L173" s="14">
        <f t="shared" si="45"/>
        <v>8.8185586552959219</v>
      </c>
      <c r="M173" s="14">
        <f t="shared" si="46"/>
        <v>6.3708842531340846</v>
      </c>
      <c r="N173" s="14">
        <f t="shared" si="47"/>
        <v>6.9540199509992213</v>
      </c>
      <c r="O173" s="14">
        <f t="shared" si="38"/>
        <v>6.9540199509992213</v>
      </c>
      <c r="P173" s="14">
        <f t="shared" si="39"/>
        <v>1</v>
      </c>
    </row>
    <row r="174" spans="1:16" x14ac:dyDescent="0.25">
      <c r="A174" s="14">
        <f t="shared" si="40"/>
        <v>0.75000000000000056</v>
      </c>
      <c r="B174" s="14">
        <f t="shared" si="32"/>
        <v>7.5491041968550867</v>
      </c>
      <c r="C174" s="14">
        <f t="shared" si="33"/>
        <v>8.4357572294930669</v>
      </c>
      <c r="D174" s="14">
        <f t="shared" si="34"/>
        <v>8.4357572294930669</v>
      </c>
      <c r="E174" s="14">
        <f t="shared" si="35"/>
        <v>1</v>
      </c>
      <c r="F174" s="14">
        <f t="shared" si="36"/>
        <v>-2.4107762794637333</v>
      </c>
      <c r="G174" s="14">
        <f t="shared" si="41"/>
        <v>-2.0465026802767849</v>
      </c>
      <c r="H174" s="14">
        <f t="shared" si="42"/>
        <v>-1.2742327296239631</v>
      </c>
      <c r="I174" s="14">
        <f t="shared" si="43"/>
        <v>7.4758225295226604</v>
      </c>
      <c r="J174" s="14">
        <f t="shared" si="37"/>
        <v>4.6057399325612494</v>
      </c>
      <c r="K174" s="14">
        <f t="shared" si="44"/>
        <v>31.636587479735347</v>
      </c>
      <c r="L174" s="14">
        <f t="shared" si="45"/>
        <v>8.7807040047656706</v>
      </c>
      <c r="M174" s="14">
        <f t="shared" si="46"/>
        <v>6.4082633657816981</v>
      </c>
      <c r="N174" s="14">
        <f t="shared" si="47"/>
        <v>6.9770486506620273</v>
      </c>
      <c r="O174" s="14">
        <f t="shared" si="38"/>
        <v>6.9770486506620273</v>
      </c>
      <c r="P174" s="14">
        <f t="shared" si="39"/>
        <v>1</v>
      </c>
    </row>
    <row r="175" spans="1:16" x14ac:dyDescent="0.25">
      <c r="A175" s="14">
        <f t="shared" si="40"/>
        <v>0.75500000000000056</v>
      </c>
      <c r="B175" s="14">
        <f t="shared" si="32"/>
        <v>7.5994315581674545</v>
      </c>
      <c r="C175" s="14">
        <f t="shared" si="33"/>
        <v>8.4734981110230212</v>
      </c>
      <c r="D175" s="14">
        <f t="shared" si="34"/>
        <v>8.4734981110230212</v>
      </c>
      <c r="E175" s="14">
        <f t="shared" si="35"/>
        <v>1</v>
      </c>
      <c r="F175" s="14">
        <f t="shared" si="36"/>
        <v>-2.3901236473985445</v>
      </c>
      <c r="G175" s="14">
        <f t="shared" si="41"/>
        <v>-2.0349325295408085</v>
      </c>
      <c r="H175" s="14">
        <f t="shared" si="42"/>
        <v>-1.2536908111932417</v>
      </c>
      <c r="I175" s="14">
        <f t="shared" si="43"/>
        <v>7.4656478668749564</v>
      </c>
      <c r="J175" s="14">
        <f t="shared" si="37"/>
        <v>4.5504714785052833</v>
      </c>
      <c r="K175" s="14">
        <f t="shared" si="44"/>
        <v>31.363197855015173</v>
      </c>
      <c r="L175" s="14">
        <f t="shared" si="45"/>
        <v>8.7431509622598096</v>
      </c>
      <c r="M175" s="14">
        <f t="shared" si="46"/>
        <v>6.4455916051160731</v>
      </c>
      <c r="N175" s="14">
        <f t="shared" si="47"/>
        <v>6.9998010080545541</v>
      </c>
      <c r="O175" s="14">
        <f t="shared" si="38"/>
        <v>6.9998010080545541</v>
      </c>
      <c r="P175" s="14">
        <f t="shared" si="39"/>
        <v>1</v>
      </c>
    </row>
    <row r="176" spans="1:16" x14ac:dyDescent="0.25">
      <c r="A176" s="14">
        <f t="shared" si="40"/>
        <v>0.76000000000000056</v>
      </c>
      <c r="B176" s="14">
        <f t="shared" si="32"/>
        <v>7.6497589194798215</v>
      </c>
      <c r="C176" s="14">
        <f t="shared" si="33"/>
        <v>8.5109939925529741</v>
      </c>
      <c r="D176" s="14">
        <f t="shared" si="34"/>
        <v>8.5109939925529741</v>
      </c>
      <c r="E176" s="14">
        <f t="shared" si="35"/>
        <v>1</v>
      </c>
      <c r="F176" s="14">
        <f t="shared" si="36"/>
        <v>-2.3697233512148039</v>
      </c>
      <c r="G176" s="14">
        <f t="shared" si="41"/>
        <v>-2.0234718762659809</v>
      </c>
      <c r="H176" s="14">
        <f t="shared" si="42"/>
        <v>-1.2333492316669079</v>
      </c>
      <c r="I176" s="14">
        <f t="shared" si="43"/>
        <v>7.4555305074936262</v>
      </c>
      <c r="J176" s="14">
        <f t="shared" si="37"/>
        <v>4.4953047323469484</v>
      </c>
      <c r="K176" s="14">
        <f t="shared" si="44"/>
        <v>31.08783445194868</v>
      </c>
      <c r="L176" s="14">
        <f t="shared" si="45"/>
        <v>8.7059002857159484</v>
      </c>
      <c r="M176" s="14">
        <f t="shared" si="46"/>
        <v>6.4828692576535412</v>
      </c>
      <c r="N176" s="14">
        <f t="shared" si="47"/>
        <v>7.0222775317162887</v>
      </c>
      <c r="O176" s="14">
        <f t="shared" si="38"/>
        <v>7.0222775317162887</v>
      </c>
      <c r="P176" s="14">
        <f t="shared" si="39"/>
        <v>1</v>
      </c>
    </row>
    <row r="177" spans="1:16" x14ac:dyDescent="0.25">
      <c r="A177" s="14">
        <f t="shared" si="40"/>
        <v>0.76500000000000057</v>
      </c>
      <c r="B177" s="14">
        <f t="shared" si="32"/>
        <v>7.7000862807921884</v>
      </c>
      <c r="C177" s="14">
        <f t="shared" si="33"/>
        <v>8.5482448740829291</v>
      </c>
      <c r="D177" s="14">
        <f t="shared" si="34"/>
        <v>8.5482448740829291</v>
      </c>
      <c r="E177" s="14">
        <f t="shared" si="35"/>
        <v>1</v>
      </c>
      <c r="F177" s="14">
        <f t="shared" si="36"/>
        <v>-2.3495736933296998</v>
      </c>
      <c r="G177" s="14">
        <f t="shared" si="41"/>
        <v>-2.0121202604359345</v>
      </c>
      <c r="H177" s="14">
        <f t="shared" si="42"/>
        <v>-1.2132059173653058</v>
      </c>
      <c r="I177" s="14">
        <f t="shared" si="43"/>
        <v>7.4454699061914464</v>
      </c>
      <c r="J177" s="14">
        <f t="shared" si="37"/>
        <v>4.440238702760122</v>
      </c>
      <c r="K177" s="14">
        <f t="shared" si="44"/>
        <v>30.810490541013035</v>
      </c>
      <c r="L177" s="14">
        <f t="shared" si="45"/>
        <v>8.6689527546002552</v>
      </c>
      <c r="M177" s="14">
        <f t="shared" si="46"/>
        <v>6.5200966071844988</v>
      </c>
      <c r="N177" s="14">
        <f t="shared" si="47"/>
        <v>7.0444787252300891</v>
      </c>
      <c r="O177" s="14">
        <f t="shared" si="38"/>
        <v>7.0444787252300891</v>
      </c>
      <c r="P177" s="14">
        <f t="shared" si="39"/>
        <v>1</v>
      </c>
    </row>
    <row r="178" spans="1:16" x14ac:dyDescent="0.25">
      <c r="A178" s="14">
        <f t="shared" si="40"/>
        <v>0.77000000000000057</v>
      </c>
      <c r="B178" s="14">
        <f t="shared" si="32"/>
        <v>7.7504136421045562</v>
      </c>
      <c r="C178" s="14">
        <f t="shared" si="33"/>
        <v>8.5852507556128845</v>
      </c>
      <c r="D178" s="14">
        <f t="shared" si="34"/>
        <v>8.5852507556128845</v>
      </c>
      <c r="E178" s="14">
        <f t="shared" si="35"/>
        <v>1</v>
      </c>
      <c r="F178" s="14">
        <f t="shared" si="36"/>
        <v>-2.3296729977062318</v>
      </c>
      <c r="G178" s="14">
        <f t="shared" si="41"/>
        <v>-2.0008772324297208</v>
      </c>
      <c r="H178" s="14">
        <f t="shared" si="42"/>
        <v>-1.1932588055346256</v>
      </c>
      <c r="I178" s="14">
        <f t="shared" si="43"/>
        <v>7.4354655200292976</v>
      </c>
      <c r="J178" s="14">
        <f t="shared" si="37"/>
        <v>4.3852724087324493</v>
      </c>
      <c r="K178" s="14">
        <f t="shared" si="44"/>
        <v>30.531159678120829</v>
      </c>
      <c r="L178" s="14">
        <f t="shared" si="45"/>
        <v>8.6323091695290124</v>
      </c>
      <c r="M178" s="14">
        <f t="shared" si="46"/>
        <v>6.5572739347846456</v>
      </c>
      <c r="N178" s="14">
        <f t="shared" si="47"/>
        <v>7.0664050872737514</v>
      </c>
      <c r="O178" s="14">
        <f t="shared" si="38"/>
        <v>7.0664050872737514</v>
      </c>
      <c r="P178" s="14">
        <f t="shared" si="39"/>
        <v>1</v>
      </c>
    </row>
    <row r="179" spans="1:16" x14ac:dyDescent="0.25">
      <c r="A179" s="14">
        <f t="shared" si="40"/>
        <v>0.77500000000000058</v>
      </c>
      <c r="B179" s="14">
        <f t="shared" si="32"/>
        <v>7.8007410034169231</v>
      </c>
      <c r="C179" s="14">
        <f t="shared" si="33"/>
        <v>8.6220116371428368</v>
      </c>
      <c r="D179" s="14">
        <f t="shared" si="34"/>
        <v>8.6220116371428368</v>
      </c>
      <c r="E179" s="14">
        <f t="shared" si="35"/>
        <v>1</v>
      </c>
      <c r="F179" s="14">
        <f t="shared" si="36"/>
        <v>-2.3100196095483745</v>
      </c>
      <c r="G179" s="14">
        <f t="shared" si="41"/>
        <v>-1.9897423528362372</v>
      </c>
      <c r="H179" s="14">
        <f t="shared" si="42"/>
        <v>-1.1735058439682946</v>
      </c>
      <c r="I179" s="14">
        <f t="shared" si="43"/>
        <v>7.4255168082651162</v>
      </c>
      <c r="J179" s="14">
        <f t="shared" si="37"/>
        <v>4.3304048795126082</v>
      </c>
      <c r="K179" s="14">
        <f t="shared" si="44"/>
        <v>30.2498357154183</v>
      </c>
      <c r="L179" s="14">
        <f t="shared" si="45"/>
        <v>8.5959703518761845</v>
      </c>
      <c r="M179" s="14">
        <f t="shared" si="46"/>
        <v>6.594401518825971</v>
      </c>
      <c r="N179" s="14">
        <f t="shared" si="47"/>
        <v>7.088057111671314</v>
      </c>
      <c r="O179" s="14">
        <f t="shared" si="38"/>
        <v>7.088057111671314</v>
      </c>
      <c r="P179" s="14">
        <f t="shared" si="39"/>
        <v>1</v>
      </c>
    </row>
    <row r="180" spans="1:16" x14ac:dyDescent="0.25">
      <c r="A180" s="14">
        <f t="shared" si="40"/>
        <v>0.78000000000000058</v>
      </c>
      <c r="B180" s="14">
        <f t="shared" si="32"/>
        <v>7.8510683647292909</v>
      </c>
      <c r="C180" s="14">
        <f t="shared" si="33"/>
        <v>8.6585275186727912</v>
      </c>
      <c r="D180" s="14">
        <f t="shared" si="34"/>
        <v>8.6585275186727912</v>
      </c>
      <c r="E180" s="14">
        <f t="shared" si="35"/>
        <v>1</v>
      </c>
      <c r="F180" s="14">
        <f t="shared" si="36"/>
        <v>-2.2906118950003655</v>
      </c>
      <c r="G180" s="14">
        <f t="shared" si="41"/>
        <v>-1.9787151922673618</v>
      </c>
      <c r="H180" s="14">
        <f t="shared" si="42"/>
        <v>-1.1539449906332204</v>
      </c>
      <c r="I180" s="14">
        <f t="shared" si="43"/>
        <v>7.415623232303779</v>
      </c>
      <c r="J180" s="14">
        <f t="shared" si="37"/>
        <v>4.275635154559442</v>
      </c>
      <c r="K180" s="14">
        <f t="shared" si="44"/>
        <v>29.966512812241827</v>
      </c>
      <c r="L180" s="14">
        <f t="shared" si="45"/>
        <v>8.5599371433666551</v>
      </c>
      <c r="M180" s="14">
        <f t="shared" si="46"/>
        <v>6.6314796349874898</v>
      </c>
      <c r="N180" s="14">
        <f t="shared" si="47"/>
        <v>7.1094352874441116</v>
      </c>
      <c r="O180" s="14">
        <f t="shared" si="38"/>
        <v>7.1094352874441116</v>
      </c>
      <c r="P180" s="14">
        <f t="shared" si="39"/>
        <v>1</v>
      </c>
    </row>
    <row r="181" spans="1:16" x14ac:dyDescent="0.25">
      <c r="A181" s="14">
        <f t="shared" si="40"/>
        <v>0.78500000000000059</v>
      </c>
      <c r="B181" s="14">
        <f t="shared" si="32"/>
        <v>7.9013957260416579</v>
      </c>
      <c r="C181" s="14">
        <f t="shared" si="33"/>
        <v>8.6947984002027443</v>
      </c>
      <c r="D181" s="14">
        <f t="shared" si="34"/>
        <v>8.6947984002027443</v>
      </c>
      <c r="E181" s="14">
        <f t="shared" si="35"/>
        <v>1</v>
      </c>
      <c r="F181" s="14">
        <f t="shared" si="36"/>
        <v>-2.2714482408500305</v>
      </c>
      <c r="G181" s="14">
        <f t="shared" si="41"/>
        <v>-1.9677953311697038</v>
      </c>
      <c r="H181" s="14">
        <f t="shared" si="42"/>
        <v>-1.1345742133009253</v>
      </c>
      <c r="I181" s="14">
        <f t="shared" si="43"/>
        <v>7.4057842556479301</v>
      </c>
      <c r="J181" s="14">
        <f t="shared" si="37"/>
        <v>4.2209622834929377</v>
      </c>
      <c r="K181" s="14">
        <f t="shared" si="44"/>
        <v>29.681185446227122</v>
      </c>
      <c r="L181" s="14">
        <f t="shared" si="45"/>
        <v>8.5242104056547472</v>
      </c>
      <c r="M181" s="14">
        <f t="shared" si="46"/>
        <v>6.6685085562657296</v>
      </c>
      <c r="N181" s="14">
        <f t="shared" si="47"/>
        <v>7.1305400988615766</v>
      </c>
      <c r="O181" s="14">
        <f t="shared" si="38"/>
        <v>7.1305400988615766</v>
      </c>
      <c r="P181" s="14">
        <f t="shared" si="39"/>
        <v>1</v>
      </c>
    </row>
    <row r="182" spans="1:16" x14ac:dyDescent="0.25">
      <c r="A182" s="14">
        <f t="shared" si="40"/>
        <v>0.79000000000000059</v>
      </c>
      <c r="B182" s="14">
        <f t="shared" si="32"/>
        <v>7.9517230873540248</v>
      </c>
      <c r="C182" s="14">
        <f t="shared" si="33"/>
        <v>8.7308242817326978</v>
      </c>
      <c r="D182" s="14">
        <f t="shared" si="34"/>
        <v>8.7308242817326978</v>
      </c>
      <c r="E182" s="14">
        <f t="shared" si="35"/>
        <v>1</v>
      </c>
      <c r="F182" s="14">
        <f t="shared" si="36"/>
        <v>-2.2525270542360527</v>
      </c>
      <c r="G182" s="14">
        <f t="shared" si="41"/>
        <v>-1.9569823596348734</v>
      </c>
      <c r="H182" s="14">
        <f t="shared" si="42"/>
        <v>-1.1153914891836285</v>
      </c>
      <c r="I182" s="14">
        <f t="shared" si="43"/>
        <v>7.3959993438497555</v>
      </c>
      <c r="J182" s="14">
        <f t="shared" si="37"/>
        <v>4.1663853260470196</v>
      </c>
      <c r="K182" s="14">
        <f t="shared" si="44"/>
        <v>29.393848424565054</v>
      </c>
      <c r="L182" s="14">
        <f t="shared" si="45"/>
        <v>8.4887910198876924</v>
      </c>
      <c r="M182" s="14">
        <f t="shared" si="46"/>
        <v>6.7054885529849786</v>
      </c>
      <c r="N182" s="14">
        <f t="shared" si="47"/>
        <v>7.1513720254918116</v>
      </c>
      <c r="O182" s="14">
        <f t="shared" si="38"/>
        <v>7.1513720254918116</v>
      </c>
      <c r="P182" s="14">
        <f t="shared" si="39"/>
        <v>1</v>
      </c>
    </row>
    <row r="183" spans="1:16" x14ac:dyDescent="0.25">
      <c r="A183" s="14">
        <f t="shared" si="40"/>
        <v>0.7950000000000006</v>
      </c>
      <c r="B183" s="14">
        <f t="shared" si="32"/>
        <v>8.0020504486663917</v>
      </c>
      <c r="C183" s="14">
        <f t="shared" si="33"/>
        <v>8.7666051632626516</v>
      </c>
      <c r="D183" s="14">
        <f t="shared" si="34"/>
        <v>8.7666051632626516</v>
      </c>
      <c r="E183" s="14">
        <f t="shared" si="35"/>
        <v>1</v>
      </c>
      <c r="F183" s="14">
        <f t="shared" si="36"/>
        <v>-2.2338467623591041</v>
      </c>
      <c r="G183" s="14">
        <f t="shared" si="41"/>
        <v>-1.9462758772081792</v>
      </c>
      <c r="H183" s="14">
        <f t="shared" si="42"/>
        <v>-1.0963948045753338</v>
      </c>
      <c r="I183" s="14">
        <f t="shared" si="43"/>
        <v>7.3862679644637144</v>
      </c>
      <c r="J183" s="14">
        <f t="shared" si="37"/>
        <v>4.111903352024143</v>
      </c>
      <c r="K183" s="14">
        <f t="shared" si="44"/>
        <v>29.104496895397546</v>
      </c>
      <c r="L183" s="14">
        <f t="shared" si="45"/>
        <v>8.4536798862536973</v>
      </c>
      <c r="M183" s="14">
        <f t="shared" si="46"/>
        <v>6.7424198928072974</v>
      </c>
      <c r="N183" s="14">
        <f t="shared" si="47"/>
        <v>7.1719315422519321</v>
      </c>
      <c r="O183" s="14">
        <f t="shared" si="38"/>
        <v>7.1719315422519321</v>
      </c>
      <c r="P183" s="14">
        <f t="shared" si="39"/>
        <v>1</v>
      </c>
    </row>
    <row r="184" spans="1:16" x14ac:dyDescent="0.25">
      <c r="A184" s="14">
        <f t="shared" si="40"/>
        <v>0.8000000000000006</v>
      </c>
      <c r="B184" s="14">
        <f t="shared" si="32"/>
        <v>8.0523778099787595</v>
      </c>
      <c r="C184" s="14">
        <f t="shared" si="33"/>
        <v>8.8021410447926058</v>
      </c>
      <c r="D184" s="14">
        <f t="shared" si="34"/>
        <v>8.8021410447926058</v>
      </c>
      <c r="E184" s="14">
        <f t="shared" si="35"/>
        <v>1</v>
      </c>
      <c r="F184" s="14">
        <f t="shared" si="36"/>
        <v>-2.2154058121967601</v>
      </c>
      <c r="G184" s="14">
        <f t="shared" si="41"/>
        <v>-1.9356754926956752</v>
      </c>
      <c r="H184" s="14">
        <f t="shared" si="42"/>
        <v>-1.0775821544979951</v>
      </c>
      <c r="I184" s="14">
        <f t="shared" si="43"/>
        <v>7.376589587000236</v>
      </c>
      <c r="J184" s="14">
        <f t="shared" si="37"/>
        <v>4.0575154412516534</v>
      </c>
      <c r="K184" s="14">
        <f t="shared" si="44"/>
        <v>28.813126359346342</v>
      </c>
      <c r="L184" s="14">
        <f t="shared" si="45"/>
        <v>8.4188779235142679</v>
      </c>
      <c r="M184" s="14">
        <f t="shared" si="46"/>
        <v>6.7793028407422984</v>
      </c>
      <c r="N184" s="14">
        <f t="shared" si="47"/>
        <v>7.1922191194581906</v>
      </c>
      <c r="O184" s="14">
        <f t="shared" si="38"/>
        <v>7.1922191194581906</v>
      </c>
      <c r="P184" s="14">
        <f t="shared" si="39"/>
        <v>1</v>
      </c>
    </row>
    <row r="185" spans="1:16" x14ac:dyDescent="0.25">
      <c r="A185" s="14">
        <f t="shared" si="40"/>
        <v>0.8050000000000006</v>
      </c>
      <c r="B185" s="14">
        <f t="shared" si="32"/>
        <v>8.1027051712911273</v>
      </c>
      <c r="C185" s="14">
        <f t="shared" si="33"/>
        <v>8.8374319263225587</v>
      </c>
      <c r="D185" s="14">
        <f t="shared" si="34"/>
        <v>8.8374319263225587</v>
      </c>
      <c r="E185" s="14">
        <f t="shared" si="35"/>
        <v>1</v>
      </c>
      <c r="F185" s="14">
        <f t="shared" si="36"/>
        <v>-2.1972026702221132</v>
      </c>
      <c r="G185" s="14">
        <f t="shared" si="41"/>
        <v>-1.9251808239694672</v>
      </c>
      <c r="H185" s="14">
        <f t="shared" si="42"/>
        <v>-1.0589515423528257</v>
      </c>
      <c r="I185" s="14">
        <f t="shared" si="43"/>
        <v>7.3669636828803888</v>
      </c>
      <c r="J185" s="14">
        <f t="shared" si="37"/>
        <v>4.0032206835398894</v>
      </c>
      <c r="K185" s="14">
        <f t="shared" si="44"/>
        <v>28.519732681166886</v>
      </c>
      <c r="L185" s="14">
        <f t="shared" si="45"/>
        <v>8.3843860685204721</v>
      </c>
      <c r="M185" s="14">
        <f t="shared" si="46"/>
        <v>6.8161376591567002</v>
      </c>
      <c r="N185" s="14">
        <f t="shared" si="47"/>
        <v>7.2122352228758899</v>
      </c>
      <c r="O185" s="14">
        <f t="shared" si="38"/>
        <v>7.2122352228758899</v>
      </c>
      <c r="P185" s="14">
        <f t="shared" si="39"/>
        <v>1</v>
      </c>
    </row>
    <row r="186" spans="1:16" x14ac:dyDescent="0.25">
      <c r="A186" s="14">
        <f t="shared" si="40"/>
        <v>0.81000000000000061</v>
      </c>
      <c r="B186" s="14">
        <f t="shared" si="32"/>
        <v>8.1530325326034934</v>
      </c>
      <c r="C186" s="14">
        <f t="shared" si="33"/>
        <v>8.8724778078525119</v>
      </c>
      <c r="D186" s="14">
        <f t="shared" si="34"/>
        <v>8.8724778078525119</v>
      </c>
      <c r="E186" s="14">
        <f t="shared" si="35"/>
        <v>1</v>
      </c>
      <c r="F186" s="14">
        <f t="shared" si="36"/>
        <v>-2.1792358221260058</v>
      </c>
      <c r="G186" s="14">
        <f t="shared" si="41"/>
        <v>-1.9147914977711973</v>
      </c>
      <c r="H186" s="14">
        <f t="shared" si="42"/>
        <v>-1.0405009795768305</v>
      </c>
      <c r="I186" s="14">
        <f t="shared" si="43"/>
        <v>7.357389725391533</v>
      </c>
      <c r="J186" s="14">
        <f t="shared" si="37"/>
        <v>3.9490181786420053</v>
      </c>
      <c r="K186" s="14">
        <f t="shared" si="44"/>
        <v>28.224312101519271</v>
      </c>
      <c r="L186" s="14">
        <f t="shared" si="45"/>
        <v>8.3502052757128027</v>
      </c>
      <c r="M186" s="14">
        <f t="shared" si="46"/>
        <v>6.8529246077836579</v>
      </c>
      <c r="N186" s="14">
        <f t="shared" si="47"/>
        <v>7.2319803137690997</v>
      </c>
      <c r="O186" s="14">
        <f t="shared" si="38"/>
        <v>7.2319803137690997</v>
      </c>
      <c r="P186" s="14">
        <f t="shared" si="39"/>
        <v>1</v>
      </c>
    </row>
    <row r="187" spans="1:16" x14ac:dyDescent="0.25">
      <c r="A187" s="14">
        <f t="shared" si="40"/>
        <v>0.81500000000000061</v>
      </c>
      <c r="B187" s="14">
        <f t="shared" si="32"/>
        <v>8.2033598939158612</v>
      </c>
      <c r="C187" s="14">
        <f t="shared" si="33"/>
        <v>8.9072786893824656</v>
      </c>
      <c r="D187" s="14">
        <f t="shared" si="34"/>
        <v>8.9072786893824656</v>
      </c>
      <c r="E187" s="14">
        <f t="shared" si="35"/>
        <v>1</v>
      </c>
      <c r="F187" s="14">
        <f t="shared" si="36"/>
        <v>-2.1615037725427992</v>
      </c>
      <c r="G187" s="14">
        <f t="shared" si="41"/>
        <v>-1.9045071495136257</v>
      </c>
      <c r="H187" s="14">
        <f t="shared" si="42"/>
        <v>-1.022228485304649</v>
      </c>
      <c r="I187" s="14">
        <f t="shared" si="43"/>
        <v>7.3478671896439645</v>
      </c>
      <c r="J187" s="14">
        <f t="shared" si="37"/>
        <v>3.8949070362154821</v>
      </c>
      <c r="K187" s="14">
        <f t="shared" si="44"/>
        <v>27.926861248847032</v>
      </c>
      <c r="L187" s="14">
        <f t="shared" si="45"/>
        <v>8.3163365166043608</v>
      </c>
      <c r="M187" s="14">
        <f t="shared" si="46"/>
        <v>6.8896639437318781</v>
      </c>
      <c r="N187" s="14">
        <f t="shared" si="47"/>
        <v>7.2514548489501767</v>
      </c>
      <c r="O187" s="14">
        <f t="shared" si="38"/>
        <v>7.2514548489501767</v>
      </c>
      <c r="P187" s="14">
        <f t="shared" si="39"/>
        <v>1</v>
      </c>
    </row>
    <row r="188" spans="1:16" x14ac:dyDescent="0.25">
      <c r="A188" s="14">
        <f t="shared" si="40"/>
        <v>0.82000000000000062</v>
      </c>
      <c r="B188" s="14">
        <f t="shared" si="32"/>
        <v>8.253687255228229</v>
      </c>
      <c r="C188" s="14">
        <f t="shared" si="33"/>
        <v>8.9418345709124196</v>
      </c>
      <c r="D188" s="14">
        <f t="shared" si="34"/>
        <v>8.9418345709124196</v>
      </c>
      <c r="E188" s="14">
        <f t="shared" si="35"/>
        <v>1</v>
      </c>
      <c r="F188" s="14">
        <f t="shared" si="36"/>
        <v>-2.1440050447796217</v>
      </c>
      <c r="G188" s="14">
        <f t="shared" si="41"/>
        <v>-1.8943274230802498</v>
      </c>
      <c r="H188" s="14">
        <f t="shared" si="42"/>
        <v>-1.0041320860358003</v>
      </c>
      <c r="I188" s="14">
        <f t="shared" si="43"/>
        <v>7.3383955525285636</v>
      </c>
      <c r="J188" s="14">
        <f t="shared" si="37"/>
        <v>3.8408863757853031</v>
      </c>
      <c r="K188" s="14">
        <f t="shared" si="44"/>
        <v>27.627377151354665</v>
      </c>
      <c r="L188" s="14">
        <f t="shared" si="45"/>
        <v>8.2827807792470374</v>
      </c>
      <c r="M188" s="14">
        <f t="shared" si="46"/>
        <v>6.9263559214945207</v>
      </c>
      <c r="N188" s="14">
        <f t="shared" si="47"/>
        <v>7.2706592808291033</v>
      </c>
      <c r="O188" s="14">
        <f t="shared" si="38"/>
        <v>7.2706592808291033</v>
      </c>
      <c r="P188" s="14">
        <f t="shared" si="39"/>
        <v>1</v>
      </c>
    </row>
    <row r="189" spans="1:16" x14ac:dyDescent="0.25">
      <c r="A189" s="14">
        <f t="shared" si="40"/>
        <v>0.82500000000000062</v>
      </c>
      <c r="B189" s="14">
        <f t="shared" si="32"/>
        <v>8.304014616540595</v>
      </c>
      <c r="C189" s="14">
        <f t="shared" si="33"/>
        <v>8.9761454524423741</v>
      </c>
      <c r="D189" s="14">
        <f t="shared" si="34"/>
        <v>8.9761454524423741</v>
      </c>
      <c r="E189" s="14">
        <f t="shared" si="35"/>
        <v>1</v>
      </c>
      <c r="F189" s="14">
        <f t="shared" si="36"/>
        <v>-2.1267381805489887</v>
      </c>
      <c r="G189" s="14">
        <f t="shared" si="41"/>
        <v>-1.8842519706228611</v>
      </c>
      <c r="H189" s="14">
        <f t="shared" si="42"/>
        <v>-0.9862098153074158</v>
      </c>
      <c r="I189" s="14">
        <f t="shared" si="43"/>
        <v>7.3289742926754489</v>
      </c>
      <c r="J189" s="14">
        <f t="shared" si="37"/>
        <v>3.7869553267087661</v>
      </c>
      <c r="K189" s="14">
        <f t="shared" si="44"/>
        <v>27.325857249073554</v>
      </c>
      <c r="L189" s="14">
        <f t="shared" si="45"/>
        <v>8.2495390676804181</v>
      </c>
      <c r="M189" s="14">
        <f t="shared" si="46"/>
        <v>6.9630007929578976</v>
      </c>
      <c r="N189" s="14">
        <f t="shared" si="47"/>
        <v>7.2895940574626472</v>
      </c>
      <c r="O189" s="14">
        <f t="shared" si="38"/>
        <v>7.2895940574626472</v>
      </c>
      <c r="P189" s="14">
        <f t="shared" si="39"/>
        <v>1</v>
      </c>
    </row>
    <row r="190" spans="1:16" x14ac:dyDescent="0.25">
      <c r="A190" s="14">
        <f t="shared" si="40"/>
        <v>0.83000000000000063</v>
      </c>
      <c r="B190" s="14">
        <f t="shared" si="32"/>
        <v>8.3543419778529628</v>
      </c>
      <c r="C190" s="14">
        <f t="shared" si="33"/>
        <v>9.0102113339723289</v>
      </c>
      <c r="D190" s="14">
        <f t="shared" si="34"/>
        <v>9.0102113339723289</v>
      </c>
      <c r="E190" s="14">
        <f t="shared" si="35"/>
        <v>1</v>
      </c>
      <c r="F190" s="14">
        <f t="shared" si="36"/>
        <v>-2.1097017397047506</v>
      </c>
      <c r="G190" s="14">
        <f t="shared" si="41"/>
        <v>-1.8742804523569989</v>
      </c>
      <c r="H190" s="14">
        <f t="shared" si="42"/>
        <v>-0.9684597133725773</v>
      </c>
      <c r="I190" s="14">
        <f t="shared" si="43"/>
        <v>7.3196028904136643</v>
      </c>
      <c r="J190" s="14">
        <f t="shared" si="37"/>
        <v>3.7331130281419034</v>
      </c>
      <c r="K190" s="14">
        <f t="shared" si="44"/>
        <v>27.022299406005704</v>
      </c>
      <c r="L190" s="14">
        <f t="shared" si="45"/>
        <v>8.2166124013631592</v>
      </c>
      <c r="M190" s="14">
        <f t="shared" si="46"/>
        <v>6.9995988074099662</v>
      </c>
      <c r="N190" s="14">
        <f t="shared" si="47"/>
        <v>7.3082596226033569</v>
      </c>
      <c r="O190" s="14">
        <f t="shared" si="38"/>
        <v>7.3082596226033569</v>
      </c>
      <c r="P190" s="14">
        <f t="shared" si="39"/>
        <v>1</v>
      </c>
    </row>
    <row r="191" spans="1:16" x14ac:dyDescent="0.25">
      <c r="A191" s="14">
        <f t="shared" si="40"/>
        <v>0.83500000000000063</v>
      </c>
      <c r="B191" s="14">
        <f t="shared" si="32"/>
        <v>8.4046693391653307</v>
      </c>
      <c r="C191" s="14">
        <f t="shared" si="33"/>
        <v>9.0440322155022823</v>
      </c>
      <c r="D191" s="14">
        <f t="shared" si="34"/>
        <v>9.0440322155022823</v>
      </c>
      <c r="E191" s="14">
        <f t="shared" si="35"/>
        <v>1</v>
      </c>
      <c r="F191" s="14">
        <f t="shared" si="36"/>
        <v>-2.0928942999812805</v>
      </c>
      <c r="G191" s="14">
        <f t="shared" si="41"/>
        <v>-1.8644125363552224</v>
      </c>
      <c r="H191" s="14">
        <f t="shared" si="42"/>
        <v>-0.95087982688435502</v>
      </c>
      <c r="I191" s="14">
        <f t="shared" si="43"/>
        <v>7.310280827731888</v>
      </c>
      <c r="J191" s="14">
        <f t="shared" si="37"/>
        <v>3.6793586290074818</v>
      </c>
      <c r="K191" s="14">
        <f t="shared" si="44"/>
        <v>26.716701922333975</v>
      </c>
      <c r="L191" s="14">
        <f t="shared" si="45"/>
        <v>8.1840018145865674</v>
      </c>
      <c r="M191" s="14">
        <f t="shared" si="46"/>
        <v>7.0361502115486259</v>
      </c>
      <c r="N191" s="14">
        <f t="shared" si="47"/>
        <v>7.3266564157483947</v>
      </c>
      <c r="O191" s="14">
        <f t="shared" si="38"/>
        <v>7.3266564157483947</v>
      </c>
      <c r="P191" s="14">
        <f t="shared" si="39"/>
        <v>1</v>
      </c>
    </row>
    <row r="192" spans="1:16" x14ac:dyDescent="0.25">
      <c r="A192" s="14">
        <f t="shared" si="40"/>
        <v>0.84000000000000064</v>
      </c>
      <c r="B192" s="14">
        <f t="shared" si="32"/>
        <v>8.4549967004776967</v>
      </c>
      <c r="C192" s="14">
        <f t="shared" si="33"/>
        <v>9.0776080970322361</v>
      </c>
      <c r="D192" s="14">
        <f t="shared" si="34"/>
        <v>9.0776080970322361</v>
      </c>
      <c r="E192" s="14">
        <f t="shared" si="35"/>
        <v>1</v>
      </c>
      <c r="F192" s="14">
        <f t="shared" si="36"/>
        <v>-2.0763144567358429</v>
      </c>
      <c r="G192" s="14">
        <f t="shared" si="41"/>
        <v>-1.8546478983381498</v>
      </c>
      <c r="H192" s="14">
        <f t="shared" si="42"/>
        <v>-0.93346820858567114</v>
      </c>
      <c r="I192" s="14">
        <f t="shared" si="43"/>
        <v>7.3010075882401972</v>
      </c>
      <c r="J192" s="14">
        <f t="shared" si="37"/>
        <v>3.6256912879645533</v>
      </c>
      <c r="K192" s="14">
        <f t="shared" si="44"/>
        <v>26.409063546686706</v>
      </c>
      <c r="L192" s="14">
        <f t="shared" si="45"/>
        <v>8.1517083558701362</v>
      </c>
      <c r="M192" s="14">
        <f t="shared" si="46"/>
        <v>7.0726552494898272</v>
      </c>
      <c r="N192" s="14">
        <f t="shared" si="47"/>
        <v>7.3447848721882174</v>
      </c>
      <c r="O192" s="14">
        <f t="shared" si="38"/>
        <v>7.3447848721882174</v>
      </c>
      <c r="P192" s="14">
        <f t="shared" si="39"/>
        <v>1</v>
      </c>
    </row>
    <row r="193" spans="1:16" x14ac:dyDescent="0.25">
      <c r="A193" s="14">
        <f t="shared" si="40"/>
        <v>0.84500000000000064</v>
      </c>
      <c r="B193" s="14">
        <f t="shared" si="32"/>
        <v>8.5053240617900645</v>
      </c>
      <c r="C193" s="14">
        <f t="shared" si="33"/>
        <v>9.1109389785621886</v>
      </c>
      <c r="D193" s="14">
        <f t="shared" si="34"/>
        <v>9.1109389785621886</v>
      </c>
      <c r="E193" s="14">
        <f t="shared" si="35"/>
        <v>1</v>
      </c>
      <c r="F193" s="14">
        <f t="shared" si="36"/>
        <v>-2.0599608226940527</v>
      </c>
      <c r="G193" s="14">
        <f t="shared" si="41"/>
        <v>-1.8449862214631951</v>
      </c>
      <c r="H193" s="14">
        <f t="shared" si="42"/>
        <v>-0.91622291700509229</v>
      </c>
      <c r="I193" s="14">
        <f t="shared" si="43"/>
        <v>7.291782657132881</v>
      </c>
      <c r="J193" s="14">
        <f t="shared" si="37"/>
        <v>3.572110173379528</v>
      </c>
      <c r="K193" s="14">
        <f t="shared" si="44"/>
        <v>26.099383488444293</v>
      </c>
      <c r="L193" s="14">
        <f t="shared" si="45"/>
        <v>8.1197330873388562</v>
      </c>
      <c r="M193" s="14">
        <f t="shared" si="46"/>
        <v>7.1091141627754917</v>
      </c>
      <c r="N193" s="14">
        <f t="shared" si="47"/>
        <v>7.362645423055115</v>
      </c>
      <c r="O193" s="14">
        <f t="shared" si="38"/>
        <v>7.362645423055115</v>
      </c>
      <c r="P193" s="14">
        <f t="shared" si="39"/>
        <v>1</v>
      </c>
    </row>
    <row r="194" spans="1:16" x14ac:dyDescent="0.25">
      <c r="A194" s="14">
        <f t="shared" si="40"/>
        <v>0.85000000000000064</v>
      </c>
      <c r="B194" s="14">
        <f t="shared" si="32"/>
        <v>8.5556514231024323</v>
      </c>
      <c r="C194" s="14">
        <f t="shared" si="33"/>
        <v>9.1440248600921432</v>
      </c>
      <c r="D194" s="14">
        <f t="shared" si="34"/>
        <v>9.1440248600921432</v>
      </c>
      <c r="E194" s="14">
        <f t="shared" si="35"/>
        <v>1</v>
      </c>
      <c r="F194" s="14">
        <f t="shared" si="36"/>
        <v>-2.0438320276983872</v>
      </c>
      <c r="G194" s="14">
        <f t="shared" si="41"/>
        <v>-1.8354271961109707</v>
      </c>
      <c r="H194" s="14">
        <f t="shared" si="42"/>
        <v>-0.89914201615869438</v>
      </c>
      <c r="I194" s="14">
        <f t="shared" si="43"/>
        <v>7.282605521152326</v>
      </c>
      <c r="J194" s="14">
        <f t="shared" si="37"/>
        <v>3.5186144632987344</v>
      </c>
      <c r="K194" s="14">
        <f t="shared" si="44"/>
        <v>25.787661430074255</v>
      </c>
      <c r="L194" s="14">
        <f t="shared" si="45"/>
        <v>8.0880770840820624</v>
      </c>
      <c r="M194" s="14">
        <f t="shared" si="46"/>
        <v>7.1455271903812534</v>
      </c>
      <c r="N194" s="14">
        <f t="shared" si="47"/>
        <v>7.3802384953716089</v>
      </c>
      <c r="O194" s="14">
        <f t="shared" si="38"/>
        <v>7.3802384953716089</v>
      </c>
      <c r="P194" s="14">
        <f t="shared" si="39"/>
        <v>1</v>
      </c>
    </row>
    <row r="195" spans="1:16" x14ac:dyDescent="0.25">
      <c r="A195" s="14">
        <f t="shared" si="40"/>
        <v>0.85500000000000065</v>
      </c>
      <c r="B195" s="14">
        <f t="shared" si="32"/>
        <v>8.6059787844148001</v>
      </c>
      <c r="C195" s="14">
        <f t="shared" si="33"/>
        <v>9.1768657416220965</v>
      </c>
      <c r="D195" s="14">
        <f t="shared" si="34"/>
        <v>9.1768657416220965</v>
      </c>
      <c r="E195" s="14">
        <f t="shared" si="35"/>
        <v>1</v>
      </c>
      <c r="F195" s="14">
        <f t="shared" si="36"/>
        <v>-2.0279267184596552</v>
      </c>
      <c r="G195" s="14">
        <f t="shared" si="41"/>
        <v>-1.8259705196692908</v>
      </c>
      <c r="H195" s="14">
        <f t="shared" si="42"/>
        <v>-0.88222357525811235</v>
      </c>
      <c r="I195" s="14">
        <f t="shared" si="43"/>
        <v>7.2734756685539796</v>
      </c>
      <c r="J195" s="14">
        <f t="shared" si="37"/>
        <v>3.4652033454224438</v>
      </c>
      <c r="K195" s="14">
        <f t="shared" si="44"/>
        <v>25.473897539480983</v>
      </c>
      <c r="L195" s="14">
        <f t="shared" si="45"/>
        <v>8.0567414334936718</v>
      </c>
      <c r="M195" s="14">
        <f t="shared" si="46"/>
        <v>7.1818945687240232</v>
      </c>
      <c r="N195" s="14">
        <f t="shared" si="47"/>
        <v>7.3975645120987208</v>
      </c>
      <c r="O195" s="14">
        <f t="shared" si="38"/>
        <v>7.3975645120987208</v>
      </c>
      <c r="P195" s="14">
        <f t="shared" si="39"/>
        <v>1</v>
      </c>
    </row>
    <row r="196" spans="1:16" x14ac:dyDescent="0.25">
      <c r="A196" s="14">
        <f t="shared" si="40"/>
        <v>0.86000000000000065</v>
      </c>
      <c r="B196" s="14">
        <f t="shared" si="32"/>
        <v>8.6563061457271662</v>
      </c>
      <c r="C196" s="14">
        <f t="shared" si="33"/>
        <v>9.2094616231520501</v>
      </c>
      <c r="D196" s="14">
        <f t="shared" si="34"/>
        <v>9.2094616231520501</v>
      </c>
      <c r="E196" s="14">
        <f t="shared" si="35"/>
        <v>1</v>
      </c>
      <c r="F196" s="14">
        <f t="shared" si="36"/>
        <v>-2.012243558311384</v>
      </c>
      <c r="G196" s="14">
        <f t="shared" si="41"/>
        <v>-1.8166158963147554</v>
      </c>
      <c r="H196" s="14">
        <f t="shared" si="42"/>
        <v>-0.86546566842492267</v>
      </c>
      <c r="I196" s="14">
        <f t="shared" si="43"/>
        <v>7.2643925890724059</v>
      </c>
      <c r="J196" s="14">
        <f t="shared" si="37"/>
        <v>3.4118760170803193</v>
      </c>
      <c r="K196" s="14">
        <f t="shared" si="44"/>
        <v>25.158092482355499</v>
      </c>
      <c r="L196" s="14">
        <f t="shared" si="45"/>
        <v>8.0257272345936332</v>
      </c>
      <c r="M196" s="14">
        <f t="shared" si="46"/>
        <v>7.2182165316693849</v>
      </c>
      <c r="N196" s="14">
        <f t="shared" si="47"/>
        <v>7.4146238921841228</v>
      </c>
      <c r="O196" s="14">
        <f t="shared" si="38"/>
        <v>7.4146238921841228</v>
      </c>
      <c r="P196" s="14">
        <f t="shared" si="39"/>
        <v>1</v>
      </c>
    </row>
    <row r="197" spans="1:16" x14ac:dyDescent="0.25">
      <c r="A197" s="14">
        <f t="shared" si="40"/>
        <v>0.86500000000000066</v>
      </c>
      <c r="B197" s="14">
        <f t="shared" si="32"/>
        <v>8.706633507039534</v>
      </c>
      <c r="C197" s="14">
        <f t="shared" si="33"/>
        <v>9.2418125046820041</v>
      </c>
      <c r="D197" s="14">
        <f t="shared" si="34"/>
        <v>9.2418125046820041</v>
      </c>
      <c r="E197" s="14">
        <f t="shared" si="35"/>
        <v>1</v>
      </c>
      <c r="F197" s="14">
        <f t="shared" si="36"/>
        <v>-1.9967812269670369</v>
      </c>
      <c r="G197" s="14">
        <f t="shared" si="41"/>
        <v>-1.8073630367918556</v>
      </c>
      <c r="H197" s="14">
        <f t="shared" si="42"/>
        <v>-0.84886637441148938</v>
      </c>
      <c r="I197" s="14">
        <f t="shared" si="43"/>
        <v>7.2553557738884464</v>
      </c>
      <c r="J197" s="14">
        <f t="shared" si="37"/>
        <v>3.3586316852082621</v>
      </c>
      <c r="K197" s="14">
        <f t="shared" si="44"/>
        <v>24.840247434509962</v>
      </c>
      <c r="L197" s="14">
        <f t="shared" si="45"/>
        <v>7.9950355973304648</v>
      </c>
      <c r="M197" s="14">
        <f t="shared" si="46"/>
        <v>7.2544933105388267</v>
      </c>
      <c r="N197" s="14">
        <f t="shared" si="47"/>
        <v>7.4314170506101638</v>
      </c>
      <c r="O197" s="14">
        <f t="shared" si="38"/>
        <v>7.4314170506101638</v>
      </c>
      <c r="P197" s="14">
        <f t="shared" si="39"/>
        <v>1</v>
      </c>
    </row>
    <row r="198" spans="1:16" x14ac:dyDescent="0.25">
      <c r="A198" s="14">
        <f t="shared" si="40"/>
        <v>0.87000000000000066</v>
      </c>
      <c r="B198" s="14">
        <f t="shared" si="32"/>
        <v>8.7569608683519018</v>
      </c>
      <c r="C198" s="14">
        <f t="shared" si="33"/>
        <v>9.2739183862119567</v>
      </c>
      <c r="D198" s="14">
        <f t="shared" si="34"/>
        <v>9.2739183862119567</v>
      </c>
      <c r="E198" s="14">
        <f t="shared" si="35"/>
        <v>1</v>
      </c>
      <c r="F198" s="14">
        <f t="shared" si="36"/>
        <v>-1.9815384202800201</v>
      </c>
      <c r="G198" s="14">
        <f t="shared" si="41"/>
        <v>-1.7982116581895924</v>
      </c>
      <c r="H198" s="14">
        <f t="shared" si="42"/>
        <v>-0.83242377632842379</v>
      </c>
      <c r="I198" s="14">
        <f t="shared" si="43"/>
        <v>7.2463647155974984</v>
      </c>
      <c r="J198" s="14">
        <f t="shared" si="37"/>
        <v>3.3054695663266198</v>
      </c>
      <c r="K198" s="14">
        <f t="shared" si="44"/>
        <v>24.520364094181016</v>
      </c>
      <c r="L198" s="14">
        <f t="shared" si="45"/>
        <v>7.9646676418647822</v>
      </c>
      <c r="M198" s="14">
        <f t="shared" si="46"/>
        <v>7.2907251341168147</v>
      </c>
      <c r="N198" s="14">
        <f t="shared" si="47"/>
        <v>7.4479443984417966</v>
      </c>
      <c r="O198" s="14">
        <f t="shared" si="38"/>
        <v>7.4479443984417966</v>
      </c>
      <c r="P198" s="14">
        <f t="shared" si="39"/>
        <v>1</v>
      </c>
    </row>
    <row r="199" spans="1:16" x14ac:dyDescent="0.25">
      <c r="A199" s="14">
        <f t="shared" si="40"/>
        <v>0.87500000000000067</v>
      </c>
      <c r="B199" s="14">
        <f t="shared" si="32"/>
        <v>8.8072882296642678</v>
      </c>
      <c r="C199" s="14">
        <f t="shared" si="33"/>
        <v>9.3057792677419116</v>
      </c>
      <c r="D199" s="14">
        <f t="shared" si="34"/>
        <v>9.3057792677419116</v>
      </c>
      <c r="E199" s="14">
        <f t="shared" si="35"/>
        <v>1</v>
      </c>
      <c r="F199" s="14">
        <f t="shared" si="36"/>
        <v>-1.9665138500064052</v>
      </c>
      <c r="G199" s="14">
        <f t="shared" si="41"/>
        <v>-1.7891614837155727</v>
      </c>
      <c r="H199" s="14">
        <f t="shared" si="42"/>
        <v>-0.81613596137880373</v>
      </c>
      <c r="I199" s="14">
        <f t="shared" si="43"/>
        <v>7.2374189081789204</v>
      </c>
      <c r="J199" s="14">
        <f t="shared" si="37"/>
        <v>3.2523888865197259</v>
      </c>
      <c r="K199" s="14">
        <f t="shared" si="44"/>
        <v>24.19844469428541</v>
      </c>
      <c r="L199" s="14">
        <f t="shared" si="45"/>
        <v>7.9346244978337053</v>
      </c>
      <c r="M199" s="14">
        <f t="shared" si="46"/>
        <v>7.3269122286577089</v>
      </c>
      <c r="N199" s="14">
        <f t="shared" si="47"/>
        <v>7.4642063428743954</v>
      </c>
      <c r="O199" s="14">
        <f t="shared" si="38"/>
        <v>7.4642063428743954</v>
      </c>
      <c r="P199" s="14">
        <f t="shared" si="39"/>
        <v>1</v>
      </c>
    </row>
    <row r="200" spans="1:16" x14ac:dyDescent="0.25">
      <c r="A200" s="14">
        <f t="shared" si="40"/>
        <v>0.88000000000000067</v>
      </c>
      <c r="B200" s="14">
        <f t="shared" si="32"/>
        <v>8.8576155909766356</v>
      </c>
      <c r="C200" s="14">
        <f t="shared" si="33"/>
        <v>9.337395149271865</v>
      </c>
      <c r="D200" s="14">
        <f t="shared" si="34"/>
        <v>9.337395149271865</v>
      </c>
      <c r="E200" s="14">
        <f t="shared" si="35"/>
        <v>1</v>
      </c>
      <c r="F200" s="14">
        <f t="shared" si="36"/>
        <v>-1.9517062435703063</v>
      </c>
      <c r="G200" s="14">
        <f t="shared" si="41"/>
        <v>-1.7802122424675613</v>
      </c>
      <c r="H200" s="14">
        <f t="shared" si="42"/>
        <v>-0.80000102059930678</v>
      </c>
      <c r="I200" s="14">
        <f t="shared" si="43"/>
        <v>7.2285178469665823</v>
      </c>
      <c r="J200" s="14">
        <f t="shared" si="37"/>
        <v>3.1993888814167293</v>
      </c>
      <c r="K200" s="14">
        <f t="shared" si="44"/>
        <v>23.874492014610567</v>
      </c>
      <c r="L200" s="14">
        <f t="shared" si="45"/>
        <v>7.9049073035961266</v>
      </c>
      <c r="M200" s="14">
        <f t="shared" si="46"/>
        <v>7.3630548178925421</v>
      </c>
      <c r="N200" s="14">
        <f t="shared" si="47"/>
        <v>7.480203287281479</v>
      </c>
      <c r="O200" s="14">
        <f t="shared" si="38"/>
        <v>7.480203287281479</v>
      </c>
      <c r="P200" s="14">
        <f t="shared" si="39"/>
        <v>1</v>
      </c>
    </row>
    <row r="201" spans="1:16" x14ac:dyDescent="0.25">
      <c r="A201" s="14">
        <f t="shared" si="40"/>
        <v>0.88500000000000068</v>
      </c>
      <c r="B201" s="14">
        <f t="shared" si="32"/>
        <v>8.9079429522890035</v>
      </c>
      <c r="C201" s="14">
        <f t="shared" si="33"/>
        <v>9.3687660308018206</v>
      </c>
      <c r="D201" s="14">
        <f t="shared" si="34"/>
        <v>9.3687660308018206</v>
      </c>
      <c r="E201" s="14">
        <f t="shared" si="35"/>
        <v>1</v>
      </c>
      <c r="F201" s="14">
        <f t="shared" si="36"/>
        <v>-1.937114343831869</v>
      </c>
      <c r="G201" s="14">
        <f t="shared" si="41"/>
        <v>-1.7713636692024937</v>
      </c>
      <c r="H201" s="14">
        <f t="shared" si="42"/>
        <v>-0.7840170486084157</v>
      </c>
      <c r="I201" s="14">
        <f t="shared" si="43"/>
        <v>7.2196610286205702</v>
      </c>
      <c r="J201" s="14">
        <f t="shared" si="37"/>
        <v>3.146468796173687</v>
      </c>
      <c r="K201" s="14">
        <f t="shared" si="44"/>
        <v>23.54850939392233</v>
      </c>
      <c r="L201" s="14">
        <f t="shared" si="45"/>
        <v>7.8755172054587828</v>
      </c>
      <c r="M201" s="14">
        <f t="shared" si="46"/>
        <v>7.3991531230356449</v>
      </c>
      <c r="N201" s="14">
        <f t="shared" si="47"/>
        <v>7.4959356312623475</v>
      </c>
      <c r="O201" s="14">
        <f t="shared" si="38"/>
        <v>7.4959356312623475</v>
      </c>
      <c r="P201" s="14">
        <f t="shared" si="39"/>
        <v>1</v>
      </c>
    </row>
    <row r="202" spans="1:16" x14ac:dyDescent="0.25">
      <c r="A202" s="14">
        <f t="shared" si="40"/>
        <v>0.89000000000000068</v>
      </c>
      <c r="B202" s="14">
        <f t="shared" si="32"/>
        <v>8.9582703136013695</v>
      </c>
      <c r="C202" s="14">
        <f t="shared" si="33"/>
        <v>9.399891912331773</v>
      </c>
      <c r="D202" s="14">
        <f t="shared" si="34"/>
        <v>9.399891912331773</v>
      </c>
      <c r="E202" s="14">
        <f t="shared" si="35"/>
        <v>1</v>
      </c>
      <c r="F202" s="14">
        <f t="shared" si="36"/>
        <v>-1.9227369088577968</v>
      </c>
      <c r="G202" s="14">
        <f t="shared" si="41"/>
        <v>-1.7626155041029281</v>
      </c>
      <c r="H202" s="14">
        <f t="shared" si="42"/>
        <v>-0.76818214336185675</v>
      </c>
      <c r="I202" s="14">
        <f t="shared" si="43"/>
        <v>7.2108479511000558</v>
      </c>
      <c r="J202" s="14">
        <f t="shared" si="37"/>
        <v>3.0936278854568777</v>
      </c>
      <c r="K202" s="14">
        <f t="shared" si="44"/>
        <v>23.220500741971247</v>
      </c>
      <c r="L202" s="14">
        <f t="shared" si="45"/>
        <v>7.8464553568831494</v>
      </c>
      <c r="M202" s="14">
        <f t="shared" si="46"/>
        <v>7.4352073627911448</v>
      </c>
      <c r="N202" s="14">
        <f t="shared" si="47"/>
        <v>7.5114037706896317</v>
      </c>
      <c r="O202" s="14">
        <f t="shared" si="38"/>
        <v>7.5114037706896317</v>
      </c>
      <c r="P202" s="14">
        <f t="shared" si="39"/>
        <v>1</v>
      </c>
    </row>
    <row r="203" spans="1:16" x14ac:dyDescent="0.25">
      <c r="A203" s="14">
        <f t="shared" si="40"/>
        <v>0.89500000000000068</v>
      </c>
      <c r="B203" s="14">
        <f t="shared" si="32"/>
        <v>9.0085976749137373</v>
      </c>
      <c r="C203" s="14">
        <f t="shared" si="33"/>
        <v>9.4307727938617276</v>
      </c>
      <c r="D203" s="14">
        <f t="shared" si="34"/>
        <v>9.4307727938617276</v>
      </c>
      <c r="E203" s="14">
        <f t="shared" si="35"/>
        <v>1</v>
      </c>
      <c r="F203" s="14">
        <f t="shared" si="36"/>
        <v>-1.9085727116943685</v>
      </c>
      <c r="G203" s="14">
        <f t="shared" si="41"/>
        <v>-1.7539674925409465</v>
      </c>
      <c r="H203" s="14">
        <f t="shared" si="42"/>
        <v>-0.75249440591543248</v>
      </c>
      <c r="I203" s="14">
        <f t="shared" si="43"/>
        <v>7.2020781136373513</v>
      </c>
      <c r="J203" s="14">
        <f t="shared" si="37"/>
        <v>3.0408654134273005</v>
      </c>
      <c r="K203" s="14">
        <f t="shared" si="44"/>
        <v>22.890470551378364</v>
      </c>
      <c r="L203" s="14">
        <f t="shared" si="45"/>
        <v>7.8177229176731844</v>
      </c>
      <c r="M203" s="14">
        <f t="shared" si="46"/>
        <v>7.4712177533593316</v>
      </c>
      <c r="N203" s="14">
        <f t="shared" si="47"/>
        <v>7.5266080977567684</v>
      </c>
      <c r="O203" s="14">
        <f t="shared" si="38"/>
        <v>7.5266080977567684</v>
      </c>
      <c r="P203" s="14">
        <f t="shared" si="39"/>
        <v>1</v>
      </c>
    </row>
    <row r="204" spans="1:16" x14ac:dyDescent="0.25">
      <c r="A204" s="14">
        <f t="shared" si="40"/>
        <v>0.90000000000000069</v>
      </c>
      <c r="B204" s="14">
        <f t="shared" si="32"/>
        <v>9.0589250362261051</v>
      </c>
      <c r="C204" s="14">
        <f t="shared" si="33"/>
        <v>9.4614086753916808</v>
      </c>
      <c r="D204" s="14">
        <f t="shared" si="34"/>
        <v>9.4614086753916808</v>
      </c>
      <c r="E204" s="14">
        <f t="shared" si="35"/>
        <v>1</v>
      </c>
      <c r="F204" s="14">
        <f t="shared" si="36"/>
        <v>-1.8946205401428884</v>
      </c>
      <c r="G204" s="14">
        <f t="shared" si="41"/>
        <v>-1.7454193848395105</v>
      </c>
      <c r="H204" s="14">
        <f t="shared" si="42"/>
        <v>-0.73695194019542087</v>
      </c>
      <c r="I204" s="14">
        <f t="shared" si="43"/>
        <v>7.1933510167131534</v>
      </c>
      <c r="J204" s="14">
        <f t="shared" si="37"/>
        <v>2.9881806537263236</v>
      </c>
      <c r="K204" s="14">
        <f t="shared" si="44"/>
        <v>22.558423909380625</v>
      </c>
      <c r="L204" s="14">
        <f t="shared" si="45"/>
        <v>7.7893210531440058</v>
      </c>
      <c r="M204" s="14">
        <f t="shared" si="46"/>
        <v>7.5071845084428972</v>
      </c>
      <c r="N204" s="14">
        <f t="shared" si="47"/>
        <v>7.5415490010254</v>
      </c>
      <c r="O204" s="14">
        <f t="shared" si="38"/>
        <v>7.5415490010254</v>
      </c>
      <c r="P204" s="14">
        <f t="shared" si="39"/>
        <v>1</v>
      </c>
    </row>
    <row r="205" spans="1:16" x14ac:dyDescent="0.25">
      <c r="A205" s="14">
        <f t="shared" si="40"/>
        <v>0.90500000000000069</v>
      </c>
      <c r="B205" s="14">
        <f t="shared" si="32"/>
        <v>9.1092523975384712</v>
      </c>
      <c r="C205" s="14">
        <f t="shared" si="33"/>
        <v>9.4917995569216345</v>
      </c>
      <c r="D205" s="14">
        <f t="shared" si="34"/>
        <v>9.4917995569216345</v>
      </c>
      <c r="E205" s="14">
        <f t="shared" si="35"/>
        <v>1</v>
      </c>
      <c r="F205" s="14">
        <f t="shared" si="36"/>
        <v>-1.8808791965375258</v>
      </c>
      <c r="G205" s="14">
        <f t="shared" si="41"/>
        <v>-1.7369709360312968</v>
      </c>
      <c r="H205" s="14">
        <f t="shared" si="42"/>
        <v>-0.72155285277671022</v>
      </c>
      <c r="I205" s="14">
        <f t="shared" si="43"/>
        <v>7.1846661620329968</v>
      </c>
      <c r="J205" s="14">
        <f t="shared" si="37"/>
        <v>2.9355728894624402</v>
      </c>
      <c r="K205" s="14">
        <f t="shared" si="44"/>
        <v>22.224366509415731</v>
      </c>
      <c r="L205" s="14">
        <f t="shared" si="45"/>
        <v>7.7612509332715698</v>
      </c>
      <c r="M205" s="14">
        <f t="shared" si="46"/>
        <v>7.5431078392530626</v>
      </c>
      <c r="N205" s="14">
        <f t="shared" si="47"/>
        <v>7.5562268654727118</v>
      </c>
      <c r="O205" s="14">
        <f t="shared" si="38"/>
        <v>7.5562268654727118</v>
      </c>
      <c r="P205" s="14">
        <f t="shared" si="39"/>
        <v>1</v>
      </c>
    </row>
    <row r="206" spans="1:16" x14ac:dyDescent="0.25">
      <c r="A206" s="14">
        <f t="shared" si="40"/>
        <v>0.9100000000000007</v>
      </c>
      <c r="B206" s="14">
        <f t="shared" si="32"/>
        <v>9.159579758850839</v>
      </c>
      <c r="C206" s="14">
        <f t="shared" si="33"/>
        <v>9.5219454384515885</v>
      </c>
      <c r="D206" s="14">
        <f t="shared" si="34"/>
        <v>9.5219454384515885</v>
      </c>
      <c r="E206" s="14">
        <f t="shared" si="35"/>
        <v>1</v>
      </c>
      <c r="F206" s="14">
        <f t="shared" si="36"/>
        <v>-1.8673474975254731</v>
      </c>
      <c r="G206" s="14">
        <f t="shared" si="41"/>
        <v>-1.7286219056150212</v>
      </c>
      <c r="H206" s="14">
        <f t="shared" si="42"/>
        <v>-0.70629525266883952</v>
      </c>
      <c r="I206" s="14">
        <f t="shared" si="43"/>
        <v>7.176023052504922</v>
      </c>
      <c r="J206" s="14">
        <f t="shared" si="37"/>
        <v>2.8830414131990958</v>
      </c>
      <c r="K206" s="14">
        <f t="shared" si="44"/>
        <v>21.888304662525321</v>
      </c>
      <c r="L206" s="14">
        <f t="shared" si="45"/>
        <v>7.7335137318235301</v>
      </c>
      <c r="M206" s="14">
        <f t="shared" si="46"/>
        <v>7.5789879545155872</v>
      </c>
      <c r="N206" s="14">
        <f t="shared" si="47"/>
        <v>7.5706420725387069</v>
      </c>
      <c r="O206" s="14">
        <f t="shared" si="38"/>
        <v>7.5706420725387069</v>
      </c>
      <c r="P206" s="14">
        <f t="shared" si="39"/>
        <v>1</v>
      </c>
    </row>
    <row r="207" spans="1:16" x14ac:dyDescent="0.25">
      <c r="A207" s="14">
        <f t="shared" si="40"/>
        <v>0.9150000000000007</v>
      </c>
      <c r="B207" s="14">
        <f t="shared" si="32"/>
        <v>9.2099071201632068</v>
      </c>
      <c r="C207" s="14">
        <f t="shared" si="33"/>
        <v>9.5518463199815429</v>
      </c>
      <c r="D207" s="14">
        <f t="shared" si="34"/>
        <v>9.5518463199815429</v>
      </c>
      <c r="E207" s="14">
        <f t="shared" si="35"/>
        <v>1</v>
      </c>
      <c r="F207" s="14">
        <f t="shared" si="36"/>
        <v>-1.8540242738493962</v>
      </c>
      <c r="G207" s="14">
        <f t="shared" si="41"/>
        <v>-1.7203720573092995</v>
      </c>
      <c r="H207" s="14">
        <f t="shared" si="42"/>
        <v>-0.69117725111012485</v>
      </c>
      <c r="I207" s="14">
        <f t="shared" si="43"/>
        <v>7.1674211922183755</v>
      </c>
      <c r="J207" s="14">
        <f t="shared" si="37"/>
        <v>2.8305855269435454</v>
      </c>
      <c r="K207" s="14">
        <f t="shared" si="44"/>
        <v>21.550245308555205</v>
      </c>
      <c r="L207" s="14">
        <f t="shared" si="45"/>
        <v>7.7061106254714087</v>
      </c>
      <c r="M207" s="14">
        <f t="shared" si="46"/>
        <v>7.6148250604766794</v>
      </c>
      <c r="N207" s="14">
        <f t="shared" si="47"/>
        <v>7.5847950001734246</v>
      </c>
      <c r="O207" s="14">
        <f t="shared" si="38"/>
        <v>7.5847950001734246</v>
      </c>
      <c r="P207" s="14">
        <f t="shared" si="39"/>
        <v>1</v>
      </c>
    </row>
    <row r="208" spans="1:16" x14ac:dyDescent="0.25">
      <c r="A208" s="14">
        <f t="shared" si="40"/>
        <v>0.92000000000000071</v>
      </c>
      <c r="B208" s="14">
        <f t="shared" si="32"/>
        <v>9.2602344814755728</v>
      </c>
      <c r="C208" s="14">
        <f t="shared" si="33"/>
        <v>9.5815022015114959</v>
      </c>
      <c r="D208" s="14">
        <f t="shared" si="34"/>
        <v>9.5815022015114959</v>
      </c>
      <c r="E208" s="14">
        <f t="shared" si="35"/>
        <v>1</v>
      </c>
      <c r="F208" s="14">
        <f t="shared" si="36"/>
        <v>-1.8409083701321036</v>
      </c>
      <c r="G208" s="14">
        <f t="shared" si="41"/>
        <v>-1.7122211588040721</v>
      </c>
      <c r="H208" s="14">
        <f t="shared" si="42"/>
        <v>-0.67619696137004237</v>
      </c>
      <c r="I208" s="14">
        <f t="shared" si="43"/>
        <v>7.1588600864243555</v>
      </c>
      <c r="J208" s="14">
        <f t="shared" si="37"/>
        <v>2.7782045421366952</v>
      </c>
      <c r="K208" s="14">
        <f t="shared" si="44"/>
        <v>21.210196027130543</v>
      </c>
      <c r="L208" s="14">
        <f t="shared" si="45"/>
        <v>7.6790427928843252</v>
      </c>
      <c r="M208" s="14">
        <f t="shared" si="46"/>
        <v>7.6506193609088013</v>
      </c>
      <c r="N208" s="14">
        <f t="shared" si="47"/>
        <v>7.5986860228841078</v>
      </c>
      <c r="O208" s="14">
        <f t="shared" si="38"/>
        <v>7.5986860228841078</v>
      </c>
      <c r="P208" s="14">
        <f t="shared" si="39"/>
        <v>1</v>
      </c>
    </row>
    <row r="209" spans="1:16" x14ac:dyDescent="0.25">
      <c r="A209" s="14">
        <f t="shared" si="40"/>
        <v>0.92500000000000071</v>
      </c>
      <c r="B209" s="14">
        <f t="shared" si="32"/>
        <v>9.3105618427879406</v>
      </c>
      <c r="C209" s="14">
        <f t="shared" si="33"/>
        <v>9.6109130830414493</v>
      </c>
      <c r="D209" s="14">
        <f t="shared" si="34"/>
        <v>9.6109130830414493</v>
      </c>
      <c r="E209" s="14">
        <f t="shared" si="35"/>
        <v>1</v>
      </c>
      <c r="F209" s="14">
        <f t="shared" si="36"/>
        <v>-1.8279986446634096</v>
      </c>
      <c r="G209" s="14">
        <f t="shared" si="41"/>
        <v>-1.7041689815096503</v>
      </c>
      <c r="H209" s="14">
        <f t="shared" si="42"/>
        <v>-0.66135249856005196</v>
      </c>
      <c r="I209" s="14">
        <f t="shared" si="43"/>
        <v>7.1503392415168072</v>
      </c>
      <c r="J209" s="14">
        <f t="shared" si="37"/>
        <v>2.725897779643895</v>
      </c>
      <c r="K209" s="14">
        <f t="shared" si="44"/>
        <v>20.868165048383545</v>
      </c>
      <c r="L209" s="14">
        <f t="shared" si="45"/>
        <v>7.6523114138045027</v>
      </c>
      <c r="M209" s="14">
        <f t="shared" si="46"/>
        <v>7.6863710571163857</v>
      </c>
      <c r="N209" s="14">
        <f t="shared" si="47"/>
        <v>7.6123155117823273</v>
      </c>
      <c r="O209" s="14">
        <f t="shared" si="38"/>
        <v>7.6123155117823273</v>
      </c>
      <c r="P209" s="14">
        <f t="shared" si="39"/>
        <v>1</v>
      </c>
    </row>
    <row r="210" spans="1:16" x14ac:dyDescent="0.25">
      <c r="A210" s="14">
        <f t="shared" si="40"/>
        <v>0.93000000000000071</v>
      </c>
      <c r="B210" s="14">
        <f t="shared" si="32"/>
        <v>9.3608892041003084</v>
      </c>
      <c r="C210" s="14">
        <f t="shared" si="33"/>
        <v>9.6400789645714013</v>
      </c>
      <c r="D210" s="14">
        <f t="shared" si="34"/>
        <v>9.6400789645714013</v>
      </c>
      <c r="E210" s="14">
        <f t="shared" si="35"/>
        <v>1</v>
      </c>
      <c r="F210" s="14">
        <f t="shared" si="36"/>
        <v>-1.8152939691891228</v>
      </c>
      <c r="G210" s="14">
        <f t="shared" si="41"/>
        <v>-1.6962153003034321</v>
      </c>
      <c r="H210" s="14">
        <f t="shared" si="42"/>
        <v>-0.64664197945303326</v>
      </c>
      <c r="I210" s="14">
        <f t="shared" si="43"/>
        <v>7.1418581650152904</v>
      </c>
      <c r="J210" s="14">
        <f t="shared" si="37"/>
        <v>2.6736645697466299</v>
      </c>
      <c r="K210" s="14">
        <f t="shared" si="44"/>
        <v>20.52416126341079</v>
      </c>
      <c r="L210" s="14">
        <f t="shared" si="45"/>
        <v>7.6259176681048686</v>
      </c>
      <c r="M210" s="14">
        <f t="shared" si="46"/>
        <v>7.7220803479414624</v>
      </c>
      <c r="N210" s="14">
        <f t="shared" si="47"/>
        <v>7.6256838346310607</v>
      </c>
      <c r="O210" s="14">
        <f t="shared" si="38"/>
        <v>7.6256838346310607</v>
      </c>
      <c r="P210" s="14">
        <f t="shared" si="39"/>
        <v>1</v>
      </c>
    </row>
    <row r="211" spans="1:16" x14ac:dyDescent="0.25">
      <c r="A211" s="14">
        <f t="shared" si="40"/>
        <v>0.93500000000000072</v>
      </c>
      <c r="B211" s="14">
        <f t="shared" si="32"/>
        <v>9.4112165654126745</v>
      </c>
      <c r="C211" s="14">
        <f t="shared" si="33"/>
        <v>9.6689998461013573</v>
      </c>
      <c r="D211" s="14">
        <f t="shared" si="34"/>
        <v>9.6689998461013573</v>
      </c>
      <c r="E211" s="14">
        <f t="shared" si="35"/>
        <v>1</v>
      </c>
      <c r="F211" s="14">
        <f t="shared" si="36"/>
        <v>-1.802793228702134</v>
      </c>
      <c r="G211" s="14">
        <f t="shared" si="41"/>
        <v>-1.6883598932743626</v>
      </c>
      <c r="H211" s="14">
        <f t="shared" si="42"/>
        <v>-0.63206352231152174</v>
      </c>
      <c r="I211" s="14">
        <f t="shared" si="43"/>
        <v>7.1334163655489187</v>
      </c>
      <c r="J211" s="14">
        <f t="shared" si="37"/>
        <v>2.6215042521350722</v>
      </c>
      <c r="K211" s="14">
        <f t="shared" si="44"/>
        <v>20.178194234436763</v>
      </c>
      <c r="L211" s="14">
        <f t="shared" si="45"/>
        <v>7.5998627348290579</v>
      </c>
      <c r="M211" s="14">
        <f t="shared" si="46"/>
        <v>7.7577474297692071</v>
      </c>
      <c r="N211" s="14">
        <f t="shared" si="47"/>
        <v>7.638791355891736</v>
      </c>
      <c r="O211" s="14">
        <f t="shared" si="38"/>
        <v>7.638791355891736</v>
      </c>
      <c r="P211" s="14">
        <f t="shared" si="39"/>
        <v>1</v>
      </c>
    </row>
    <row r="212" spans="1:16" x14ac:dyDescent="0.25">
      <c r="A212" s="14">
        <f t="shared" si="40"/>
        <v>0.94000000000000072</v>
      </c>
      <c r="B212" s="14">
        <f t="shared" si="32"/>
        <v>9.4615439267250423</v>
      </c>
      <c r="C212" s="14">
        <f t="shared" si="33"/>
        <v>9.6976757276313101</v>
      </c>
      <c r="D212" s="14">
        <f t="shared" si="34"/>
        <v>9.6976757276313101</v>
      </c>
      <c r="E212" s="14">
        <f t="shared" si="35"/>
        <v>1</v>
      </c>
      <c r="F212" s="14">
        <f t="shared" si="36"/>
        <v>-1.7904953212355454</v>
      </c>
      <c r="G212" s="14">
        <f t="shared" si="41"/>
        <v>-1.6806025414652037</v>
      </c>
      <c r="H212" s="14">
        <f t="shared" si="42"/>
        <v>-0.61761524672491486</v>
      </c>
      <c r="I212" s="14">
        <f t="shared" si="43"/>
        <v>7.1250133528415924</v>
      </c>
      <c r="J212" s="14">
        <f t="shared" si="37"/>
        <v>2.5694161759014476</v>
      </c>
      <c r="K212" s="14">
        <f t="shared" si="44"/>
        <v>19.830274204659915</v>
      </c>
      <c r="L212" s="14">
        <f t="shared" si="45"/>
        <v>7.5741477912142043</v>
      </c>
      <c r="M212" s="14">
        <f t="shared" si="46"/>
        <v>7.793372496533415</v>
      </c>
      <c r="N212" s="14">
        <f t="shared" si="47"/>
        <v>7.6516384367712433</v>
      </c>
      <c r="O212" s="14">
        <f t="shared" si="38"/>
        <v>7.6516384367712433</v>
      </c>
      <c r="P212" s="14">
        <f t="shared" si="39"/>
        <v>1</v>
      </c>
    </row>
    <row r="213" spans="1:16" x14ac:dyDescent="0.25">
      <c r="A213" s="14">
        <f t="shared" si="40"/>
        <v>0.94500000000000073</v>
      </c>
      <c r="B213" s="14">
        <f t="shared" si="32"/>
        <v>9.5118712880374101</v>
      </c>
      <c r="C213" s="14">
        <f t="shared" si="33"/>
        <v>9.7261066091612651</v>
      </c>
      <c r="D213" s="14">
        <f t="shared" si="34"/>
        <v>9.7261066091612651</v>
      </c>
      <c r="E213" s="14">
        <f t="shared" si="35"/>
        <v>1</v>
      </c>
      <c r="F213" s="14">
        <f t="shared" si="36"/>
        <v>-1.7783991576578051</v>
      </c>
      <c r="G213" s="14">
        <f t="shared" si="41"/>
        <v>-1.6729430286127025</v>
      </c>
      <c r="H213" s="14">
        <f t="shared" si="42"/>
        <v>-0.60329527345583378</v>
      </c>
      <c r="I213" s="14">
        <f t="shared" si="43"/>
        <v>7.1166486376985292</v>
      </c>
      <c r="J213" s="14">
        <f t="shared" si="37"/>
        <v>2.5173996995341685</v>
      </c>
      <c r="K213" s="14">
        <f t="shared" si="44"/>
        <v>19.480412107757179</v>
      </c>
      <c r="L213" s="14">
        <f t="shared" si="45"/>
        <v>7.5487740116969357</v>
      </c>
      <c r="M213" s="14">
        <f t="shared" si="46"/>
        <v>7.8289557397219074</v>
      </c>
      <c r="N213" s="14">
        <f t="shared" si="47"/>
        <v>7.6642254352689143</v>
      </c>
      <c r="O213" s="14">
        <f t="shared" si="38"/>
        <v>7.6642254352689143</v>
      </c>
      <c r="P213" s="14">
        <f t="shared" si="39"/>
        <v>1</v>
      </c>
    </row>
    <row r="214" spans="1:16" x14ac:dyDescent="0.25">
      <c r="A214" s="14">
        <f t="shared" si="40"/>
        <v>0.95000000000000073</v>
      </c>
      <c r="B214" s="14">
        <f t="shared" si="32"/>
        <v>9.5621986493497779</v>
      </c>
      <c r="C214" s="14">
        <f t="shared" si="33"/>
        <v>9.7542924906912187</v>
      </c>
      <c r="D214" s="14">
        <f t="shared" si="34"/>
        <v>9.7542924906912187</v>
      </c>
      <c r="E214" s="14">
        <f t="shared" si="35"/>
        <v>1</v>
      </c>
      <c r="F214" s="14">
        <f t="shared" si="36"/>
        <v>-1.7665036614698024</v>
      </c>
      <c r="G214" s="14">
        <f t="shared" si="41"/>
        <v>-1.6653811408857486</v>
      </c>
      <c r="H214" s="14">
        <f t="shared" si="42"/>
        <v>-0.58910172429581342</v>
      </c>
      <c r="I214" s="14">
        <f t="shared" si="43"/>
        <v>7.1083217319941001</v>
      </c>
      <c r="J214" s="14">
        <f t="shared" si="37"/>
        <v>2.4654541909126895</v>
      </c>
      <c r="K214" s="14">
        <f t="shared" si="44"/>
        <v>19.128619577022537</v>
      </c>
      <c r="L214" s="14">
        <f t="shared" si="45"/>
        <v>7.5237425669030262</v>
      </c>
      <c r="M214" s="14">
        <f t="shared" si="46"/>
        <v>7.8644973483818781</v>
      </c>
      <c r="N214" s="14">
        <f t="shared" si="47"/>
        <v>7.676552706223478</v>
      </c>
      <c r="O214" s="14">
        <f t="shared" si="38"/>
        <v>7.676552706223478</v>
      </c>
      <c r="P214" s="14">
        <f t="shared" si="39"/>
        <v>1</v>
      </c>
    </row>
    <row r="215" spans="1:16" x14ac:dyDescent="0.25">
      <c r="A215" s="14">
        <f t="shared" si="40"/>
        <v>0.95500000000000074</v>
      </c>
      <c r="B215" s="14">
        <f t="shared" si="32"/>
        <v>9.612526010662144</v>
      </c>
      <c r="C215" s="14">
        <f t="shared" si="33"/>
        <v>9.782233372221171</v>
      </c>
      <c r="D215" s="14">
        <f t="shared" si="34"/>
        <v>9.782233372221171</v>
      </c>
      <c r="E215" s="14">
        <f t="shared" si="35"/>
        <v>1</v>
      </c>
      <c r="F215" s="14">
        <f t="shared" si="36"/>
        <v>-1.7548077686038848</v>
      </c>
      <c r="G215" s="14">
        <f t="shared" si="41"/>
        <v>-1.6579166666216216</v>
      </c>
      <c r="H215" s="14">
        <f t="shared" si="42"/>
        <v>-0.57503272193049704</v>
      </c>
      <c r="I215" s="14">
        <f t="shared" si="43"/>
        <v>7.1000321486609916</v>
      </c>
      <c r="J215" s="14">
        <f t="shared" si="37"/>
        <v>2.4135790273030371</v>
      </c>
      <c r="K215" s="14">
        <f t="shared" si="44"/>
        <v>18.774908954115151</v>
      </c>
      <c r="L215" s="14">
        <f t="shared" si="45"/>
        <v>7.4990546226212196</v>
      </c>
      <c r="M215" s="14">
        <f t="shared" si="46"/>
        <v>7.8999975091251828</v>
      </c>
      <c r="N215" s="14">
        <f t="shared" si="47"/>
        <v>7.6886206013599931</v>
      </c>
      <c r="O215" s="14">
        <f t="shared" si="38"/>
        <v>7.6886206013599931</v>
      </c>
      <c r="P215" s="14">
        <f t="shared" si="39"/>
        <v>1</v>
      </c>
    </row>
    <row r="216" spans="1:16" x14ac:dyDescent="0.25">
      <c r="A216" s="14">
        <f t="shared" si="40"/>
        <v>0.96000000000000074</v>
      </c>
      <c r="B216" s="14">
        <f t="shared" ref="B216:B279" si="48">IF(E216=0,B215,$B$19*A216)</f>
        <v>9.6628533719745118</v>
      </c>
      <c r="C216" s="14">
        <f t="shared" si="33"/>
        <v>9.8099292537511253</v>
      </c>
      <c r="D216" s="14">
        <f t="shared" si="34"/>
        <v>9.8099292537511253</v>
      </c>
      <c r="E216" s="14">
        <f t="shared" si="35"/>
        <v>1</v>
      </c>
      <c r="F216" s="14">
        <f t="shared" si="36"/>
        <v>-1.7433104272247573</v>
      </c>
      <c r="G216" s="14">
        <f t="shared" si="41"/>
        <v>-1.6505493960604398</v>
      </c>
      <c r="H216" s="14">
        <f t="shared" si="42"/>
        <v>-0.56108638981451253</v>
      </c>
      <c r="I216" s="14">
        <f t="shared" si="43"/>
        <v>7.0917794016806894</v>
      </c>
      <c r="J216" s="14">
        <f t="shared" si="37"/>
        <v>2.3617735953539647</v>
      </c>
      <c r="K216" s="14">
        <f t="shared" si="44"/>
        <v>18.419293297392084</v>
      </c>
      <c r="L216" s="14">
        <f t="shared" si="45"/>
        <v>7.4747113387617654</v>
      </c>
      <c r="M216" s="14">
        <f t="shared" si="46"/>
        <v>7.9354564061335866</v>
      </c>
      <c r="N216" s="14">
        <f t="shared" si="47"/>
        <v>7.700429469336763</v>
      </c>
      <c r="O216" s="14">
        <f t="shared" si="38"/>
        <v>7.700429469336763</v>
      </c>
      <c r="P216" s="14">
        <f t="shared" si="39"/>
        <v>1</v>
      </c>
    </row>
    <row r="217" spans="1:16" x14ac:dyDescent="0.25">
      <c r="A217" s="14">
        <f t="shared" si="40"/>
        <v>0.96500000000000075</v>
      </c>
      <c r="B217" s="14">
        <f t="shared" si="48"/>
        <v>9.7131807332868796</v>
      </c>
      <c r="C217" s="14">
        <f t="shared" ref="C217:C280" si="49">$B$20*A217+0.5*$B$16*A217^2+$B$17</f>
        <v>9.8373801352810801</v>
      </c>
      <c r="D217" s="14">
        <f t="shared" ref="D217:D280" si="50">IF(E217=1,C217,$B$18)</f>
        <v>9.8373801352810801</v>
      </c>
      <c r="E217" s="14">
        <f t="shared" ref="E217:E280" si="51">IF(AND(C218-C217&lt;0,C217&lt;$B$18),0,1)</f>
        <v>1</v>
      </c>
      <c r="F217" s="14">
        <f t="shared" ref="F217:F280" si="52">-$E$13*L216^2</f>
        <v>-1.7320105975322249</v>
      </c>
      <c r="G217" s="14">
        <f t="shared" si="41"/>
        <v>-1.6432791210779329</v>
      </c>
      <c r="H217" s="14">
        <f t="shared" si="42"/>
        <v>-0.54726085205619301</v>
      </c>
      <c r="I217" s="14">
        <f t="shared" si="43"/>
        <v>7.0835630060753001</v>
      </c>
      <c r="J217" s="14">
        <f t="shared" ref="J217:J280" si="53">J216+(H217+$B$16)*$A$22</f>
        <v>2.3100372910936837</v>
      </c>
      <c r="K217" s="14">
        <f t="shared" si="44"/>
        <v>18.061786389800865</v>
      </c>
      <c r="L217" s="14">
        <f t="shared" si="45"/>
        <v>7.4507138683002712</v>
      </c>
      <c r="M217" s="14">
        <f t="shared" si="46"/>
        <v>7.9708742211639629</v>
      </c>
      <c r="N217" s="14">
        <f t="shared" si="47"/>
        <v>7.7119796557922315</v>
      </c>
      <c r="O217" s="14">
        <f t="shared" ref="O217:O280" si="54">IF(P217=1,N217,$B$18)</f>
        <v>7.7119796557922315</v>
      </c>
      <c r="P217" s="14">
        <f t="shared" ref="P217:P280" si="55">IF(AND(N218-N217&lt;0,N217&lt;$B$18),0,1)</f>
        <v>1</v>
      </c>
    </row>
    <row r="218" spans="1:16" x14ac:dyDescent="0.25">
      <c r="A218" s="14">
        <f t="shared" ref="A218:A281" si="56">A217+$A$22</f>
        <v>0.97000000000000075</v>
      </c>
      <c r="B218" s="14">
        <f t="shared" si="48"/>
        <v>9.7635080945992456</v>
      </c>
      <c r="C218" s="14">
        <f t="shared" si="49"/>
        <v>9.8645860168110335</v>
      </c>
      <c r="D218" s="14">
        <f t="shared" si="50"/>
        <v>9.8645860168110335</v>
      </c>
      <c r="E218" s="14">
        <f t="shared" si="51"/>
        <v>1</v>
      </c>
      <c r="F218" s="14">
        <f t="shared" si="52"/>
        <v>-1.7209072515657415</v>
      </c>
      <c r="G218" s="14">
        <f t="shared" ref="G218:G281" si="57">$F218*COS(PI()/180*$K217)</f>
        <v>-1.6361056349166638</v>
      </c>
      <c r="H218" s="14">
        <f t="shared" ref="H218:H281" si="58">$F218*SIN(PI()/180*$K217)</f>
        <v>-0.53355423331231744</v>
      </c>
      <c r="I218" s="14">
        <f t="shared" ref="I218:I281" si="59">I217+G218*$A$22</f>
        <v>7.0753824779007166</v>
      </c>
      <c r="J218" s="14">
        <f t="shared" si="53"/>
        <v>2.2583695199271223</v>
      </c>
      <c r="K218" s="14">
        <f t="shared" ref="K218:K281" si="60">180/PI()*ATAN(J218/I218)</f>
        <v>17.702402746306785</v>
      </c>
      <c r="L218" s="14">
        <f t="shared" ref="L218:L281" si="61">SQRT(I218^2+J218^2)</f>
        <v>7.4270633562075092</v>
      </c>
      <c r="M218" s="14">
        <f t="shared" ref="M218:M281" si="62">IF(P218=0,M217,M217+I218*$A$22)</f>
        <v>8.0062511335534658</v>
      </c>
      <c r="N218" s="14">
        <f t="shared" ref="N218:N281" si="63">N217+J218*$A$22</f>
        <v>7.7232715033918673</v>
      </c>
      <c r="O218" s="14">
        <f t="shared" si="54"/>
        <v>7.7232715033918673</v>
      </c>
      <c r="P218" s="14">
        <f t="shared" si="55"/>
        <v>1</v>
      </c>
    </row>
    <row r="219" spans="1:16" x14ac:dyDescent="0.25">
      <c r="A219" s="14">
        <f t="shared" si="56"/>
        <v>0.97500000000000075</v>
      </c>
      <c r="B219" s="14">
        <f t="shared" si="48"/>
        <v>9.8138354559116134</v>
      </c>
      <c r="C219" s="14">
        <f t="shared" si="49"/>
        <v>9.8915468983409873</v>
      </c>
      <c r="D219" s="14">
        <f t="shared" si="50"/>
        <v>9.8915468983409873</v>
      </c>
      <c r="E219" s="14">
        <f t="shared" si="51"/>
        <v>1</v>
      </c>
      <c r="F219" s="14">
        <f t="shared" si="52"/>
        <v>-1.7099993730107308</v>
      </c>
      <c r="G219" s="14">
        <f t="shared" si="57"/>
        <v>-1.6290287319158421</v>
      </c>
      <c r="H219" s="14">
        <f t="shared" si="58"/>
        <v>-0.51996465869302699</v>
      </c>
      <c r="I219" s="14">
        <f t="shared" si="59"/>
        <v>7.0672373342411374</v>
      </c>
      <c r="J219" s="14">
        <f t="shared" si="53"/>
        <v>2.206769696633657</v>
      </c>
      <c r="K219" s="14">
        <f t="shared" si="60"/>
        <v>17.341157620829897</v>
      </c>
      <c r="L219" s="14">
        <f t="shared" si="61"/>
        <v>7.4037609383658776</v>
      </c>
      <c r="M219" s="14">
        <f t="shared" si="62"/>
        <v>8.0415873202246715</v>
      </c>
      <c r="N219" s="14">
        <f t="shared" si="63"/>
        <v>7.7343053518750358</v>
      </c>
      <c r="O219" s="14">
        <f t="shared" si="54"/>
        <v>7.7343053518750358</v>
      </c>
      <c r="P219" s="14">
        <f t="shared" si="55"/>
        <v>1</v>
      </c>
    </row>
    <row r="220" spans="1:16" x14ac:dyDescent="0.25">
      <c r="A220" s="14">
        <f t="shared" si="56"/>
        <v>0.98000000000000076</v>
      </c>
      <c r="B220" s="14">
        <f t="shared" si="48"/>
        <v>9.8641628172239812</v>
      </c>
      <c r="C220" s="14">
        <f t="shared" si="49"/>
        <v>9.9182627798709397</v>
      </c>
      <c r="D220" s="14">
        <f t="shared" si="50"/>
        <v>9.9182627798709397</v>
      </c>
      <c r="E220" s="14">
        <f t="shared" si="51"/>
        <v>1</v>
      </c>
      <c r="F220" s="14">
        <f t="shared" si="52"/>
        <v>-1.6992859570066439</v>
      </c>
      <c r="G220" s="14">
        <f t="shared" si="57"/>
        <v>-1.6220482072398814</v>
      </c>
      <c r="H220" s="14">
        <f t="shared" si="58"/>
        <v>-0.50649025367707945</v>
      </c>
      <c r="I220" s="14">
        <f t="shared" si="59"/>
        <v>7.0591270932049381</v>
      </c>
      <c r="J220" s="14">
        <f t="shared" si="53"/>
        <v>2.1552372453652717</v>
      </c>
      <c r="K220" s="14">
        <f t="shared" si="60"/>
        <v>16.97806701266687</v>
      </c>
      <c r="L220" s="14">
        <f t="shared" si="61"/>
        <v>7.3808077404732391</v>
      </c>
      <c r="M220" s="14">
        <f t="shared" si="62"/>
        <v>8.0768829556906958</v>
      </c>
      <c r="N220" s="14">
        <f t="shared" si="63"/>
        <v>7.7450815381018625</v>
      </c>
      <c r="O220" s="14">
        <f t="shared" si="54"/>
        <v>7.7450815381018625</v>
      </c>
      <c r="P220" s="14">
        <f t="shared" si="55"/>
        <v>1</v>
      </c>
    </row>
    <row r="221" spans="1:16" x14ac:dyDescent="0.25">
      <c r="A221" s="14">
        <f t="shared" si="56"/>
        <v>0.98500000000000076</v>
      </c>
      <c r="B221" s="14">
        <f t="shared" si="48"/>
        <v>9.9144901785363473</v>
      </c>
      <c r="C221" s="14">
        <f t="shared" si="49"/>
        <v>9.9447336614008925</v>
      </c>
      <c r="D221" s="14">
        <f t="shared" si="50"/>
        <v>9.9447336614008925</v>
      </c>
      <c r="E221" s="14">
        <f t="shared" si="51"/>
        <v>1</v>
      </c>
      <c r="F221" s="14">
        <f t="shared" si="52"/>
        <v>-1.6887660099567201</v>
      </c>
      <c r="G221" s="14">
        <f t="shared" si="57"/>
        <v>-1.6151638566058522</v>
      </c>
      <c r="H221" s="14">
        <f t="shared" si="58"/>
        <v>-0.49312914403759478</v>
      </c>
      <c r="I221" s="14">
        <f t="shared" si="59"/>
        <v>7.0510512739219084</v>
      </c>
      <c r="J221" s="14">
        <f t="shared" si="53"/>
        <v>2.1037715996450839</v>
      </c>
      <c r="K221" s="14">
        <f t="shared" si="60"/>
        <v>16.613147672372705</v>
      </c>
      <c r="L221" s="14">
        <f t="shared" si="61"/>
        <v>7.3582048769349306</v>
      </c>
      <c r="M221" s="14">
        <f t="shared" si="62"/>
        <v>8.1121382120603052</v>
      </c>
      <c r="N221" s="14">
        <f t="shared" si="63"/>
        <v>7.7556003961000881</v>
      </c>
      <c r="O221" s="14">
        <f t="shared" si="54"/>
        <v>7.7556003961000881</v>
      </c>
      <c r="P221" s="14">
        <f t="shared" si="55"/>
        <v>1</v>
      </c>
    </row>
    <row r="222" spans="1:16" x14ac:dyDescent="0.25">
      <c r="A222" s="14">
        <f t="shared" si="56"/>
        <v>0.99000000000000077</v>
      </c>
      <c r="B222" s="14">
        <f t="shared" si="48"/>
        <v>9.9648175398487151</v>
      </c>
      <c r="C222" s="14">
        <f t="shared" si="49"/>
        <v>9.9709595429308475</v>
      </c>
      <c r="D222" s="14">
        <f t="shared" si="50"/>
        <v>9.9709595429308475</v>
      </c>
      <c r="E222" s="14">
        <f t="shared" si="51"/>
        <v>1</v>
      </c>
      <c r="F222" s="14">
        <f t="shared" si="52"/>
        <v>-1.6784385493394189</v>
      </c>
      <c r="G222" s="14">
        <f t="shared" si="57"/>
        <v>-1.6083754760100035</v>
      </c>
      <c r="H222" s="14">
        <f t="shared" si="58"/>
        <v>-0.47987945577843544</v>
      </c>
      <c r="I222" s="14">
        <f t="shared" si="59"/>
        <v>7.0430093965418585</v>
      </c>
      <c r="J222" s="14">
        <f t="shared" si="53"/>
        <v>2.0523722023661919</v>
      </c>
      <c r="K222" s="14">
        <f t="shared" si="60"/>
        <v>16.246417107077725</v>
      </c>
      <c r="L222" s="14">
        <f t="shared" si="61"/>
        <v>7.3359534497447818</v>
      </c>
      <c r="M222" s="14">
        <f t="shared" si="62"/>
        <v>8.1473532590430153</v>
      </c>
      <c r="N222" s="14">
        <f t="shared" si="63"/>
        <v>7.7658622571119187</v>
      </c>
      <c r="O222" s="14">
        <f t="shared" si="54"/>
        <v>7.7658622571119187</v>
      </c>
      <c r="P222" s="14">
        <f t="shared" si="55"/>
        <v>1</v>
      </c>
    </row>
    <row r="223" spans="1:16" x14ac:dyDescent="0.25">
      <c r="A223" s="14">
        <f t="shared" si="56"/>
        <v>0.99500000000000077</v>
      </c>
      <c r="B223" s="14">
        <f t="shared" si="48"/>
        <v>10.015144901161083</v>
      </c>
      <c r="C223" s="14">
        <f t="shared" si="49"/>
        <v>9.9969404244608011</v>
      </c>
      <c r="D223" s="14">
        <f t="shared" si="50"/>
        <v>9.9969404244608011</v>
      </c>
      <c r="E223" s="14">
        <f t="shared" si="51"/>
        <v>1</v>
      </c>
      <c r="F223" s="14">
        <f t="shared" si="52"/>
        <v>-1.6683026035214934</v>
      </c>
      <c r="G223" s="14">
        <f t="shared" si="57"/>
        <v>-1.601682861453531</v>
      </c>
      <c r="H223" s="14">
        <f t="shared" si="58"/>
        <v>-0.46673931508136546</v>
      </c>
      <c r="I223" s="14">
        <f t="shared" si="59"/>
        <v>7.0350009822345907</v>
      </c>
      <c r="J223" s="14">
        <f t="shared" si="53"/>
        <v>2.0010385057907851</v>
      </c>
      <c r="K223" s="14">
        <f t="shared" si="60"/>
        <v>15.877893585215503</v>
      </c>
      <c r="L223" s="14">
        <f t="shared" si="61"/>
        <v>7.3140545473560064</v>
      </c>
      <c r="M223" s="14">
        <f t="shared" si="62"/>
        <v>8.1825282639541879</v>
      </c>
      <c r="N223" s="14">
        <f t="shared" si="63"/>
        <v>7.7758674496408728</v>
      </c>
      <c r="O223" s="14">
        <f t="shared" si="54"/>
        <v>7.7758674496408728</v>
      </c>
      <c r="P223" s="14">
        <f t="shared" si="55"/>
        <v>1</v>
      </c>
    </row>
    <row r="224" spans="1:16" x14ac:dyDescent="0.25">
      <c r="A224" s="14">
        <f t="shared" si="56"/>
        <v>1.0000000000000007</v>
      </c>
      <c r="B224" s="14">
        <f t="shared" si="48"/>
        <v>10.065472262473449</v>
      </c>
      <c r="C224" s="14">
        <f t="shared" si="49"/>
        <v>10.022676305990757</v>
      </c>
      <c r="D224" s="14">
        <f t="shared" si="50"/>
        <v>10.022676305990757</v>
      </c>
      <c r="E224" s="14">
        <f t="shared" si="51"/>
        <v>1</v>
      </c>
      <c r="F224" s="14">
        <f t="shared" si="52"/>
        <v>-1.6583572115726712</v>
      </c>
      <c r="G224" s="14">
        <f t="shared" si="57"/>
        <v>-1.5950858086677733</v>
      </c>
      <c r="H224" s="14">
        <f t="shared" si="58"/>
        <v>-0.45370684826412033</v>
      </c>
      <c r="I224" s="14">
        <f t="shared" si="59"/>
        <v>7.027025553191252</v>
      </c>
      <c r="J224" s="14">
        <f t="shared" si="53"/>
        <v>1.9497699715494645</v>
      </c>
      <c r="K224" s="14">
        <f t="shared" si="60"/>
        <v>15.507596140637547</v>
      </c>
      <c r="L224" s="14">
        <f t="shared" si="61"/>
        <v>7.292509243542912</v>
      </c>
      <c r="M224" s="14">
        <f t="shared" si="62"/>
        <v>8.2176633917201443</v>
      </c>
      <c r="N224" s="14">
        <f t="shared" si="63"/>
        <v>7.7856162994986198</v>
      </c>
      <c r="O224" s="14">
        <f t="shared" si="54"/>
        <v>7.7856162994986198</v>
      </c>
      <c r="P224" s="14">
        <f t="shared" si="55"/>
        <v>1</v>
      </c>
    </row>
    <row r="225" spans="1:16" x14ac:dyDescent="0.25">
      <c r="A225" s="14">
        <f t="shared" si="56"/>
        <v>1.0050000000000006</v>
      </c>
      <c r="B225" s="14">
        <f t="shared" si="48"/>
        <v>10.115799623785815</v>
      </c>
      <c r="C225" s="14">
        <f t="shared" si="49"/>
        <v>10.048167187520708</v>
      </c>
      <c r="D225" s="14">
        <f t="shared" si="50"/>
        <v>10.048167187520708</v>
      </c>
      <c r="E225" s="14">
        <f t="shared" si="51"/>
        <v>1</v>
      </c>
      <c r="F225" s="14">
        <f t="shared" si="52"/>
        <v>-1.648601423081923</v>
      </c>
      <c r="G225" s="14">
        <f t="shared" si="57"/>
        <v>-1.5885841128390428</v>
      </c>
      <c r="H225" s="14">
        <f t="shared" si="58"/>
        <v>-0.44078018174951294</v>
      </c>
      <c r="I225" s="14">
        <f t="shared" si="59"/>
        <v>7.0190826326270566</v>
      </c>
      <c r="J225" s="14">
        <f t="shared" si="53"/>
        <v>1.898566070640717</v>
      </c>
      <c r="K225" s="14">
        <f t="shared" si="60"/>
        <v>15.135544576091215</v>
      </c>
      <c r="L225" s="14">
        <f t="shared" si="61"/>
        <v>7.2713185962543889</v>
      </c>
      <c r="M225" s="14">
        <f t="shared" si="62"/>
        <v>8.2527588048832801</v>
      </c>
      <c r="N225" s="14">
        <f t="shared" si="63"/>
        <v>7.7951091298518236</v>
      </c>
      <c r="O225" s="14">
        <f t="shared" si="54"/>
        <v>7.7951091298518236</v>
      </c>
      <c r="P225" s="14">
        <f t="shared" si="55"/>
        <v>1</v>
      </c>
    </row>
    <row r="226" spans="1:16" x14ac:dyDescent="0.25">
      <c r="A226" s="14">
        <f t="shared" si="56"/>
        <v>1.0100000000000005</v>
      </c>
      <c r="B226" s="14">
        <f t="shared" si="48"/>
        <v>10.166126985098181</v>
      </c>
      <c r="C226" s="14">
        <f t="shared" si="49"/>
        <v>10.073413069050662</v>
      </c>
      <c r="D226" s="14">
        <f t="shared" si="50"/>
        <v>10.073413069050662</v>
      </c>
      <c r="E226" s="14">
        <f t="shared" si="51"/>
        <v>1</v>
      </c>
      <c r="F226" s="14">
        <f t="shared" si="52"/>
        <v>-1.6390342979752819</v>
      </c>
      <c r="G226" s="14">
        <f t="shared" si="57"/>
        <v>-1.5821775683332873</v>
      </c>
      <c r="H226" s="14">
        <f t="shared" si="58"/>
        <v>-0.42795744204569158</v>
      </c>
      <c r="I226" s="14">
        <f t="shared" si="59"/>
        <v>7.0111717447853898</v>
      </c>
      <c r="J226" s="14">
        <f t="shared" si="53"/>
        <v>1.8474262834304886</v>
      </c>
      <c r="K226" s="14">
        <f t="shared" si="60"/>
        <v>14.761759466037674</v>
      </c>
      <c r="L226" s="14">
        <f t="shared" si="61"/>
        <v>7.2504836464602</v>
      </c>
      <c r="M226" s="14">
        <f t="shared" si="62"/>
        <v>8.2878146636072074</v>
      </c>
      <c r="N226" s="14">
        <f t="shared" si="63"/>
        <v>7.804346261268976</v>
      </c>
      <c r="O226" s="14">
        <f t="shared" si="54"/>
        <v>7.804346261268976</v>
      </c>
      <c r="P226" s="14">
        <f t="shared" si="55"/>
        <v>1</v>
      </c>
    </row>
    <row r="227" spans="1:16" x14ac:dyDescent="0.25">
      <c r="A227" s="14">
        <f t="shared" si="56"/>
        <v>1.0150000000000003</v>
      </c>
      <c r="B227" s="14">
        <f t="shared" si="48"/>
        <v>10.216454346410547</v>
      </c>
      <c r="C227" s="14">
        <f t="shared" si="49"/>
        <v>10.098413950580614</v>
      </c>
      <c r="D227" s="14">
        <f t="shared" si="50"/>
        <v>10.098413950580614</v>
      </c>
      <c r="E227" s="14">
        <f t="shared" si="51"/>
        <v>1</v>
      </c>
      <c r="F227" s="14">
        <f t="shared" si="52"/>
        <v>-1.6296549063351908</v>
      </c>
      <c r="G227" s="14">
        <f t="shared" si="57"/>
        <v>-1.5758659684207994</v>
      </c>
      <c r="H227" s="14">
        <f t="shared" si="58"/>
        <v>-0.41523675573765867</v>
      </c>
      <c r="I227" s="14">
        <f t="shared" si="59"/>
        <v>7.003292414943286</v>
      </c>
      <c r="J227" s="14">
        <f t="shared" si="53"/>
        <v>1.7963500996518003</v>
      </c>
      <c r="K227" s="14">
        <f t="shared" si="60"/>
        <v>14.38626215878735</v>
      </c>
      <c r="L227" s="14">
        <f t="shared" si="61"/>
        <v>7.2300054169911379</v>
      </c>
      <c r="M227" s="14">
        <f t="shared" si="62"/>
        <v>8.3228311256819243</v>
      </c>
      <c r="N227" s="14">
        <f t="shared" si="63"/>
        <v>7.8133280117672355</v>
      </c>
      <c r="O227" s="14">
        <f t="shared" si="54"/>
        <v>7.8133280117672355</v>
      </c>
      <c r="P227" s="14">
        <f t="shared" si="55"/>
        <v>1</v>
      </c>
    </row>
    <row r="228" spans="1:16" x14ac:dyDescent="0.25">
      <c r="A228" s="14">
        <f t="shared" si="56"/>
        <v>1.0200000000000002</v>
      </c>
      <c r="B228" s="14">
        <f t="shared" si="48"/>
        <v>10.266781707722913</v>
      </c>
      <c r="C228" s="14">
        <f t="shared" si="49"/>
        <v>10.123169832110568</v>
      </c>
      <c r="D228" s="14">
        <f t="shared" si="50"/>
        <v>10.123169832110568</v>
      </c>
      <c r="E228" s="14">
        <f t="shared" si="51"/>
        <v>1</v>
      </c>
      <c r="F228" s="14">
        <f t="shared" si="52"/>
        <v>-1.6204623282213571</v>
      </c>
      <c r="G228" s="14">
        <f t="shared" si="57"/>
        <v>-1.5696491050012</v>
      </c>
      <c r="H228" s="14">
        <f t="shared" si="58"/>
        <v>-0.40261624949014763</v>
      </c>
      <c r="I228" s="14">
        <f t="shared" si="59"/>
        <v>6.9954441694182803</v>
      </c>
      <c r="J228" s="14">
        <f t="shared" si="53"/>
        <v>1.7453370184043495</v>
      </c>
      <c r="K228" s="14">
        <f t="shared" si="60"/>
        <v>14.009074777930984</v>
      </c>
      <c r="L228" s="14">
        <f t="shared" si="61"/>
        <v>7.2098849113741617</v>
      </c>
      <c r="M228" s="14">
        <f t="shared" si="62"/>
        <v>8.3578083465290156</v>
      </c>
      <c r="N228" s="14">
        <f t="shared" si="63"/>
        <v>7.822054696859257</v>
      </c>
      <c r="O228" s="14">
        <f t="shared" si="54"/>
        <v>7.822054696859257</v>
      </c>
      <c r="P228" s="14">
        <f t="shared" si="55"/>
        <v>1</v>
      </c>
    </row>
    <row r="229" spans="1:16" x14ac:dyDescent="0.25">
      <c r="A229" s="14">
        <f t="shared" si="56"/>
        <v>1.0250000000000001</v>
      </c>
      <c r="B229" s="14">
        <f t="shared" si="48"/>
        <v>10.317109069035279</v>
      </c>
      <c r="C229" s="14">
        <f t="shared" si="49"/>
        <v>10.14768071364052</v>
      </c>
      <c r="D229" s="14">
        <f t="shared" si="50"/>
        <v>10.14768071364052</v>
      </c>
      <c r="E229" s="14">
        <f t="shared" si="51"/>
        <v>1</v>
      </c>
      <c r="F229" s="14">
        <f t="shared" si="52"/>
        <v>-1.6114556534930851</v>
      </c>
      <c r="G229" s="14">
        <f t="shared" si="57"/>
        <v>-1.5635267683289258</v>
      </c>
      <c r="H229" s="14">
        <f t="shared" si="58"/>
        <v>-0.39009405006194497</v>
      </c>
      <c r="I229" s="14">
        <f t="shared" si="59"/>
        <v>6.987626535576636</v>
      </c>
      <c r="J229" s="14">
        <f t="shared" si="53"/>
        <v>1.6943865481540399</v>
      </c>
      <c r="K229" s="14">
        <f t="shared" si="60"/>
        <v>13.630220223045125</v>
      </c>
      <c r="L229" s="14">
        <f t="shared" si="61"/>
        <v>7.190123112663656</v>
      </c>
      <c r="M229" s="14">
        <f t="shared" si="62"/>
        <v>8.3927464792068989</v>
      </c>
      <c r="N229" s="14">
        <f t="shared" si="63"/>
        <v>7.8305266296000271</v>
      </c>
      <c r="O229" s="14">
        <f t="shared" si="54"/>
        <v>7.8305266296000271</v>
      </c>
      <c r="P229" s="14">
        <f t="shared" si="55"/>
        <v>1</v>
      </c>
    </row>
    <row r="230" spans="1:16" x14ac:dyDescent="0.25">
      <c r="A230" s="14">
        <f t="shared" si="56"/>
        <v>1.03</v>
      </c>
      <c r="B230" s="14">
        <f t="shared" si="48"/>
        <v>10.367436430347645</v>
      </c>
      <c r="C230" s="14">
        <f t="shared" si="49"/>
        <v>10.171946595170475</v>
      </c>
      <c r="D230" s="14">
        <f t="shared" si="50"/>
        <v>10.171946595170475</v>
      </c>
      <c r="E230" s="14">
        <f t="shared" si="51"/>
        <v>1</v>
      </c>
      <c r="F230" s="14">
        <f t="shared" si="52"/>
        <v>-1.6026339816330633</v>
      </c>
      <c r="G230" s="14">
        <f t="shared" si="57"/>
        <v>-1.5574987467394548</v>
      </c>
      <c r="H230" s="14">
        <f t="shared" si="58"/>
        <v>-0.37766828433173139</v>
      </c>
      <c r="I230" s="14">
        <f t="shared" si="59"/>
        <v>6.979839041842939</v>
      </c>
      <c r="J230" s="14">
        <f t="shared" si="53"/>
        <v>1.6434982067323811</v>
      </c>
      <c r="K230" s="14">
        <f t="shared" si="60"/>
        <v>13.249722169651781</v>
      </c>
      <c r="L230" s="14">
        <f t="shared" si="61"/>
        <v>7.1707209822700193</v>
      </c>
      <c r="M230" s="14">
        <f t="shared" si="62"/>
        <v>8.4276456744161141</v>
      </c>
      <c r="N230" s="14">
        <f t="shared" si="63"/>
        <v>7.838744120633689</v>
      </c>
      <c r="O230" s="14">
        <f t="shared" si="54"/>
        <v>7.838744120633689</v>
      </c>
      <c r="P230" s="14">
        <f t="shared" si="55"/>
        <v>1</v>
      </c>
    </row>
    <row r="231" spans="1:16" x14ac:dyDescent="0.25">
      <c r="A231" s="14">
        <f t="shared" si="56"/>
        <v>1.0349999999999999</v>
      </c>
      <c r="B231" s="14">
        <f t="shared" si="48"/>
        <v>10.417763791660011</v>
      </c>
      <c r="C231" s="14">
        <f t="shared" si="49"/>
        <v>10.195967476700428</v>
      </c>
      <c r="D231" s="14">
        <f t="shared" si="50"/>
        <v>10.195967476700428</v>
      </c>
      <c r="E231" s="14">
        <f t="shared" si="51"/>
        <v>1</v>
      </c>
      <c r="F231" s="14">
        <f t="shared" si="52"/>
        <v>-1.5939964215725928</v>
      </c>
      <c r="G231" s="14">
        <f t="shared" si="57"/>
        <v>-1.5515648263765296</v>
      </c>
      <c r="H231" s="14">
        <f t="shared" si="58"/>
        <v>-0.36533707933551013</v>
      </c>
      <c r="I231" s="14">
        <f t="shared" si="59"/>
        <v>6.9720812177110565</v>
      </c>
      <c r="J231" s="14">
        <f t="shared" si="53"/>
        <v>1.5926715213357037</v>
      </c>
      <c r="K231" s="14">
        <f t="shared" si="60"/>
        <v>12.867605068412777</v>
      </c>
      <c r="L231" s="14">
        <f t="shared" si="61"/>
        <v>7.1516794587868011</v>
      </c>
      <c r="M231" s="14">
        <f t="shared" si="62"/>
        <v>8.462506080504669</v>
      </c>
      <c r="N231" s="14">
        <f t="shared" si="63"/>
        <v>7.8467074782403676</v>
      </c>
      <c r="O231" s="14">
        <f t="shared" si="54"/>
        <v>7.8467074782403676</v>
      </c>
      <c r="P231" s="14">
        <f t="shared" si="55"/>
        <v>1</v>
      </c>
    </row>
    <row r="232" spans="1:16" x14ac:dyDescent="0.25">
      <c r="A232" s="14">
        <f t="shared" si="56"/>
        <v>1.0399999999999998</v>
      </c>
      <c r="B232" s="14">
        <f t="shared" si="48"/>
        <v>10.468091152972377</v>
      </c>
      <c r="C232" s="14">
        <f t="shared" si="49"/>
        <v>10.219743358230382</v>
      </c>
      <c r="D232" s="14">
        <f t="shared" si="50"/>
        <v>10.219743358230382</v>
      </c>
      <c r="E232" s="14">
        <f t="shared" si="51"/>
        <v>1</v>
      </c>
      <c r="F232" s="14">
        <f t="shared" si="52"/>
        <v>-1.5855420915182252</v>
      </c>
      <c r="G232" s="14">
        <f t="shared" si="57"/>
        <v>-1.5457247909206204</v>
      </c>
      <c r="H232" s="14">
        <f t="shared" si="58"/>
        <v>-0.35309856231566961</v>
      </c>
      <c r="I232" s="14">
        <f t="shared" si="59"/>
        <v>6.9643525937564537</v>
      </c>
      <c r="J232" s="14">
        <f t="shared" si="53"/>
        <v>1.5419060285241253</v>
      </c>
      <c r="K232" s="14">
        <f t="shared" si="60"/>
        <v>12.483894143540462</v>
      </c>
      <c r="L232" s="14">
        <f t="shared" si="61"/>
        <v>7.1329994568176778</v>
      </c>
      <c r="M232" s="14">
        <f t="shared" si="62"/>
        <v>8.4973278434734514</v>
      </c>
      <c r="N232" s="14">
        <f t="shared" si="63"/>
        <v>7.8544170083829883</v>
      </c>
      <c r="O232" s="14">
        <f t="shared" si="54"/>
        <v>7.8544170083829883</v>
      </c>
      <c r="P232" s="14">
        <f t="shared" si="55"/>
        <v>1</v>
      </c>
    </row>
    <row r="233" spans="1:16" x14ac:dyDescent="0.25">
      <c r="A233" s="14">
        <f t="shared" si="56"/>
        <v>1.0449999999999997</v>
      </c>
      <c r="B233" s="14">
        <f t="shared" si="48"/>
        <v>10.518418514284743</v>
      </c>
      <c r="C233" s="14">
        <f t="shared" si="49"/>
        <v>10.243274239760334</v>
      </c>
      <c r="D233" s="14">
        <f t="shared" si="50"/>
        <v>10.243274239760334</v>
      </c>
      <c r="E233" s="14">
        <f t="shared" si="51"/>
        <v>1</v>
      </c>
      <c r="F233" s="14">
        <f t="shared" si="52"/>
        <v>-1.5772701187797997</v>
      </c>
      <c r="G233" s="14">
        <f t="shared" si="57"/>
        <v>-1.5399784213188985</v>
      </c>
      <c r="H233" s="14">
        <f t="shared" si="58"/>
        <v>-0.34095086078172115</v>
      </c>
      <c r="I233" s="14">
        <f t="shared" si="59"/>
        <v>6.9566527016498592</v>
      </c>
      <c r="J233" s="14">
        <f t="shared" si="53"/>
        <v>1.4912012742202168</v>
      </c>
      <c r="K233" s="14">
        <f t="shared" si="60"/>
        <v>12.098615390407476</v>
      </c>
      <c r="L233" s="14">
        <f t="shared" si="61"/>
        <v>7.1146818658045623</v>
      </c>
      <c r="M233" s="14">
        <f t="shared" si="62"/>
        <v>8.5321111069817004</v>
      </c>
      <c r="N233" s="14">
        <f t="shared" si="63"/>
        <v>7.8618730147540896</v>
      </c>
      <c r="O233" s="14">
        <f t="shared" si="54"/>
        <v>7.8618730147540896</v>
      </c>
      <c r="P233" s="14">
        <f t="shared" si="55"/>
        <v>1</v>
      </c>
    </row>
    <row r="234" spans="1:16" x14ac:dyDescent="0.25">
      <c r="A234" s="14">
        <f t="shared" si="56"/>
        <v>1.0499999999999996</v>
      </c>
      <c r="B234" s="14">
        <f t="shared" si="48"/>
        <v>10.568745875597109</v>
      </c>
      <c r="C234" s="14">
        <f t="shared" si="49"/>
        <v>10.266560121290286</v>
      </c>
      <c r="D234" s="14">
        <f t="shared" si="50"/>
        <v>10.266560121290286</v>
      </c>
      <c r="E234" s="14">
        <f t="shared" si="51"/>
        <v>1</v>
      </c>
      <c r="F234" s="14">
        <f t="shared" si="52"/>
        <v>-1.569179639599857</v>
      </c>
      <c r="G234" s="14">
        <f t="shared" si="57"/>
        <v>-1.5343254955169856</v>
      </c>
      <c r="H234" s="14">
        <f t="shared" si="58"/>
        <v>-0.32889210258273621</v>
      </c>
      <c r="I234" s="14">
        <f t="shared" si="59"/>
        <v>6.9489810741722744</v>
      </c>
      <c r="J234" s="14">
        <f t="shared" si="53"/>
        <v>1.440556813707303</v>
      </c>
      <c r="K234" s="14">
        <f t="shared" si="60"/>
        <v>11.711795572339366</v>
      </c>
      <c r="L234" s="14">
        <f t="shared" si="61"/>
        <v>7.0967275488582056</v>
      </c>
      <c r="M234" s="14">
        <f t="shared" si="62"/>
        <v>8.5668560123525612</v>
      </c>
      <c r="N234" s="14">
        <f t="shared" si="63"/>
        <v>7.8690757988226263</v>
      </c>
      <c r="O234" s="14">
        <f t="shared" si="54"/>
        <v>7.8690757988226263</v>
      </c>
      <c r="P234" s="14">
        <f t="shared" si="55"/>
        <v>1</v>
      </c>
    </row>
    <row r="235" spans="1:16" x14ac:dyDescent="0.25">
      <c r="A235" s="14">
        <f t="shared" si="56"/>
        <v>1.0549999999999995</v>
      </c>
      <c r="B235" s="14">
        <f t="shared" si="48"/>
        <v>10.619073236909475</v>
      </c>
      <c r="C235" s="14">
        <f t="shared" si="49"/>
        <v>10.289601002820241</v>
      </c>
      <c r="D235" s="14">
        <f t="shared" si="50"/>
        <v>10.289601002820241</v>
      </c>
      <c r="E235" s="14">
        <f t="shared" si="51"/>
        <v>1</v>
      </c>
      <c r="F235" s="14">
        <f t="shared" si="52"/>
        <v>-1.5612697989844129</v>
      </c>
      <c r="G235" s="14">
        <f t="shared" si="57"/>
        <v>-1.5287657881927528</v>
      </c>
      <c r="H235" s="14">
        <f t="shared" si="58"/>
        <v>-0.31692041599149251</v>
      </c>
      <c r="I235" s="14">
        <f t="shared" si="59"/>
        <v>6.9413372452313107</v>
      </c>
      <c r="J235" s="14">
        <f t="shared" si="53"/>
        <v>1.3899722116273456</v>
      </c>
      <c r="K235" s="14">
        <f t="shared" si="60"/>
        <v>11.323462216575297</v>
      </c>
      <c r="L235" s="14">
        <f t="shared" si="61"/>
        <v>7.0791373415926619</v>
      </c>
      <c r="M235" s="14">
        <f t="shared" si="62"/>
        <v>8.6015626985787179</v>
      </c>
      <c r="N235" s="14">
        <f t="shared" si="63"/>
        <v>7.8760256598807628</v>
      </c>
      <c r="O235" s="14">
        <f t="shared" si="54"/>
        <v>7.8760256598807628</v>
      </c>
      <c r="P235" s="14">
        <f t="shared" si="55"/>
        <v>1</v>
      </c>
    </row>
    <row r="236" spans="1:16" x14ac:dyDescent="0.25">
      <c r="A236" s="14">
        <f t="shared" si="56"/>
        <v>1.0599999999999994</v>
      </c>
      <c r="B236" s="14">
        <f t="shared" si="48"/>
        <v>10.669400598221841</v>
      </c>
      <c r="C236" s="14">
        <f t="shared" si="49"/>
        <v>10.312396884350193</v>
      </c>
      <c r="D236" s="14">
        <f t="shared" si="50"/>
        <v>10.312396884350193</v>
      </c>
      <c r="E236" s="14">
        <f t="shared" si="51"/>
        <v>1</v>
      </c>
      <c r="F236" s="14">
        <f t="shared" si="52"/>
        <v>-1.5535397505350803</v>
      </c>
      <c r="G236" s="14">
        <f t="shared" si="57"/>
        <v>-1.5232990704924525</v>
      </c>
      <c r="H236" s="14">
        <f t="shared" si="58"/>
        <v>-0.30503392980032573</v>
      </c>
      <c r="I236" s="14">
        <f t="shared" si="59"/>
        <v>6.933720749878848</v>
      </c>
      <c r="J236" s="14">
        <f t="shared" si="53"/>
        <v>1.339447041978344</v>
      </c>
      <c r="K236" s="14">
        <f t="shared" si="60"/>
        <v>10.933643609383198</v>
      </c>
      <c r="L236" s="14">
        <f t="shared" si="61"/>
        <v>7.0619120509650237</v>
      </c>
      <c r="M236" s="14">
        <f t="shared" si="62"/>
        <v>8.6362313023281114</v>
      </c>
      <c r="N236" s="14">
        <f t="shared" si="63"/>
        <v>7.8827228950906543</v>
      </c>
      <c r="O236" s="14">
        <f t="shared" si="54"/>
        <v>7.8827228950906543</v>
      </c>
      <c r="P236" s="14">
        <f t="shared" si="55"/>
        <v>1</v>
      </c>
    </row>
    <row r="237" spans="1:16" x14ac:dyDescent="0.25">
      <c r="A237" s="14">
        <f t="shared" si="56"/>
        <v>1.0649999999999993</v>
      </c>
      <c r="B237" s="14">
        <f t="shared" si="48"/>
        <v>10.719727959534209</v>
      </c>
      <c r="C237" s="14">
        <f t="shared" si="49"/>
        <v>10.334947765880148</v>
      </c>
      <c r="D237" s="14">
        <f t="shared" si="50"/>
        <v>10.334947765880148</v>
      </c>
      <c r="E237" s="14">
        <f t="shared" si="51"/>
        <v>1</v>
      </c>
      <c r="F237" s="14">
        <f t="shared" si="52"/>
        <v>-1.545988656282516</v>
      </c>
      <c r="G237" s="14">
        <f t="shared" si="57"/>
        <v>-1.5179251097694662</v>
      </c>
      <c r="H237" s="14">
        <f t="shared" si="58"/>
        <v>-0.29323077342866599</v>
      </c>
      <c r="I237" s="14">
        <f t="shared" si="59"/>
        <v>6.9261311243300003</v>
      </c>
      <c r="J237" s="14">
        <f t="shared" si="53"/>
        <v>1.2889808881112006</v>
      </c>
      <c r="K237" s="14">
        <f t="shared" si="60"/>
        <v>10.542368790317335</v>
      </c>
      <c r="L237" s="14">
        <f t="shared" si="61"/>
        <v>7.045052454121878</v>
      </c>
      <c r="M237" s="14">
        <f t="shared" si="62"/>
        <v>8.6708619579497608</v>
      </c>
      <c r="N237" s="14">
        <f t="shared" si="63"/>
        <v>7.8891677995312106</v>
      </c>
      <c r="O237" s="14">
        <f t="shared" si="54"/>
        <v>7.8891677995312106</v>
      </c>
      <c r="P237" s="14">
        <f t="shared" si="55"/>
        <v>1</v>
      </c>
    </row>
    <row r="238" spans="1:16" x14ac:dyDescent="0.25">
      <c r="A238" s="14">
        <f t="shared" si="56"/>
        <v>1.0699999999999992</v>
      </c>
      <c r="B238" s="14">
        <f t="shared" si="48"/>
        <v>10.770055320846575</v>
      </c>
      <c r="C238" s="14">
        <f t="shared" si="49"/>
        <v>10.357253647410101</v>
      </c>
      <c r="D238" s="14">
        <f t="shared" si="50"/>
        <v>10.357253647410101</v>
      </c>
      <c r="E238" s="14">
        <f t="shared" si="51"/>
        <v>1</v>
      </c>
      <c r="F238" s="14">
        <f t="shared" si="52"/>
        <v>-1.5386156865211895</v>
      </c>
      <c r="G238" s="14">
        <f t="shared" si="57"/>
        <v>-1.5126436693259606</v>
      </c>
      <c r="H238" s="14">
        <f t="shared" si="58"/>
        <v>-0.28150907704222433</v>
      </c>
      <c r="I238" s="14">
        <f t="shared" si="59"/>
        <v>6.9185679059833705</v>
      </c>
      <c r="J238" s="14">
        <f t="shared" si="53"/>
        <v>1.2385733427259895</v>
      </c>
      <c r="K238" s="14">
        <f t="shared" si="60"/>
        <v>10.149667545607651</v>
      </c>
      <c r="L238" s="14">
        <f t="shared" si="61"/>
        <v>7.0285592972539224</v>
      </c>
      <c r="M238" s="14">
        <f t="shared" si="62"/>
        <v>8.7054547974796783</v>
      </c>
      <c r="N238" s="14">
        <f t="shared" si="63"/>
        <v>7.8953606662448408</v>
      </c>
      <c r="O238" s="14">
        <f t="shared" si="54"/>
        <v>7.8953606662448408</v>
      </c>
      <c r="P238" s="14">
        <f t="shared" si="55"/>
        <v>1</v>
      </c>
    </row>
    <row r="239" spans="1:16" x14ac:dyDescent="0.25">
      <c r="A239" s="14">
        <f t="shared" si="56"/>
        <v>1.0749999999999991</v>
      </c>
      <c r="B239" s="14">
        <f t="shared" si="48"/>
        <v>10.820382682158941</v>
      </c>
      <c r="C239" s="14">
        <f t="shared" si="49"/>
        <v>10.379314528940053</v>
      </c>
      <c r="D239" s="14">
        <f t="shared" si="50"/>
        <v>10.379314528940053</v>
      </c>
      <c r="E239" s="14">
        <f t="shared" si="51"/>
        <v>1</v>
      </c>
      <c r="F239" s="14">
        <f t="shared" si="52"/>
        <v>-1.5314200196454513</v>
      </c>
      <c r="G239" s="14">
        <f t="shared" si="57"/>
        <v>-1.5074545081577428</v>
      </c>
      <c r="H239" s="14">
        <f t="shared" si="58"/>
        <v>-0.26986697168377632</v>
      </c>
      <c r="I239" s="14">
        <f t="shared" si="59"/>
        <v>6.9110306334425822</v>
      </c>
      <c r="J239" s="14">
        <f t="shared" si="53"/>
        <v>1.1882240078675705</v>
      </c>
      <c r="K239" s="14">
        <f t="shared" si="60"/>
        <v>9.755570400671818</v>
      </c>
      <c r="L239" s="14">
        <f t="shared" si="61"/>
        <v>7.0124332944602514</v>
      </c>
      <c r="M239" s="14">
        <f t="shared" si="62"/>
        <v>8.7400099506468916</v>
      </c>
      <c r="N239" s="14">
        <f t="shared" si="63"/>
        <v>7.9013017862841783</v>
      </c>
      <c r="O239" s="14">
        <f t="shared" si="54"/>
        <v>7.9013017862841783</v>
      </c>
      <c r="P239" s="14">
        <f t="shared" si="55"/>
        <v>1</v>
      </c>
    </row>
    <row r="240" spans="1:16" x14ac:dyDescent="0.25">
      <c r="A240" s="14">
        <f t="shared" si="56"/>
        <v>1.079999999999999</v>
      </c>
      <c r="B240" s="14">
        <f t="shared" si="48"/>
        <v>10.870710043471307</v>
      </c>
      <c r="C240" s="14">
        <f t="shared" si="49"/>
        <v>10.401130410470007</v>
      </c>
      <c r="D240" s="14">
        <f t="shared" si="50"/>
        <v>10.401130410470007</v>
      </c>
      <c r="E240" s="14">
        <f t="shared" si="51"/>
        <v>1</v>
      </c>
      <c r="F240" s="14">
        <f t="shared" si="52"/>
        <v>-1.5244008419868944</v>
      </c>
      <c r="G240" s="14">
        <f t="shared" si="57"/>
        <v>-1.502357380702612</v>
      </c>
      <c r="H240" s="14">
        <f t="shared" si="58"/>
        <v>-0.25830258941547413</v>
      </c>
      <c r="I240" s="14">
        <f t="shared" si="59"/>
        <v>6.9035188465390691</v>
      </c>
      <c r="J240" s="14">
        <f t="shared" si="53"/>
        <v>1.1379324949204932</v>
      </c>
      <c r="K240" s="14">
        <f t="shared" si="60"/>
        <v>9.3601086117426835</v>
      </c>
      <c r="L240" s="14">
        <f t="shared" si="61"/>
        <v>6.9966751266237948</v>
      </c>
      <c r="M240" s="14">
        <f t="shared" si="62"/>
        <v>8.7745275448795876</v>
      </c>
      <c r="N240" s="14">
        <f t="shared" si="63"/>
        <v>7.9069914487587809</v>
      </c>
      <c r="O240" s="14">
        <f t="shared" si="54"/>
        <v>7.9069914487587809</v>
      </c>
      <c r="P240" s="14">
        <f t="shared" si="55"/>
        <v>1</v>
      </c>
    </row>
    <row r="241" spans="1:16" x14ac:dyDescent="0.25">
      <c r="A241" s="14">
        <f t="shared" si="56"/>
        <v>1.0849999999999989</v>
      </c>
      <c r="B241" s="14">
        <f t="shared" si="48"/>
        <v>10.921037404783673</v>
      </c>
      <c r="C241" s="14">
        <f t="shared" si="49"/>
        <v>10.422701291999962</v>
      </c>
      <c r="D241" s="14">
        <f t="shared" si="50"/>
        <v>10.422701291999962</v>
      </c>
      <c r="E241" s="14">
        <f t="shared" si="51"/>
        <v>1</v>
      </c>
      <c r="F241" s="14">
        <f t="shared" si="52"/>
        <v>-1.5175573476529989</v>
      </c>
      <c r="G241" s="14">
        <f t="shared" si="57"/>
        <v>-1.4973520365925133</v>
      </c>
      <c r="H241" s="14">
        <f t="shared" si="58"/>
        <v>-0.24681406347260232</v>
      </c>
      <c r="I241" s="14">
        <f t="shared" si="59"/>
        <v>6.8960320863561062</v>
      </c>
      <c r="J241" s="14">
        <f t="shared" si="53"/>
        <v>1.0876984246031303</v>
      </c>
      <c r="K241" s="14">
        <f t="shared" si="60"/>
        <v>8.9633141566053371</v>
      </c>
      <c r="L241" s="14">
        <f t="shared" si="61"/>
        <v>6.98128544029945</v>
      </c>
      <c r="M241" s="14">
        <f t="shared" si="62"/>
        <v>8.8090077053113678</v>
      </c>
      <c r="N241" s="14">
        <f t="shared" si="63"/>
        <v>7.9124299408817969</v>
      </c>
      <c r="O241" s="14">
        <f t="shared" si="54"/>
        <v>7.9124299408817969</v>
      </c>
      <c r="P241" s="14">
        <f t="shared" si="55"/>
        <v>1</v>
      </c>
    </row>
    <row r="242" spans="1:16" x14ac:dyDescent="0.25">
      <c r="A242" s="14">
        <f t="shared" si="56"/>
        <v>1.0899999999999987</v>
      </c>
      <c r="B242" s="14">
        <f t="shared" si="48"/>
        <v>10.971364766096039</v>
      </c>
      <c r="C242" s="14">
        <f t="shared" si="49"/>
        <v>10.444027173529914</v>
      </c>
      <c r="D242" s="14">
        <f t="shared" si="50"/>
        <v>10.444027173529914</v>
      </c>
      <c r="E242" s="14">
        <f t="shared" si="51"/>
        <v>1</v>
      </c>
      <c r="F242" s="14">
        <f t="shared" si="52"/>
        <v>-1.5108887383670495</v>
      </c>
      <c r="G242" s="14">
        <f t="shared" si="57"/>
        <v>-1.4924382204097872</v>
      </c>
      <c r="H242" s="14">
        <f t="shared" si="58"/>
        <v>-0.23539952842867293</v>
      </c>
      <c r="I242" s="14">
        <f t="shared" si="59"/>
        <v>6.8885698952540571</v>
      </c>
      <c r="J242" s="14">
        <f t="shared" si="53"/>
        <v>1.0375214269609869</v>
      </c>
      <c r="K242" s="14">
        <f t="shared" si="60"/>
        <v>8.5652197244399915</v>
      </c>
      <c r="L242" s="14">
        <f t="shared" si="61"/>
        <v>6.9662648466164168</v>
      </c>
      <c r="M242" s="14">
        <f t="shared" si="62"/>
        <v>8.8434505547876388</v>
      </c>
      <c r="N242" s="14">
        <f t="shared" si="63"/>
        <v>7.9176175480166018</v>
      </c>
      <c r="O242" s="14">
        <f t="shared" si="54"/>
        <v>7.9176175480166018</v>
      </c>
      <c r="P242" s="14">
        <f t="shared" si="55"/>
        <v>1</v>
      </c>
    </row>
    <row r="243" spans="1:16" x14ac:dyDescent="0.25">
      <c r="A243" s="14">
        <f t="shared" si="56"/>
        <v>1.0949999999999986</v>
      </c>
      <c r="B243" s="14">
        <f t="shared" si="48"/>
        <v>11.021692127408405</v>
      </c>
      <c r="C243" s="14">
        <f t="shared" si="49"/>
        <v>10.465108055059869</v>
      </c>
      <c r="D243" s="14">
        <f t="shared" si="50"/>
        <v>10.465108055059869</v>
      </c>
      <c r="E243" s="14">
        <f t="shared" si="51"/>
        <v>1</v>
      </c>
      <c r="F243" s="14">
        <f t="shared" si="52"/>
        <v>-1.5043942233093131</v>
      </c>
      <c r="G243" s="14">
        <f t="shared" si="57"/>
        <v>-1.4876156714478224</v>
      </c>
      <c r="H243" s="14">
        <f t="shared" si="58"/>
        <v>-0.22405712037173839</v>
      </c>
      <c r="I243" s="14">
        <f t="shared" si="59"/>
        <v>6.8811318168968176</v>
      </c>
      <c r="J243" s="14">
        <f t="shared" si="53"/>
        <v>0.98740114135912826</v>
      </c>
      <c r="K243" s="14">
        <f t="shared" si="60"/>
        <v>8.1658587047685725</v>
      </c>
      <c r="L243" s="14">
        <f t="shared" si="61"/>
        <v>6.9516139201963032</v>
      </c>
      <c r="M243" s="14">
        <f t="shared" si="62"/>
        <v>8.8778562138721231</v>
      </c>
      <c r="N243" s="14">
        <f t="shared" si="63"/>
        <v>7.9225545537233977</v>
      </c>
      <c r="O243" s="14">
        <f t="shared" si="54"/>
        <v>7.9225545537233977</v>
      </c>
      <c r="P243" s="14">
        <f t="shared" si="55"/>
        <v>1</v>
      </c>
    </row>
    <row r="244" spans="1:16" x14ac:dyDescent="0.25">
      <c r="A244" s="14">
        <f t="shared" si="56"/>
        <v>1.0999999999999985</v>
      </c>
      <c r="B244" s="14">
        <f t="shared" si="48"/>
        <v>11.072019488720771</v>
      </c>
      <c r="C244" s="14">
        <f t="shared" si="49"/>
        <v>10.48594393658982</v>
      </c>
      <c r="D244" s="14">
        <f t="shared" si="50"/>
        <v>10.48594393658982</v>
      </c>
      <c r="E244" s="14">
        <f t="shared" si="51"/>
        <v>1</v>
      </c>
      <c r="F244" s="14">
        <f t="shared" si="52"/>
        <v>-1.4980730189594775</v>
      </c>
      <c r="G244" s="14">
        <f t="shared" si="57"/>
        <v>-1.4828841234764136</v>
      </c>
      <c r="H244" s="14">
        <f t="shared" si="58"/>
        <v>-0.21278497709178487</v>
      </c>
      <c r="I244" s="14">
        <f t="shared" si="59"/>
        <v>6.8737173962794351</v>
      </c>
      <c r="J244" s="14">
        <f t="shared" si="53"/>
        <v>0.9373372164736693</v>
      </c>
      <c r="K244" s="14">
        <f t="shared" si="60"/>
        <v>7.7652651755048892</v>
      </c>
      <c r="L244" s="14">
        <f t="shared" si="61"/>
        <v>6.9373331980885231</v>
      </c>
      <c r="M244" s="14">
        <f t="shared" si="62"/>
        <v>8.9122248008535205</v>
      </c>
      <c r="N244" s="14">
        <f t="shared" si="63"/>
        <v>7.9272412398057659</v>
      </c>
      <c r="O244" s="14">
        <f t="shared" si="54"/>
        <v>7.9272412398057659</v>
      </c>
      <c r="P244" s="14">
        <f t="shared" si="55"/>
        <v>1</v>
      </c>
    </row>
    <row r="245" spans="1:16" x14ac:dyDescent="0.25">
      <c r="A245" s="14">
        <f t="shared" si="56"/>
        <v>1.1049999999999984</v>
      </c>
      <c r="B245" s="14">
        <f t="shared" si="48"/>
        <v>11.122346850033137</v>
      </c>
      <c r="C245" s="14">
        <f t="shared" si="49"/>
        <v>10.506534818119775</v>
      </c>
      <c r="D245" s="14">
        <f t="shared" si="50"/>
        <v>10.506534818119775</v>
      </c>
      <c r="E245" s="14">
        <f t="shared" si="51"/>
        <v>1</v>
      </c>
      <c r="F245" s="14">
        <f t="shared" si="52"/>
        <v>-1.4919243489403351</v>
      </c>
      <c r="G245" s="14">
        <f t="shared" si="57"/>
        <v>-1.4782433045121257</v>
      </c>
      <c r="H245" s="14">
        <f t="shared" si="58"/>
        <v>-0.20158123827904689</v>
      </c>
      <c r="I245" s="14">
        <f t="shared" si="59"/>
        <v>6.8663261797568742</v>
      </c>
      <c r="J245" s="14">
        <f t="shared" si="53"/>
        <v>0.88732931028227402</v>
      </c>
      <c r="K245" s="14">
        <f t="shared" si="60"/>
        <v>7.3634738901101207</v>
      </c>
      <c r="L245" s="14">
        <f t="shared" si="61"/>
        <v>6.9234231787245717</v>
      </c>
      <c r="M245" s="14">
        <f t="shared" si="62"/>
        <v>8.9465564317523043</v>
      </c>
      <c r="N245" s="14">
        <f t="shared" si="63"/>
        <v>7.9316778863571775</v>
      </c>
      <c r="O245" s="14">
        <f t="shared" si="54"/>
        <v>7.9316778863571775</v>
      </c>
      <c r="P245" s="14">
        <f t="shared" si="55"/>
        <v>1</v>
      </c>
    </row>
    <row r="246" spans="1:16" x14ac:dyDescent="0.25">
      <c r="A246" s="14">
        <f t="shared" si="56"/>
        <v>1.1099999999999983</v>
      </c>
      <c r="B246" s="14">
        <f t="shared" si="48"/>
        <v>11.172674211345504</v>
      </c>
      <c r="C246" s="14">
        <f t="shared" si="49"/>
        <v>10.526880699649727</v>
      </c>
      <c r="D246" s="14">
        <f t="shared" si="50"/>
        <v>10.526880699649727</v>
      </c>
      <c r="E246" s="14">
        <f t="shared" si="51"/>
        <v>1</v>
      </c>
      <c r="F246" s="14">
        <f t="shared" si="52"/>
        <v>-1.4859474438627203</v>
      </c>
      <c r="G246" s="14">
        <f t="shared" si="57"/>
        <v>-1.4736929365939748</v>
      </c>
      <c r="H246" s="14">
        <f t="shared" si="58"/>
        <v>-0.1904440457330695</v>
      </c>
      <c r="I246" s="14">
        <f t="shared" si="59"/>
        <v>6.8589577150739043</v>
      </c>
      <c r="J246" s="14">
        <f t="shared" si="53"/>
        <v>0.83737709005360861</v>
      </c>
      <c r="K246" s="14">
        <f t="shared" si="60"/>
        <v>6.9605202638574548</v>
      </c>
      <c r="L246" s="14">
        <f t="shared" si="61"/>
        <v>6.9098843208926795</v>
      </c>
      <c r="M246" s="14">
        <f t="shared" si="62"/>
        <v>8.9808512203276738</v>
      </c>
      <c r="N246" s="14">
        <f t="shared" si="63"/>
        <v>7.935864771807446</v>
      </c>
      <c r="O246" s="14">
        <f t="shared" si="54"/>
        <v>7.935864771807446</v>
      </c>
      <c r="P246" s="14">
        <f t="shared" si="55"/>
        <v>1</v>
      </c>
    </row>
    <row r="247" spans="1:16" x14ac:dyDescent="0.25">
      <c r="A247" s="14">
        <f t="shared" si="56"/>
        <v>1.1149999999999982</v>
      </c>
      <c r="B247" s="14">
        <f t="shared" si="48"/>
        <v>11.22300157265787</v>
      </c>
      <c r="C247" s="14">
        <f t="shared" si="49"/>
        <v>10.546981581179679</v>
      </c>
      <c r="D247" s="14">
        <f t="shared" si="50"/>
        <v>10.546981581179679</v>
      </c>
      <c r="E247" s="14">
        <f t="shared" si="51"/>
        <v>1</v>
      </c>
      <c r="F247" s="14">
        <f t="shared" si="52"/>
        <v>-1.480141541171673</v>
      </c>
      <c r="G247" s="14">
        <f t="shared" si="57"/>
        <v>-1.4692327355647063</v>
      </c>
      <c r="H247" s="14">
        <f t="shared" si="58"/>
        <v>-0.17937154358232116</v>
      </c>
      <c r="I247" s="14">
        <f t="shared" si="59"/>
        <v>6.8516115513960809</v>
      </c>
      <c r="J247" s="14">
        <f t="shared" si="53"/>
        <v>0.78748023233569697</v>
      </c>
      <c r="K247" s="14">
        <f t="shared" si="60"/>
        <v>6.5564403592116207</v>
      </c>
      <c r="L247" s="14">
        <f t="shared" si="61"/>
        <v>6.8967170427344415</v>
      </c>
      <c r="M247" s="14">
        <f t="shared" si="62"/>
        <v>9.0151092780846547</v>
      </c>
      <c r="N247" s="14">
        <f t="shared" si="63"/>
        <v>7.9398021729691246</v>
      </c>
      <c r="O247" s="14">
        <f t="shared" si="54"/>
        <v>7.9398021729691246</v>
      </c>
      <c r="P247" s="14">
        <f t="shared" si="55"/>
        <v>1</v>
      </c>
    </row>
    <row r="248" spans="1:16" x14ac:dyDescent="0.25">
      <c r="A248" s="14">
        <f t="shared" si="56"/>
        <v>1.1199999999999981</v>
      </c>
      <c r="B248" s="14">
        <f t="shared" si="48"/>
        <v>11.273328933970236</v>
      </c>
      <c r="C248" s="14">
        <f t="shared" si="49"/>
        <v>10.566837462709636</v>
      </c>
      <c r="D248" s="14">
        <f t="shared" si="50"/>
        <v>10.566837462709636</v>
      </c>
      <c r="E248" s="14">
        <f t="shared" si="51"/>
        <v>1</v>
      </c>
      <c r="F248" s="14">
        <f t="shared" si="52"/>
        <v>-1.4745058849938548</v>
      </c>
      <c r="G248" s="14">
        <f t="shared" si="57"/>
        <v>-1.4648624108579953</v>
      </c>
      <c r="H248" s="14">
        <f t="shared" si="58"/>
        <v>-0.16836187851414847</v>
      </c>
      <c r="I248" s="14">
        <f t="shared" si="59"/>
        <v>6.8442872393417913</v>
      </c>
      <c r="J248" s="14">
        <f t="shared" si="53"/>
        <v>0.7376384229431262</v>
      </c>
      <c r="K248" s="14">
        <f t="shared" si="60"/>
        <v>6.1512708703311878</v>
      </c>
      <c r="L248" s="14">
        <f t="shared" si="61"/>
        <v>6.8839217207649082</v>
      </c>
      <c r="M248" s="14">
        <f t="shared" si="62"/>
        <v>9.0493307142813642</v>
      </c>
      <c r="N248" s="14">
        <f t="shared" si="63"/>
        <v>7.9434903650838402</v>
      </c>
      <c r="O248" s="14">
        <f t="shared" si="54"/>
        <v>7.9434903650838402</v>
      </c>
      <c r="P248" s="14">
        <f t="shared" si="55"/>
        <v>1</v>
      </c>
    </row>
    <row r="249" spans="1:16" x14ac:dyDescent="0.25">
      <c r="A249" s="14">
        <f t="shared" si="56"/>
        <v>1.124999999999998</v>
      </c>
      <c r="B249" s="14">
        <f t="shared" si="48"/>
        <v>11.323656295282602</v>
      </c>
      <c r="C249" s="14">
        <f t="shared" si="49"/>
        <v>10.586448344239587</v>
      </c>
      <c r="D249" s="14">
        <f t="shared" si="50"/>
        <v>10.586448344239587</v>
      </c>
      <c r="E249" s="14">
        <f t="shared" si="51"/>
        <v>1</v>
      </c>
      <c r="F249" s="14">
        <f t="shared" si="52"/>
        <v>-1.4690397259861858</v>
      </c>
      <c r="G249" s="14">
        <f t="shared" si="57"/>
        <v>-1.4605816652918304</v>
      </c>
      <c r="H249" s="14">
        <f t="shared" si="58"/>
        <v>-0.15741320001483769</v>
      </c>
      <c r="I249" s="14">
        <f t="shared" si="59"/>
        <v>6.8369843310153318</v>
      </c>
      <c r="J249" s="14">
        <f t="shared" si="53"/>
        <v>0.68785135694305199</v>
      </c>
      <c r="K249" s="14">
        <f t="shared" si="60"/>
        <v>5.7450491067035649</v>
      </c>
      <c r="L249" s="14">
        <f t="shared" si="61"/>
        <v>6.8714986889176917</v>
      </c>
      <c r="M249" s="14">
        <f t="shared" si="62"/>
        <v>9.0835156359364415</v>
      </c>
      <c r="N249" s="14">
        <f t="shared" si="63"/>
        <v>7.9469296218685557</v>
      </c>
      <c r="O249" s="14">
        <f t="shared" si="54"/>
        <v>7.9469296218685557</v>
      </c>
      <c r="P249" s="14">
        <f t="shared" si="55"/>
        <v>1</v>
      </c>
    </row>
    <row r="250" spans="1:16" x14ac:dyDescent="0.25">
      <c r="A250" s="14">
        <f t="shared" si="56"/>
        <v>1.1299999999999979</v>
      </c>
      <c r="B250" s="14">
        <f t="shared" si="48"/>
        <v>11.373983656594968</v>
      </c>
      <c r="C250" s="14">
        <f t="shared" si="49"/>
        <v>10.605814225769542</v>
      </c>
      <c r="D250" s="14">
        <f t="shared" si="50"/>
        <v>10.605814225769542</v>
      </c>
      <c r="E250" s="14">
        <f t="shared" si="51"/>
        <v>1</v>
      </c>
      <c r="F250" s="14">
        <f t="shared" si="52"/>
        <v>-1.4637423211857241</v>
      </c>
      <c r="G250" s="14">
        <f t="shared" si="57"/>
        <v>-1.4563901948684022</v>
      </c>
      <c r="H250" s="14">
        <f t="shared" si="58"/>
        <v>-0.14652366061953753</v>
      </c>
      <c r="I250" s="14">
        <f t="shared" si="59"/>
        <v>6.82970238004099</v>
      </c>
      <c r="J250" s="14">
        <f t="shared" si="53"/>
        <v>0.63811873863995427</v>
      </c>
      <c r="K250" s="14">
        <f t="shared" si="60"/>
        <v>5.3378129759247051</v>
      </c>
      <c r="L250" s="14">
        <f t="shared" si="61"/>
        <v>6.8594482376165651</v>
      </c>
      <c r="M250" s="14">
        <f t="shared" si="62"/>
        <v>9.1176641478366456</v>
      </c>
      <c r="N250" s="14">
        <f t="shared" si="63"/>
        <v>7.9501202155617552</v>
      </c>
      <c r="O250" s="14">
        <f t="shared" si="54"/>
        <v>7.9501202155617552</v>
      </c>
      <c r="P250" s="14">
        <f t="shared" si="55"/>
        <v>1</v>
      </c>
    </row>
    <row r="251" spans="1:16" x14ac:dyDescent="0.25">
      <c r="A251" s="14">
        <f t="shared" si="56"/>
        <v>1.1349999999999978</v>
      </c>
      <c r="B251" s="14">
        <f t="shared" si="48"/>
        <v>11.424311017907334</v>
      </c>
      <c r="C251" s="14">
        <f t="shared" si="49"/>
        <v>10.624935107299493</v>
      </c>
      <c r="D251" s="14">
        <f t="shared" si="50"/>
        <v>10.624935107299493</v>
      </c>
      <c r="E251" s="14">
        <f t="shared" si="51"/>
        <v>1</v>
      </c>
      <c r="F251" s="14">
        <f t="shared" si="52"/>
        <v>-1.458612933860771</v>
      </c>
      <c r="G251" s="14">
        <f t="shared" si="57"/>
        <v>-1.4522876885807525</v>
      </c>
      <c r="H251" s="14">
        <f t="shared" si="58"/>
        <v>-0.13569141617177213</v>
      </c>
      <c r="I251" s="14">
        <f t="shared" si="59"/>
        <v>6.822440941598086</v>
      </c>
      <c r="J251" s="14">
        <f t="shared" si="53"/>
        <v>0.58844028155909545</v>
      </c>
      <c r="K251" s="14">
        <f t="shared" si="60"/>
        <v>4.9296009656376754</v>
      </c>
      <c r="L251" s="14">
        <f t="shared" si="61"/>
        <v>6.8477706128750491</v>
      </c>
      <c r="M251" s="14">
        <f t="shared" si="62"/>
        <v>9.1517763525446352</v>
      </c>
      <c r="N251" s="14">
        <f t="shared" si="63"/>
        <v>7.9530624169695505</v>
      </c>
      <c r="O251" s="14">
        <f t="shared" si="54"/>
        <v>7.9530624169695505</v>
      </c>
      <c r="P251" s="14">
        <f t="shared" si="55"/>
        <v>1</v>
      </c>
    </row>
    <row r="252" spans="1:16" x14ac:dyDescent="0.25">
      <c r="A252" s="14">
        <f t="shared" si="56"/>
        <v>1.1399999999999977</v>
      </c>
      <c r="B252" s="14">
        <f t="shared" si="48"/>
        <v>11.4746383792197</v>
      </c>
      <c r="C252" s="14">
        <f t="shared" si="49"/>
        <v>10.643810988829447</v>
      </c>
      <c r="D252" s="14">
        <f t="shared" si="50"/>
        <v>10.643810988829447</v>
      </c>
      <c r="E252" s="14">
        <f t="shared" si="51"/>
        <v>1</v>
      </c>
      <c r="F252" s="14">
        <f t="shared" si="52"/>
        <v>-1.453650833363209</v>
      </c>
      <c r="G252" s="14">
        <f t="shared" si="57"/>
        <v>-1.4482738282264798</v>
      </c>
      <c r="H252" s="14">
        <f t="shared" si="58"/>
        <v>-0.12491462609226113</v>
      </c>
      <c r="I252" s="14">
        <f t="shared" si="59"/>
        <v>6.8151995724569536</v>
      </c>
      <c r="J252" s="14">
        <f t="shared" si="53"/>
        <v>0.53881570842863413</v>
      </c>
      <c r="K252" s="14">
        <f t="shared" si="60"/>
        <v>4.5204521246462805</v>
      </c>
      <c r="L252" s="14">
        <f t="shared" si="61"/>
        <v>6.8364660154254331</v>
      </c>
      <c r="M252" s="14">
        <f t="shared" si="62"/>
        <v>9.1858523504069201</v>
      </c>
      <c r="N252" s="14">
        <f t="shared" si="63"/>
        <v>7.9557564955116939</v>
      </c>
      <c r="O252" s="14">
        <f t="shared" si="54"/>
        <v>7.9557564955116939</v>
      </c>
      <c r="P252" s="14">
        <f t="shared" si="55"/>
        <v>1</v>
      </c>
    </row>
    <row r="253" spans="1:16" x14ac:dyDescent="0.25">
      <c r="A253" s="14">
        <f t="shared" si="56"/>
        <v>1.1449999999999976</v>
      </c>
      <c r="B253" s="14">
        <f t="shared" si="48"/>
        <v>11.524965740532066</v>
      </c>
      <c r="C253" s="14">
        <f t="shared" si="49"/>
        <v>10.662441870359402</v>
      </c>
      <c r="D253" s="14">
        <f t="shared" si="50"/>
        <v>10.662441870359402</v>
      </c>
      <c r="E253" s="14">
        <f t="shared" si="51"/>
        <v>1</v>
      </c>
      <c r="F253" s="14">
        <f t="shared" si="52"/>
        <v>-1.4488552949820739</v>
      </c>
      <c r="G253" s="14">
        <f t="shared" si="57"/>
        <v>-1.444348288228761</v>
      </c>
      <c r="H253" s="14">
        <f t="shared" si="58"/>
        <v>-0.11419145365674183</v>
      </c>
      <c r="I253" s="14">
        <f t="shared" si="59"/>
        <v>6.8079778310158101</v>
      </c>
      <c r="J253" s="14">
        <f t="shared" si="53"/>
        <v>0.48924475116035043</v>
      </c>
      <c r="K253" s="14">
        <f t="shared" si="60"/>
        <v>4.1104060432221283</v>
      </c>
      <c r="L253" s="14">
        <f t="shared" si="61"/>
        <v>6.8255345998786563</v>
      </c>
      <c r="M253" s="14">
        <f t="shared" si="62"/>
        <v>9.2198922395619984</v>
      </c>
      <c r="N253" s="14">
        <f t="shared" si="63"/>
        <v>7.9582027192674953</v>
      </c>
      <c r="O253" s="14">
        <f t="shared" si="54"/>
        <v>7.9582027192674953</v>
      </c>
      <c r="P253" s="14">
        <f t="shared" si="55"/>
        <v>1</v>
      </c>
    </row>
    <row r="254" spans="1:16" x14ac:dyDescent="0.25">
      <c r="A254" s="14">
        <f t="shared" si="56"/>
        <v>1.1499999999999975</v>
      </c>
      <c r="B254" s="14">
        <f t="shared" si="48"/>
        <v>11.575293101844432</v>
      </c>
      <c r="C254" s="14">
        <f t="shared" si="49"/>
        <v>10.680827751889353</v>
      </c>
      <c r="D254" s="14">
        <f t="shared" si="50"/>
        <v>10.680827751889353</v>
      </c>
      <c r="E254" s="14">
        <f t="shared" si="51"/>
        <v>1</v>
      </c>
      <c r="F254" s="14">
        <f t="shared" si="52"/>
        <v>-1.4442255997983615</v>
      </c>
      <c r="G254" s="14">
        <f t="shared" si="57"/>
        <v>-1.4405107354649633</v>
      </c>
      <c r="H254" s="14">
        <f t="shared" si="58"/>
        <v>-0.10352006628247387</v>
      </c>
      <c r="I254" s="14">
        <f t="shared" si="59"/>
        <v>6.8007752773384853</v>
      </c>
      <c r="J254" s="14">
        <f t="shared" si="53"/>
        <v>0.43972715082893804</v>
      </c>
      <c r="K254" s="14">
        <f t="shared" si="60"/>
        <v>3.6995028326254942</v>
      </c>
      <c r="L254" s="14">
        <f t="shared" si="61"/>
        <v>6.8149764739164347</v>
      </c>
      <c r="M254" s="14">
        <f t="shared" si="62"/>
        <v>9.2538961159486917</v>
      </c>
      <c r="N254" s="14">
        <f t="shared" si="63"/>
        <v>7.9604013550216397</v>
      </c>
      <c r="O254" s="14">
        <f t="shared" si="54"/>
        <v>7.9604013550216397</v>
      </c>
      <c r="P254" s="14">
        <f t="shared" si="55"/>
        <v>1</v>
      </c>
    </row>
    <row r="255" spans="1:16" x14ac:dyDescent="0.25">
      <c r="A255" s="14">
        <f t="shared" si="56"/>
        <v>1.1549999999999974</v>
      </c>
      <c r="B255" s="14">
        <f t="shared" si="48"/>
        <v>11.6256204631568</v>
      </c>
      <c r="C255" s="14">
        <f t="shared" si="49"/>
        <v>10.698968633419309</v>
      </c>
      <c r="D255" s="14">
        <f t="shared" si="50"/>
        <v>10.698968633419309</v>
      </c>
      <c r="E255" s="14">
        <f t="shared" si="51"/>
        <v>1</v>
      </c>
      <c r="F255" s="14">
        <f t="shared" si="52"/>
        <v>-1.4397610345410687</v>
      </c>
      <c r="G255" s="14">
        <f t="shared" si="57"/>
        <v>-1.4367608291030827</v>
      </c>
      <c r="H255" s="14">
        <f t="shared" si="58"/>
        <v>-9.2898635823086995E-2</v>
      </c>
      <c r="I255" s="14">
        <f t="shared" si="59"/>
        <v>6.7935914731929703</v>
      </c>
      <c r="J255" s="14">
        <f t="shared" si="53"/>
        <v>0.3902626576498226</v>
      </c>
      <c r="K255" s="14">
        <f t="shared" si="60"/>
        <v>3.2877831038625134</v>
      </c>
      <c r="L255" s="14">
        <f t="shared" si="61"/>
        <v>6.8047916975169889</v>
      </c>
      <c r="M255" s="14">
        <f t="shared" si="62"/>
        <v>9.2878640733146565</v>
      </c>
      <c r="N255" s="14">
        <f t="shared" si="63"/>
        <v>7.9623526683098884</v>
      </c>
      <c r="O255" s="14">
        <f t="shared" si="54"/>
        <v>7.9623526683098884</v>
      </c>
      <c r="P255" s="14">
        <f t="shared" si="55"/>
        <v>1</v>
      </c>
    </row>
    <row r="256" spans="1:16" x14ac:dyDescent="0.25">
      <c r="A256" s="14">
        <f t="shared" si="56"/>
        <v>1.1599999999999973</v>
      </c>
      <c r="B256" s="14">
        <f t="shared" si="48"/>
        <v>11.675947824469166</v>
      </c>
      <c r="C256" s="14">
        <f t="shared" si="49"/>
        <v>10.716864514949261</v>
      </c>
      <c r="D256" s="14">
        <f t="shared" si="50"/>
        <v>10.716864514949261</v>
      </c>
      <c r="E256" s="14">
        <f t="shared" si="51"/>
        <v>1</v>
      </c>
      <c r="F256" s="14">
        <f t="shared" si="52"/>
        <v>-1.4354608914444804</v>
      </c>
      <c r="G256" s="14">
        <f t="shared" si="57"/>
        <v>-1.4330982204462779</v>
      </c>
      <c r="H256" s="14">
        <f t="shared" si="58"/>
        <v>-8.2325338871419282E-2</v>
      </c>
      <c r="I256" s="14">
        <f t="shared" si="59"/>
        <v>6.7864259820907389</v>
      </c>
      <c r="J256" s="14">
        <f t="shared" si="53"/>
        <v>0.34085103095546548</v>
      </c>
      <c r="K256" s="14">
        <f t="shared" si="60"/>
        <v>2.8752879457031684</v>
      </c>
      <c r="L256" s="14">
        <f t="shared" si="61"/>
        <v>6.7949802822156631</v>
      </c>
      <c r="M256" s="14">
        <f t="shared" si="62"/>
        <v>9.3217962032251105</v>
      </c>
      <c r="N256" s="14">
        <f t="shared" si="63"/>
        <v>7.9640569234646659</v>
      </c>
      <c r="O256" s="14">
        <f t="shared" si="54"/>
        <v>7.9640569234646659</v>
      </c>
      <c r="P256" s="14">
        <f t="shared" si="55"/>
        <v>1</v>
      </c>
    </row>
    <row r="257" spans="1:16" x14ac:dyDescent="0.25">
      <c r="A257" s="14">
        <f t="shared" si="56"/>
        <v>1.1649999999999971</v>
      </c>
      <c r="B257" s="14">
        <f t="shared" si="48"/>
        <v>11.726275185781532</v>
      </c>
      <c r="C257" s="14">
        <f t="shared" si="49"/>
        <v>10.734515396479216</v>
      </c>
      <c r="D257" s="14">
        <f t="shared" si="50"/>
        <v>10.734515396479216</v>
      </c>
      <c r="E257" s="14">
        <f t="shared" si="51"/>
        <v>1</v>
      </c>
      <c r="F257" s="14">
        <f t="shared" si="52"/>
        <v>-1.431324468106689</v>
      </c>
      <c r="G257" s="14">
        <f t="shared" si="57"/>
        <v>-1.4295225527857016</v>
      </c>
      <c r="H257" s="14">
        <f t="shared" si="58"/>
        <v>-7.1798357069973312E-2</v>
      </c>
      <c r="I257" s="14">
        <f t="shared" si="59"/>
        <v>6.7792783693268106</v>
      </c>
      <c r="J257" s="14">
        <f t="shared" si="53"/>
        <v>0.29149203917011562</v>
      </c>
      <c r="K257" s="14">
        <f t="shared" si="60"/>
        <v>2.4620589019865857</v>
      </c>
      <c r="L257" s="14">
        <f t="shared" si="61"/>
        <v>6.7855421904017321</v>
      </c>
      <c r="M257" s="14">
        <f t="shared" si="62"/>
        <v>9.3556925950717442</v>
      </c>
      <c r="N257" s="14">
        <f t="shared" si="63"/>
        <v>7.9655143836605165</v>
      </c>
      <c r="O257" s="14">
        <f t="shared" si="54"/>
        <v>7.9655143836605165</v>
      </c>
      <c r="P257" s="14">
        <f t="shared" si="55"/>
        <v>1</v>
      </c>
    </row>
    <row r="258" spans="1:16" x14ac:dyDescent="0.25">
      <c r="A258" s="14">
        <f t="shared" si="56"/>
        <v>1.169999999999997</v>
      </c>
      <c r="B258" s="14">
        <f t="shared" si="48"/>
        <v>11.776602547093898</v>
      </c>
      <c r="C258" s="14">
        <f t="shared" si="49"/>
        <v>10.751921278009167</v>
      </c>
      <c r="D258" s="14">
        <f t="shared" si="50"/>
        <v>10.751921278009167</v>
      </c>
      <c r="E258" s="14">
        <f t="shared" si="51"/>
        <v>1</v>
      </c>
      <c r="F258" s="14">
        <f t="shared" si="52"/>
        <v>-1.4273510673493799</v>
      </c>
      <c r="G258" s="14">
        <f t="shared" si="57"/>
        <v>-1.4260334612618928</v>
      </c>
      <c r="H258" s="14">
        <f t="shared" si="58"/>
        <v>-6.1315877428606662E-2</v>
      </c>
      <c r="I258" s="14">
        <f t="shared" si="59"/>
        <v>6.7721482020205013</v>
      </c>
      <c r="J258" s="14">
        <f t="shared" si="53"/>
        <v>0.2421854597829726</v>
      </c>
      <c r="K258" s="14">
        <f t="shared" si="60"/>
        <v>2.0481379482420676</v>
      </c>
      <c r="L258" s="14">
        <f t="shared" si="61"/>
        <v>6.7764773346525553</v>
      </c>
      <c r="M258" s="14">
        <f t="shared" si="62"/>
        <v>9.3895533360818462</v>
      </c>
      <c r="N258" s="14">
        <f t="shared" si="63"/>
        <v>7.9667253109594309</v>
      </c>
      <c r="O258" s="14">
        <f t="shared" si="54"/>
        <v>7.9667253109594309</v>
      </c>
      <c r="P258" s="14">
        <f t="shared" si="55"/>
        <v>1</v>
      </c>
    </row>
    <row r="259" spans="1:16" x14ac:dyDescent="0.25">
      <c r="A259" s="14">
        <f t="shared" si="56"/>
        <v>1.1749999999999969</v>
      </c>
      <c r="B259" s="14">
        <f t="shared" si="48"/>
        <v>11.826929908406264</v>
      </c>
      <c r="C259" s="14">
        <f t="shared" si="49"/>
        <v>10.769082159539122</v>
      </c>
      <c r="D259" s="14">
        <f t="shared" si="50"/>
        <v>10.769082159539122</v>
      </c>
      <c r="E259" s="14">
        <f t="shared" si="51"/>
        <v>1</v>
      </c>
      <c r="F259" s="14">
        <f t="shared" si="52"/>
        <v>-1.4235399970788538</v>
      </c>
      <c r="G259" s="14">
        <f t="shared" si="57"/>
        <v>-1.4226305727348996</v>
      </c>
      <c r="H259" s="14">
        <f t="shared" si="58"/>
        <v>-5.0876092649053378E-2</v>
      </c>
      <c r="I259" s="14">
        <f t="shared" si="59"/>
        <v>6.7650350491568272</v>
      </c>
      <c r="J259" s="14">
        <f t="shared" si="53"/>
        <v>0.19293107931972733</v>
      </c>
      <c r="K259" s="14">
        <f t="shared" si="60"/>
        <v>1.6335674676561824</v>
      </c>
      <c r="L259" s="14">
        <f t="shared" si="61"/>
        <v>6.76778557710628</v>
      </c>
      <c r="M259" s="14">
        <f t="shared" si="62"/>
        <v>9.4233785113276305</v>
      </c>
      <c r="N259" s="14">
        <f t="shared" si="63"/>
        <v>7.9676899663560299</v>
      </c>
      <c r="O259" s="14">
        <f t="shared" si="54"/>
        <v>7.9676899663560299</v>
      </c>
      <c r="P259" s="14">
        <f t="shared" si="55"/>
        <v>1</v>
      </c>
    </row>
    <row r="260" spans="1:16" x14ac:dyDescent="0.25">
      <c r="A260" s="14">
        <f t="shared" si="56"/>
        <v>1.1799999999999968</v>
      </c>
      <c r="B260" s="14">
        <f t="shared" si="48"/>
        <v>11.87725726971863</v>
      </c>
      <c r="C260" s="14">
        <f t="shared" si="49"/>
        <v>10.785998041069078</v>
      </c>
      <c r="D260" s="14">
        <f t="shared" si="50"/>
        <v>10.785998041069078</v>
      </c>
      <c r="E260" s="14">
        <f t="shared" si="51"/>
        <v>1</v>
      </c>
      <c r="F260" s="14">
        <f t="shared" si="52"/>
        <v>-1.4198905701483213</v>
      </c>
      <c r="G260" s="14">
        <f t="shared" si="57"/>
        <v>-1.4193135056633635</v>
      </c>
      <c r="H260" s="14">
        <f t="shared" si="58"/>
        <v>-4.0477201455863546E-2</v>
      </c>
      <c r="I260" s="14">
        <f t="shared" si="59"/>
        <v>6.7579384816285106</v>
      </c>
      <c r="J260" s="14">
        <f t="shared" si="53"/>
        <v>0.14372869331244803</v>
      </c>
      <c r="K260" s="14">
        <f t="shared" si="60"/>
        <v>1.2183902264180517</v>
      </c>
      <c r="L260" s="14">
        <f t="shared" si="61"/>
        <v>6.7594667288741626</v>
      </c>
      <c r="M260" s="14">
        <f t="shared" si="62"/>
        <v>9.4571682037357725</v>
      </c>
      <c r="N260" s="14">
        <f t="shared" si="63"/>
        <v>7.9684086098225917</v>
      </c>
      <c r="O260" s="14">
        <f t="shared" si="54"/>
        <v>7.9684086098225917</v>
      </c>
      <c r="P260" s="14">
        <f t="shared" si="55"/>
        <v>1</v>
      </c>
    </row>
    <row r="261" spans="1:16" x14ac:dyDescent="0.25">
      <c r="A261" s="14">
        <f t="shared" si="56"/>
        <v>1.1849999999999967</v>
      </c>
      <c r="B261" s="14">
        <f t="shared" si="48"/>
        <v>11.927584631030996</v>
      </c>
      <c r="C261" s="14">
        <f t="shared" si="49"/>
        <v>10.802668922599029</v>
      </c>
      <c r="D261" s="14">
        <f t="shared" si="50"/>
        <v>10.802668922599029</v>
      </c>
      <c r="E261" s="14">
        <f t="shared" si="51"/>
        <v>1</v>
      </c>
      <c r="F261" s="14">
        <f t="shared" si="52"/>
        <v>-1.4164021042214601</v>
      </c>
      <c r="G261" s="14">
        <f t="shared" si="57"/>
        <v>-1.4160818699927353</v>
      </c>
      <c r="H261" s="14">
        <f t="shared" si="58"/>
        <v>-3.0117408933331577E-2</v>
      </c>
      <c r="I261" s="14">
        <f t="shared" si="59"/>
        <v>6.7508580722785467</v>
      </c>
      <c r="J261" s="14">
        <f t="shared" si="53"/>
        <v>9.4578106267781362E-2</v>
      </c>
      <c r="K261" s="14">
        <f t="shared" si="60"/>
        <v>0.80264934847671576</v>
      </c>
      <c r="L261" s="14">
        <f t="shared" si="61"/>
        <v>6.7515205494935451</v>
      </c>
      <c r="M261" s="14">
        <f t="shared" si="62"/>
        <v>9.4909224940971644</v>
      </c>
      <c r="N261" s="14">
        <f t="shared" si="63"/>
        <v>7.9688815003539304</v>
      </c>
      <c r="O261" s="14">
        <f t="shared" si="54"/>
        <v>7.9688815003539304</v>
      </c>
      <c r="P261" s="14">
        <f t="shared" si="55"/>
        <v>1</v>
      </c>
    </row>
    <row r="262" spans="1:16" x14ac:dyDescent="0.25">
      <c r="A262" s="14">
        <f t="shared" si="56"/>
        <v>1.1899999999999966</v>
      </c>
      <c r="B262" s="14">
        <f t="shared" si="48"/>
        <v>11.977911992343362</v>
      </c>
      <c r="C262" s="14">
        <f t="shared" si="49"/>
        <v>10.819094804128984</v>
      </c>
      <c r="D262" s="14">
        <f t="shared" si="50"/>
        <v>10.819094804128984</v>
      </c>
      <c r="E262" s="14">
        <f t="shared" si="51"/>
        <v>1</v>
      </c>
      <c r="F262" s="14">
        <f t="shared" si="52"/>
        <v>-1.4130739216372421</v>
      </c>
      <c r="G262" s="14">
        <f t="shared" si="57"/>
        <v>-1.4129352670527926</v>
      </c>
      <c r="H262" s="14">
        <f t="shared" si="58"/>
        <v>-1.9794926867972414E-2</v>
      </c>
      <c r="I262" s="14">
        <f t="shared" si="59"/>
        <v>6.7437933959432828</v>
      </c>
      <c r="J262" s="14">
        <f t="shared" si="53"/>
        <v>4.54791316334415E-2</v>
      </c>
      <c r="K262" s="14">
        <f t="shared" si="60"/>
        <v>0.38638828974613332</v>
      </c>
      <c r="L262" s="14">
        <f t="shared" si="61"/>
        <v>6.7439467464224805</v>
      </c>
      <c r="M262" s="14">
        <f t="shared" si="62"/>
        <v>9.5246414610768806</v>
      </c>
      <c r="N262" s="14">
        <f t="shared" si="63"/>
        <v>7.9691088960120977</v>
      </c>
      <c r="O262" s="14">
        <f t="shared" si="54"/>
        <v>7.9691088960120977</v>
      </c>
      <c r="P262" s="14">
        <f t="shared" si="55"/>
        <v>1</v>
      </c>
    </row>
    <row r="263" spans="1:16" x14ac:dyDescent="0.25">
      <c r="A263" s="14">
        <f t="shared" si="56"/>
        <v>1.1949999999999965</v>
      </c>
      <c r="B263" s="14">
        <f t="shared" si="48"/>
        <v>12.028239353655728</v>
      </c>
      <c r="C263" s="14">
        <f t="shared" si="49"/>
        <v>10.835275685658935</v>
      </c>
      <c r="D263" s="14">
        <f t="shared" si="50"/>
        <v>10.835275685658935</v>
      </c>
      <c r="E263" s="14">
        <f t="shared" si="51"/>
        <v>1</v>
      </c>
      <c r="F263" s="14">
        <f t="shared" si="52"/>
        <v>-1.4099053492760532</v>
      </c>
      <c r="G263" s="14">
        <f t="shared" si="57"/>
        <v>-1.4098732894646304</v>
      </c>
      <c r="H263" s="14">
        <f t="shared" si="58"/>
        <v>-9.5079740960934932E-3</v>
      </c>
      <c r="I263" s="14">
        <f t="shared" si="59"/>
        <v>6.7367440294959593</v>
      </c>
      <c r="J263" s="14">
        <f t="shared" si="53"/>
        <v>-3.5684082370389739E-3</v>
      </c>
      <c r="K263" s="14">
        <f t="shared" si="60"/>
        <v>-3.0349188205050951E-2</v>
      </c>
      <c r="L263" s="14">
        <f t="shared" si="61"/>
        <v>6.7367449745768768</v>
      </c>
      <c r="M263" s="14">
        <f t="shared" si="62"/>
        <v>9.5583251812243599</v>
      </c>
      <c r="N263" s="14">
        <f t="shared" si="63"/>
        <v>7.9690910539709128</v>
      </c>
      <c r="O263" s="14">
        <f t="shared" si="54"/>
        <v>7.9690910539709128</v>
      </c>
      <c r="P263" s="14">
        <f t="shared" si="55"/>
        <v>1</v>
      </c>
    </row>
    <row r="264" spans="1:16" x14ac:dyDescent="0.25">
      <c r="A264" s="14">
        <f t="shared" si="56"/>
        <v>1.1999999999999964</v>
      </c>
      <c r="B264" s="14">
        <f t="shared" si="48"/>
        <v>12.078566714968094</v>
      </c>
      <c r="C264" s="14">
        <f t="shared" si="49"/>
        <v>10.851211567188891</v>
      </c>
      <c r="D264" s="14">
        <f t="shared" si="50"/>
        <v>10.851211567188891</v>
      </c>
      <c r="E264" s="14">
        <f t="shared" si="51"/>
        <v>1</v>
      </c>
      <c r="F264" s="14">
        <f t="shared" si="52"/>
        <v>-1.4068957184270909</v>
      </c>
      <c r="G264" s="14">
        <f t="shared" si="57"/>
        <v>-1.4068955210572482</v>
      </c>
      <c r="H264" s="14">
        <f t="shared" si="58"/>
        <v>7.4522314400144233E-4</v>
      </c>
      <c r="I264" s="14">
        <f t="shared" si="59"/>
        <v>6.7297095518906733</v>
      </c>
      <c r="J264" s="14">
        <f t="shared" si="53"/>
        <v>-5.256468212131897E-2</v>
      </c>
      <c r="K264" s="14">
        <f t="shared" si="60"/>
        <v>-0.44751904494036188</v>
      </c>
      <c r="L264" s="14">
        <f t="shared" si="61"/>
        <v>6.729914835911007</v>
      </c>
      <c r="M264" s="14">
        <f t="shared" si="62"/>
        <v>9.5919737289838132</v>
      </c>
      <c r="N264" s="14">
        <f t="shared" si="63"/>
        <v>7.9688282305603062</v>
      </c>
      <c r="O264" s="14">
        <f t="shared" si="54"/>
        <v>7.9688282305603062</v>
      </c>
      <c r="P264" s="14">
        <f t="shared" si="55"/>
        <v>1</v>
      </c>
    </row>
    <row r="265" spans="1:16" x14ac:dyDescent="0.25">
      <c r="A265" s="14">
        <f t="shared" si="56"/>
        <v>1.2049999999999963</v>
      </c>
      <c r="B265" s="14">
        <f t="shared" si="48"/>
        <v>12.12889407628046</v>
      </c>
      <c r="C265" s="14">
        <f t="shared" si="49"/>
        <v>10.866902448718843</v>
      </c>
      <c r="D265" s="14">
        <f t="shared" si="50"/>
        <v>10.866902448718843</v>
      </c>
      <c r="E265" s="14">
        <f t="shared" si="51"/>
        <v>1</v>
      </c>
      <c r="F265" s="14">
        <f t="shared" si="52"/>
        <v>-1.4040443646570673</v>
      </c>
      <c r="G265" s="14">
        <f t="shared" si="57"/>
        <v>-1.4040015367938725</v>
      </c>
      <c r="H265" s="14">
        <f t="shared" si="58"/>
        <v>1.0966430855649528E-2</v>
      </c>
      <c r="I265" s="14">
        <f t="shared" si="59"/>
        <v>6.7226895442067036</v>
      </c>
      <c r="J265" s="14">
        <f t="shared" si="53"/>
        <v>-0.10150984996704072</v>
      </c>
      <c r="K265" s="14">
        <f t="shared" si="60"/>
        <v>-0.86507698837896985</v>
      </c>
      <c r="L265" s="14">
        <f t="shared" si="61"/>
        <v>6.7234558790421515</v>
      </c>
      <c r="M265" s="14">
        <f t="shared" si="62"/>
        <v>9.6255871767048475</v>
      </c>
      <c r="N265" s="14">
        <f t="shared" si="63"/>
        <v>7.9683206813104714</v>
      </c>
      <c r="O265" s="14">
        <f t="shared" si="54"/>
        <v>7.9683206813104714</v>
      </c>
      <c r="P265" s="14">
        <f t="shared" si="55"/>
        <v>1</v>
      </c>
    </row>
    <row r="266" spans="1:16" x14ac:dyDescent="0.25">
      <c r="A266" s="14">
        <f t="shared" si="56"/>
        <v>1.2099999999999962</v>
      </c>
      <c r="B266" s="14">
        <f t="shared" si="48"/>
        <v>12.179221437592826</v>
      </c>
      <c r="C266" s="14">
        <f t="shared" si="49"/>
        <v>10.882348330248796</v>
      </c>
      <c r="D266" s="14">
        <f t="shared" si="50"/>
        <v>10.882348330248796</v>
      </c>
      <c r="E266" s="14">
        <f t="shared" si="51"/>
        <v>1</v>
      </c>
      <c r="F266" s="14">
        <f t="shared" si="52"/>
        <v>-1.4013506276802206</v>
      </c>
      <c r="G266" s="14">
        <f t="shared" si="57"/>
        <v>-1.4011909027081246</v>
      </c>
      <c r="H266" s="14">
        <f t="shared" si="58"/>
        <v>2.1157406923789188E-2</v>
      </c>
      <c r="I266" s="14">
        <f t="shared" si="59"/>
        <v>6.715683589693163</v>
      </c>
      <c r="J266" s="14">
        <f t="shared" si="53"/>
        <v>-0.15040406293242178</v>
      </c>
      <c r="K266" s="14">
        <f t="shared" si="60"/>
        <v>-1.2829785024145186</v>
      </c>
      <c r="L266" s="14">
        <f t="shared" si="61"/>
        <v>6.7173675989200285</v>
      </c>
      <c r="M266" s="14">
        <f t="shared" si="62"/>
        <v>9.659165594653313</v>
      </c>
      <c r="N266" s="14">
        <f t="shared" si="63"/>
        <v>7.9675686609958092</v>
      </c>
      <c r="O266" s="14">
        <f t="shared" si="54"/>
        <v>7.9675686609958092</v>
      </c>
      <c r="P266" s="14">
        <f t="shared" si="55"/>
        <v>1</v>
      </c>
    </row>
    <row r="267" spans="1:16" x14ac:dyDescent="0.25">
      <c r="A267" s="14">
        <f t="shared" si="56"/>
        <v>1.2149999999999961</v>
      </c>
      <c r="B267" s="14">
        <f t="shared" si="48"/>
        <v>12.229548798905192</v>
      </c>
      <c r="C267" s="14">
        <f t="shared" si="49"/>
        <v>10.897549211778752</v>
      </c>
      <c r="D267" s="14">
        <f t="shared" si="50"/>
        <v>10.897549211778752</v>
      </c>
      <c r="E267" s="14">
        <f t="shared" si="51"/>
        <v>1</v>
      </c>
      <c r="F267" s="14">
        <f t="shared" si="52"/>
        <v>-1.3988138512296393</v>
      </c>
      <c r="G267" s="14">
        <f t="shared" si="57"/>
        <v>-1.3984631758501176</v>
      </c>
      <c r="H267" s="14">
        <f t="shared" si="58"/>
        <v>3.1319900751733548E-2</v>
      </c>
      <c r="I267" s="14">
        <f t="shared" si="59"/>
        <v>6.7086912738139128</v>
      </c>
      <c r="J267" s="14">
        <f t="shared" si="53"/>
        <v>-0.19924746342866312</v>
      </c>
      <c r="K267" s="14">
        <f t="shared" si="60"/>
        <v>-1.7011788748868719</v>
      </c>
      <c r="L267" s="14">
        <f t="shared" si="61"/>
        <v>6.7116494365416388</v>
      </c>
      <c r="M267" s="14">
        <f t="shared" si="62"/>
        <v>9.6927090510223834</v>
      </c>
      <c r="N267" s="14">
        <f t="shared" si="63"/>
        <v>7.9665724236786657</v>
      </c>
      <c r="O267" s="14">
        <f t="shared" si="54"/>
        <v>7.9665724236786657</v>
      </c>
      <c r="P267" s="14">
        <f t="shared" si="55"/>
        <v>1</v>
      </c>
    </row>
    <row r="268" spans="1:16" x14ac:dyDescent="0.25">
      <c r="A268" s="14">
        <f t="shared" si="56"/>
        <v>1.219999999999996</v>
      </c>
      <c r="B268" s="14">
        <f t="shared" si="48"/>
        <v>12.279876160217558</v>
      </c>
      <c r="C268" s="14">
        <f t="shared" si="49"/>
        <v>10.912505093308704</v>
      </c>
      <c r="D268" s="14">
        <f t="shared" si="50"/>
        <v>10.912505093308704</v>
      </c>
      <c r="E268" s="14">
        <f t="shared" si="51"/>
        <v>1</v>
      </c>
      <c r="F268" s="14">
        <f t="shared" si="52"/>
        <v>-1.3964333829299207</v>
      </c>
      <c r="G268" s="14">
        <f t="shared" si="57"/>
        <v>-1.3958179042425738</v>
      </c>
      <c r="H268" s="14">
        <f t="shared" si="58"/>
        <v>4.1455652895253471E-2</v>
      </c>
      <c r="I268" s="14">
        <f t="shared" si="59"/>
        <v>6.7017121842926999</v>
      </c>
      <c r="J268" s="14">
        <f t="shared" si="53"/>
        <v>-0.24804018516418685</v>
      </c>
      <c r="K268" s="14">
        <f t="shared" si="60"/>
        <v>-2.1196332258633102</v>
      </c>
      <c r="L268" s="14">
        <f t="shared" si="61"/>
        <v>6.7063007787120252</v>
      </c>
      <c r="M268" s="14">
        <f t="shared" si="62"/>
        <v>9.7262176119438468</v>
      </c>
      <c r="N268" s="14">
        <f t="shared" si="63"/>
        <v>7.9653322227528447</v>
      </c>
      <c r="O268" s="14">
        <f t="shared" si="54"/>
        <v>7.9653322227528447</v>
      </c>
      <c r="P268" s="14">
        <f t="shared" si="55"/>
        <v>1</v>
      </c>
    </row>
    <row r="269" spans="1:16" x14ac:dyDescent="0.25">
      <c r="A269" s="14">
        <f t="shared" si="56"/>
        <v>1.2249999999999959</v>
      </c>
      <c r="B269" s="14">
        <f t="shared" si="48"/>
        <v>12.330203521529924</v>
      </c>
      <c r="C269" s="14">
        <f t="shared" si="49"/>
        <v>10.92721597483866</v>
      </c>
      <c r="D269" s="14">
        <f t="shared" si="50"/>
        <v>10.92721597483866</v>
      </c>
      <c r="E269" s="14">
        <f t="shared" si="51"/>
        <v>1</v>
      </c>
      <c r="F269" s="14">
        <f t="shared" si="52"/>
        <v>-1.394208574171159</v>
      </c>
      <c r="G269" s="14">
        <f t="shared" si="57"/>
        <v>-1.3932546268470061</v>
      </c>
      <c r="H269" s="14">
        <f t="shared" si="58"/>
        <v>5.1566394694472301E-2</v>
      </c>
      <c r="I269" s="14">
        <f t="shared" si="59"/>
        <v>6.6947459111584653</v>
      </c>
      <c r="J269" s="14">
        <f t="shared" si="53"/>
        <v>-0.2967823531907145</v>
      </c>
      <c r="K269" s="14">
        <f t="shared" si="60"/>
        <v>-2.5382965361847858</v>
      </c>
      <c r="L269" s="14">
        <f t="shared" si="61"/>
        <v>6.7013209578513999</v>
      </c>
      <c r="M269" s="14">
        <f t="shared" si="62"/>
        <v>9.7596913414996393</v>
      </c>
      <c r="N269" s="14">
        <f t="shared" si="63"/>
        <v>7.9638483109868909</v>
      </c>
      <c r="O269" s="14">
        <f t="shared" si="54"/>
        <v>7.9638483109868909</v>
      </c>
      <c r="P269" s="14">
        <f t="shared" si="55"/>
        <v>1</v>
      </c>
    </row>
    <row r="270" spans="1:16" x14ac:dyDescent="0.25">
      <c r="A270" s="14">
        <f t="shared" si="56"/>
        <v>1.2299999999999958</v>
      </c>
      <c r="B270" s="14">
        <f t="shared" si="48"/>
        <v>12.38053088284229</v>
      </c>
      <c r="C270" s="14">
        <f t="shared" si="49"/>
        <v>10.941681856368611</v>
      </c>
      <c r="D270" s="14">
        <f t="shared" si="50"/>
        <v>10.941681856368611</v>
      </c>
      <c r="E270" s="14">
        <f t="shared" si="51"/>
        <v>1</v>
      </c>
      <c r="F270" s="14">
        <f t="shared" si="52"/>
        <v>-1.3921387799842906</v>
      </c>
      <c r="G270" s="14">
        <f t="shared" si="57"/>
        <v>-1.3907728735400218</v>
      </c>
      <c r="H270" s="14">
        <f t="shared" si="58"/>
        <v>6.1653847904079143E-2</v>
      </c>
      <c r="I270" s="14">
        <f t="shared" si="59"/>
        <v>6.687792046790765</v>
      </c>
      <c r="J270" s="14">
        <f t="shared" si="53"/>
        <v>-0.34547408395119411</v>
      </c>
      <c r="K270" s="14">
        <f t="shared" si="60"/>
        <v>-2.9571236762320674</v>
      </c>
      <c r="L270" s="14">
        <f t="shared" si="61"/>
        <v>6.6967092518489801</v>
      </c>
      <c r="M270" s="14">
        <f t="shared" si="62"/>
        <v>9.7931303017335924</v>
      </c>
      <c r="N270" s="14">
        <f t="shared" si="63"/>
        <v>7.9621209405671349</v>
      </c>
      <c r="O270" s="14">
        <f t="shared" si="54"/>
        <v>7.9621209405671349</v>
      </c>
      <c r="P270" s="14">
        <f t="shared" si="55"/>
        <v>1</v>
      </c>
    </row>
    <row r="271" spans="1:16" x14ac:dyDescent="0.25">
      <c r="A271" s="14">
        <f t="shared" si="56"/>
        <v>1.2349999999999957</v>
      </c>
      <c r="B271" s="14">
        <f t="shared" si="48"/>
        <v>12.430858244154656</v>
      </c>
      <c r="C271" s="14">
        <f t="shared" si="49"/>
        <v>10.955902737898565</v>
      </c>
      <c r="D271" s="14">
        <f t="shared" si="50"/>
        <v>10.955902737898565</v>
      </c>
      <c r="E271" s="14">
        <f t="shared" si="51"/>
        <v>1</v>
      </c>
      <c r="F271" s="14">
        <f t="shared" si="52"/>
        <v>-1.3902233589177917</v>
      </c>
      <c r="G271" s="14">
        <f t="shared" si="57"/>
        <v>-1.3883721650997582</v>
      </c>
      <c r="H271" s="14">
        <f t="shared" si="58"/>
        <v>7.1719724322370407E-2</v>
      </c>
      <c r="I271" s="14">
        <f t="shared" si="59"/>
        <v>6.6808501859652658</v>
      </c>
      <c r="J271" s="14">
        <f t="shared" si="53"/>
        <v>-0.39411548532958224</v>
      </c>
      <c r="K271" s="14">
        <f t="shared" si="60"/>
        <v>-3.3760694348659417</v>
      </c>
      <c r="L271" s="14">
        <f t="shared" si="61"/>
        <v>6.6924648839638072</v>
      </c>
      <c r="M271" s="14">
        <f t="shared" si="62"/>
        <v>9.8265345526634196</v>
      </c>
      <c r="N271" s="14">
        <f t="shared" si="63"/>
        <v>7.9601503631404871</v>
      </c>
      <c r="O271" s="14">
        <f t="shared" si="54"/>
        <v>7.9601503631404871</v>
      </c>
      <c r="P271" s="14">
        <f t="shared" si="55"/>
        <v>1</v>
      </c>
    </row>
    <row r="272" spans="1:16" x14ac:dyDescent="0.25">
      <c r="A272" s="14">
        <f t="shared" si="56"/>
        <v>1.2399999999999956</v>
      </c>
      <c r="B272" s="14">
        <f t="shared" si="48"/>
        <v>12.481185605467022</v>
      </c>
      <c r="C272" s="14">
        <f t="shared" si="49"/>
        <v>10.96987861942852</v>
      </c>
      <c r="D272" s="14">
        <f t="shared" si="50"/>
        <v>10.96987861942852</v>
      </c>
      <c r="E272" s="14">
        <f t="shared" si="51"/>
        <v>1</v>
      </c>
      <c r="F272" s="14">
        <f t="shared" si="52"/>
        <v>-1.3884616729157495</v>
      </c>
      <c r="G272" s="14">
        <f t="shared" si="57"/>
        <v>-1.3860520132024639</v>
      </c>
      <c r="H272" s="14">
        <f t="shared" si="58"/>
        <v>8.1765725419632049E-2</v>
      </c>
      <c r="I272" s="14">
        <f t="shared" si="59"/>
        <v>6.6739199258992539</v>
      </c>
      <c r="J272" s="14">
        <f t="shared" si="53"/>
        <v>-0.4427066567024841</v>
      </c>
      <c r="K272" s="14">
        <f t="shared" si="60"/>
        <v>-3.7950885484951238</v>
      </c>
      <c r="L272" s="14">
        <f t="shared" si="61"/>
        <v>6.6885870227727313</v>
      </c>
      <c r="M272" s="14">
        <f t="shared" si="62"/>
        <v>9.8599041522929163</v>
      </c>
      <c r="N272" s="14">
        <f t="shared" si="63"/>
        <v>7.9579368298569744</v>
      </c>
      <c r="O272" s="14">
        <f t="shared" si="54"/>
        <v>7.9579368298569744</v>
      </c>
      <c r="P272" s="14">
        <f t="shared" si="55"/>
        <v>1</v>
      </c>
    </row>
    <row r="273" spans="1:16" x14ac:dyDescent="0.25">
      <c r="A273" s="14">
        <f t="shared" si="56"/>
        <v>1.2449999999999954</v>
      </c>
      <c r="B273" s="14">
        <f t="shared" si="48"/>
        <v>12.53151296677939</v>
      </c>
      <c r="C273" s="14">
        <f t="shared" si="49"/>
        <v>10.983609500958472</v>
      </c>
      <c r="D273" s="14">
        <f t="shared" si="50"/>
        <v>10.983609500958472</v>
      </c>
      <c r="E273" s="14">
        <f t="shared" si="51"/>
        <v>1</v>
      </c>
      <c r="F273" s="14">
        <f t="shared" si="52"/>
        <v>-1.3868530871973175</v>
      </c>
      <c r="G273" s="14">
        <f t="shared" si="57"/>
        <v>-1.383811920429217</v>
      </c>
      <c r="H273" s="14">
        <f t="shared" si="58"/>
        <v>9.1793541966375472E-2</v>
      </c>
      <c r="I273" s="14">
        <f t="shared" si="59"/>
        <v>6.6670008662971076</v>
      </c>
      <c r="J273" s="14">
        <f t="shared" si="53"/>
        <v>-0.49124768899265225</v>
      </c>
      <c r="K273" s="14">
        <f t="shared" si="60"/>
        <v>-4.2141357302251548</v>
      </c>
      <c r="L273" s="14">
        <f t="shared" si="61"/>
        <v>6.6850747821656418</v>
      </c>
      <c r="M273" s="14">
        <f t="shared" si="62"/>
        <v>9.8932391566244018</v>
      </c>
      <c r="N273" s="14">
        <f t="shared" si="63"/>
        <v>7.9554805914120115</v>
      </c>
      <c r="O273" s="14">
        <f t="shared" si="54"/>
        <v>7.9554805914120115</v>
      </c>
      <c r="P273" s="14">
        <f t="shared" si="55"/>
        <v>1</v>
      </c>
    </row>
    <row r="274" spans="1:16" x14ac:dyDescent="0.25">
      <c r="A274" s="14">
        <f t="shared" si="56"/>
        <v>1.2499999999999953</v>
      </c>
      <c r="B274" s="14">
        <f t="shared" si="48"/>
        <v>12.581840328091756</v>
      </c>
      <c r="C274" s="14">
        <f t="shared" si="49"/>
        <v>10.997095382488428</v>
      </c>
      <c r="D274" s="14">
        <f t="shared" si="50"/>
        <v>10.997095382488428</v>
      </c>
      <c r="E274" s="14">
        <f t="shared" si="51"/>
        <v>1</v>
      </c>
      <c r="F274" s="14">
        <f t="shared" si="52"/>
        <v>-1.385396970137557</v>
      </c>
      <c r="G274" s="14">
        <f t="shared" si="57"/>
        <v>-1.3816513802827377</v>
      </c>
      <c r="H274" s="14">
        <f t="shared" si="58"/>
        <v>0.10180485366193981</v>
      </c>
      <c r="I274" s="14">
        <f t="shared" si="59"/>
        <v>6.6600926093956936</v>
      </c>
      <c r="J274" s="14">
        <f t="shared" si="53"/>
        <v>-0.53973866472434251</v>
      </c>
      <c r="K274" s="14">
        <f t="shared" si="60"/>
        <v>-4.6331656990413075</v>
      </c>
      <c r="L274" s="14">
        <f t="shared" si="61"/>
        <v>6.6819272213879692</v>
      </c>
      <c r="M274" s="14">
        <f t="shared" si="62"/>
        <v>9.9265396196713809</v>
      </c>
      <c r="N274" s="14">
        <f t="shared" si="63"/>
        <v>7.9527818980883902</v>
      </c>
      <c r="O274" s="14">
        <f t="shared" si="54"/>
        <v>7.9527818980883902</v>
      </c>
      <c r="P274" s="14">
        <f t="shared" si="55"/>
        <v>1</v>
      </c>
    </row>
    <row r="275" spans="1:16" x14ac:dyDescent="0.25">
      <c r="A275" s="14">
        <f t="shared" si="56"/>
        <v>1.2549999999999952</v>
      </c>
      <c r="B275" s="14">
        <f t="shared" si="48"/>
        <v>12.632167689404122</v>
      </c>
      <c r="C275" s="14">
        <f t="shared" si="49"/>
        <v>11.010336264018379</v>
      </c>
      <c r="D275" s="14">
        <f t="shared" si="50"/>
        <v>11.010336264018379</v>
      </c>
      <c r="E275" s="14">
        <f t="shared" si="51"/>
        <v>1</v>
      </c>
      <c r="F275" s="14">
        <f t="shared" si="52"/>
        <v>-1.384092693149692</v>
      </c>
      <c r="G275" s="14">
        <f t="shared" si="57"/>
        <v>-1.3795698772142633</v>
      </c>
      <c r="H275" s="14">
        <f t="shared" si="58"/>
        <v>0.11180132876397252</v>
      </c>
      <c r="I275" s="14">
        <f t="shared" si="59"/>
        <v>6.6531947600096224</v>
      </c>
      <c r="J275" s="14">
        <f t="shared" si="53"/>
        <v>-0.58817965808052264</v>
      </c>
      <c r="K275" s="14">
        <f t="shared" si="60"/>
        <v>-5.0521332089784474</v>
      </c>
      <c r="L275" s="14">
        <f t="shared" si="61"/>
        <v>6.6791433451303632</v>
      </c>
      <c r="M275" s="14">
        <f t="shared" si="62"/>
        <v>9.9598055934714296</v>
      </c>
      <c r="N275" s="14">
        <f t="shared" si="63"/>
        <v>7.9498409997979875</v>
      </c>
      <c r="O275" s="14">
        <f t="shared" si="54"/>
        <v>7.9498409997979875</v>
      </c>
      <c r="P275" s="14">
        <f t="shared" si="55"/>
        <v>1</v>
      </c>
    </row>
    <row r="276" spans="1:16" x14ac:dyDescent="0.25">
      <c r="A276" s="14">
        <f t="shared" si="56"/>
        <v>1.2599999999999951</v>
      </c>
      <c r="B276" s="14">
        <f t="shared" si="48"/>
        <v>12.682495050716488</v>
      </c>
      <c r="C276" s="14">
        <f t="shared" si="49"/>
        <v>11.023332145548334</v>
      </c>
      <c r="D276" s="14">
        <f t="shared" si="50"/>
        <v>11.023332145548334</v>
      </c>
      <c r="E276" s="14">
        <f t="shared" si="51"/>
        <v>1</v>
      </c>
      <c r="F276" s="14">
        <f t="shared" si="52"/>
        <v>-1.3829396305687758</v>
      </c>
      <c r="G276" s="14">
        <f t="shared" si="57"/>
        <v>-1.3775668866604087</v>
      </c>
      <c r="H276" s="14">
        <f t="shared" si="58"/>
        <v>0.12178462371929684</v>
      </c>
      <c r="I276" s="14">
        <f t="shared" si="59"/>
        <v>6.6463069255763205</v>
      </c>
      <c r="J276" s="14">
        <f t="shared" si="53"/>
        <v>-0.63657073496192618</v>
      </c>
      <c r="K276" s="14">
        <f t="shared" si="60"/>
        <v>-5.4709930782308032</v>
      </c>
      <c r="L276" s="14">
        <f t="shared" si="61"/>
        <v>6.6767221036653703</v>
      </c>
      <c r="M276" s="14">
        <f t="shared" si="62"/>
        <v>9.9930371280993118</v>
      </c>
      <c r="N276" s="14">
        <f t="shared" si="63"/>
        <v>7.9466581461231778</v>
      </c>
      <c r="O276" s="14">
        <f t="shared" si="54"/>
        <v>7.9466581461231778</v>
      </c>
      <c r="P276" s="14">
        <f t="shared" si="55"/>
        <v>1</v>
      </c>
    </row>
    <row r="277" spans="1:16" x14ac:dyDescent="0.25">
      <c r="A277" s="14">
        <f t="shared" si="56"/>
        <v>1.264999999999995</v>
      </c>
      <c r="B277" s="14">
        <f t="shared" si="48"/>
        <v>12.732822412028854</v>
      </c>
      <c r="C277" s="14">
        <f t="shared" si="49"/>
        <v>11.036083027078288</v>
      </c>
      <c r="D277" s="14">
        <f t="shared" si="50"/>
        <v>11.036083027078288</v>
      </c>
      <c r="E277" s="14">
        <f t="shared" si="51"/>
        <v>1</v>
      </c>
      <c r="F277" s="14">
        <f t="shared" si="52"/>
        <v>-1.3819371595367855</v>
      </c>
      <c r="G277" s="14">
        <f t="shared" si="57"/>
        <v>-1.3756418750899291</v>
      </c>
      <c r="H277" s="14">
        <f t="shared" si="58"/>
        <v>0.13175638279667087</v>
      </c>
      <c r="I277" s="14">
        <f t="shared" si="59"/>
        <v>6.6394287162008707</v>
      </c>
      <c r="J277" s="14">
        <f t="shared" si="53"/>
        <v>-0.68491195304794283</v>
      </c>
      <c r="K277" s="14">
        <f t="shared" si="60"/>
        <v>-5.8897002181548279</v>
      </c>
      <c r="L277" s="14">
        <f t="shared" si="61"/>
        <v>6.6746623930308777</v>
      </c>
      <c r="M277" s="14">
        <f t="shared" si="62"/>
        <v>10.026234271680316</v>
      </c>
      <c r="N277" s="14">
        <f t="shared" si="63"/>
        <v>7.9432335863579384</v>
      </c>
      <c r="O277" s="14">
        <f t="shared" si="54"/>
        <v>7.9432335863579384</v>
      </c>
      <c r="P277" s="14">
        <f t="shared" si="55"/>
        <v>1</v>
      </c>
    </row>
    <row r="278" spans="1:16" x14ac:dyDescent="0.25">
      <c r="A278" s="14">
        <f t="shared" si="56"/>
        <v>1.2699999999999949</v>
      </c>
      <c r="B278" s="14">
        <f t="shared" si="48"/>
        <v>12.78314977334122</v>
      </c>
      <c r="C278" s="14">
        <f t="shared" si="49"/>
        <v>11.048588908608242</v>
      </c>
      <c r="D278" s="14">
        <f t="shared" si="50"/>
        <v>11.048588908608242</v>
      </c>
      <c r="E278" s="14">
        <f t="shared" si="51"/>
        <v>1</v>
      </c>
      <c r="F278" s="14">
        <f t="shared" si="52"/>
        <v>-1.3810846598891611</v>
      </c>
      <c r="G278" s="14">
        <f t="shared" si="57"/>
        <v>-1.3737943000602919</v>
      </c>
      <c r="H278" s="14">
        <f t="shared" si="58"/>
        <v>0.14171823772193945</v>
      </c>
      <c r="I278" s="14">
        <f t="shared" si="59"/>
        <v>6.6325597447005693</v>
      </c>
      <c r="J278" s="14">
        <f t="shared" si="53"/>
        <v>-0.7332033618593331</v>
      </c>
      <c r="K278" s="14">
        <f t="shared" si="60"/>
        <v>-6.3082096621186157</v>
      </c>
      <c r="L278" s="14">
        <f t="shared" si="61"/>
        <v>6.6729630552599577</v>
      </c>
      <c r="M278" s="14">
        <f t="shared" si="62"/>
        <v>10.059397070403818</v>
      </c>
      <c r="N278" s="14">
        <f t="shared" si="63"/>
        <v>7.9395675695486414</v>
      </c>
      <c r="O278" s="14">
        <f t="shared" si="54"/>
        <v>7.9395675695486414</v>
      </c>
      <c r="P278" s="14">
        <f t="shared" si="55"/>
        <v>1</v>
      </c>
    </row>
    <row r="279" spans="1:16" x14ac:dyDescent="0.25">
      <c r="A279" s="14">
        <f t="shared" si="56"/>
        <v>1.2749999999999948</v>
      </c>
      <c r="B279" s="14">
        <f t="shared" si="48"/>
        <v>12.833477134653586</v>
      </c>
      <c r="C279" s="14">
        <f t="shared" si="49"/>
        <v>11.060849790138196</v>
      </c>
      <c r="D279" s="14">
        <f t="shared" si="50"/>
        <v>11.060849790138196</v>
      </c>
      <c r="E279" s="14">
        <f t="shared" si="51"/>
        <v>1</v>
      </c>
      <c r="F279" s="14">
        <f t="shared" si="52"/>
        <v>-1.3803815140427937</v>
      </c>
      <c r="G279" s="14">
        <f t="shared" si="57"/>
        <v>-1.3720236102839309</v>
      </c>
      <c r="H279" s="14">
        <f t="shared" si="58"/>
        <v>0.15167180731607158</v>
      </c>
      <c r="I279" s="14">
        <f t="shared" si="59"/>
        <v>6.6256996266491495</v>
      </c>
      <c r="J279" s="14">
        <f t="shared" si="53"/>
        <v>-0.78144500282275275</v>
      </c>
      <c r="K279" s="14">
        <f t="shared" si="60"/>
        <v>-6.7264765941518281</v>
      </c>
      <c r="L279" s="14">
        <f t="shared" si="61"/>
        <v>6.6716228786566862</v>
      </c>
      <c r="M279" s="14">
        <f t="shared" si="62"/>
        <v>10.092525568537065</v>
      </c>
      <c r="N279" s="14">
        <f t="shared" si="63"/>
        <v>7.9356603445345275</v>
      </c>
      <c r="O279" s="14">
        <f t="shared" si="54"/>
        <v>7.9356603445345275</v>
      </c>
      <c r="P279" s="14">
        <f t="shared" si="55"/>
        <v>1</v>
      </c>
    </row>
    <row r="280" spans="1:16" x14ac:dyDescent="0.25">
      <c r="A280" s="14">
        <f t="shared" si="56"/>
        <v>1.2799999999999947</v>
      </c>
      <c r="B280" s="14">
        <f t="shared" ref="B280:B343" si="64">IF(E280=0,B279,$B$19*A280)</f>
        <v>12.883804495965952</v>
      </c>
      <c r="C280" s="14">
        <f t="shared" si="49"/>
        <v>11.072865671668149</v>
      </c>
      <c r="D280" s="14">
        <f t="shared" si="50"/>
        <v>11.072865671668149</v>
      </c>
      <c r="E280" s="14">
        <f t="shared" si="51"/>
        <v>1</v>
      </c>
      <c r="F280" s="14">
        <f t="shared" si="52"/>
        <v>-1.3798271068854751</v>
      </c>
      <c r="G280" s="14">
        <f t="shared" si="57"/>
        <v>-1.3703292457040452</v>
      </c>
      <c r="H280" s="14">
        <f t="shared" si="58"/>
        <v>0.16161869713657068</v>
      </c>
      <c r="I280" s="14">
        <f t="shared" si="59"/>
        <v>6.6188479804206288</v>
      </c>
      <c r="J280" s="14">
        <f t="shared" si="53"/>
        <v>-0.82963690933706991</v>
      </c>
      <c r="K280" s="14">
        <f t="shared" si="60"/>
        <v>-7.1444563773506768</v>
      </c>
      <c r="L280" s="14">
        <f t="shared" si="61"/>
        <v>6.6706405981174406</v>
      </c>
      <c r="M280" s="14">
        <f t="shared" si="62"/>
        <v>10.125619808439168</v>
      </c>
      <c r="N280" s="14">
        <f t="shared" si="63"/>
        <v>7.9315121599878422</v>
      </c>
      <c r="O280" s="14">
        <f t="shared" si="54"/>
        <v>7.9315121599878422</v>
      </c>
      <c r="P280" s="14">
        <f t="shared" si="55"/>
        <v>1</v>
      </c>
    </row>
    <row r="281" spans="1:16" x14ac:dyDescent="0.25">
      <c r="A281" s="14">
        <f t="shared" si="56"/>
        <v>1.2849999999999946</v>
      </c>
      <c r="B281" s="14">
        <f t="shared" si="64"/>
        <v>12.934131857278318</v>
      </c>
      <c r="C281" s="14">
        <f t="shared" ref="C281:C344" si="65">$B$20*A281+0.5*$B$16*A281^2+$B$17</f>
        <v>11.084636553198104</v>
      </c>
      <c r="D281" s="14">
        <f t="shared" ref="D281:D312" si="66">IF(E281=1,C281,$B$18)</f>
        <v>11.084636553198104</v>
      </c>
      <c r="E281" s="14">
        <f t="shared" ref="E281:E320" si="67">IF(AND(C282-C281&lt;0,C281&lt;$B$18),0,1)</f>
        <v>1</v>
      </c>
      <c r="F281" s="14">
        <f t="shared" ref="F281:F344" si="68">-$E$13*L280^2</f>
        <v>-1.3794208256668308</v>
      </c>
      <c r="G281" s="14">
        <f t="shared" si="57"/>
        <v>-1.3687106375798057</v>
      </c>
      <c r="H281" s="14">
        <f t="shared" si="58"/>
        <v>0.17156049912273666</v>
      </c>
      <c r="I281" s="14">
        <f t="shared" si="59"/>
        <v>6.6120044272327299</v>
      </c>
      <c r="J281" s="14">
        <f t="shared" ref="J281:J344" si="69">J280+(H281+$B$16)*$A$22</f>
        <v>-0.87777910684145621</v>
      </c>
      <c r="K281" s="14">
        <f t="shared" si="60"/>
        <v>-7.5621045819932347</v>
      </c>
      <c r="L281" s="14">
        <f t="shared" si="61"/>
        <v>6.6700148954970562</v>
      </c>
      <c r="M281" s="14">
        <f t="shared" si="62"/>
        <v>10.158679830575332</v>
      </c>
      <c r="N281" s="14">
        <f t="shared" si="63"/>
        <v>7.9271232644536349</v>
      </c>
      <c r="O281" s="14">
        <f t="shared" ref="O281:O312" si="70">IF(P281=1,N281,$B$18)</f>
        <v>7.9271232644536349</v>
      </c>
      <c r="P281" s="14">
        <f t="shared" ref="P281:P319" si="71">IF(AND(N282-N281&lt;0,N281&lt;$B$18),0,1)</f>
        <v>1</v>
      </c>
    </row>
    <row r="282" spans="1:16" x14ac:dyDescent="0.25">
      <c r="A282" s="14">
        <f t="shared" ref="A282:A319" si="72">A281+$A$22</f>
        <v>1.2899999999999945</v>
      </c>
      <c r="B282" s="14">
        <f t="shared" si="64"/>
        <v>12.984459218590684</v>
      </c>
      <c r="C282" s="14">
        <f t="shared" si="65"/>
        <v>11.096162434728056</v>
      </c>
      <c r="D282" s="14">
        <f t="shared" si="66"/>
        <v>11.096162434728056</v>
      </c>
      <c r="E282" s="14">
        <f t="shared" si="67"/>
        <v>1</v>
      </c>
      <c r="F282" s="14">
        <f t="shared" si="68"/>
        <v>-1.3791620598907306</v>
      </c>
      <c r="G282" s="14">
        <f t="shared" ref="G282:G319" si="73">$F282*COS(PI()/180*$K281)</f>
        <v>-1.3671672085807782</v>
      </c>
      <c r="H282" s="14">
        <f t="shared" ref="H282:H319" si="74">$F282*SIN(PI()/180*$K281)</f>
        <v>0.18149879124524704</v>
      </c>
      <c r="I282" s="14">
        <f t="shared" ref="I282:I319" si="75">I281+G282*$A$22</f>
        <v>6.6051685911898259</v>
      </c>
      <c r="J282" s="14">
        <f t="shared" si="69"/>
        <v>-0.92587161288523001</v>
      </c>
      <c r="K282" s="14">
        <f t="shared" ref="K282:K319" si="76">180/PI()*ATAN(J282/I282)</f>
        <v>-7.9793770133212378</v>
      </c>
      <c r="L282" s="14">
        <f t="shared" ref="L282:L319" si="77">SQRT(I282^2+J282^2)</f>
        <v>6.6697444000191854</v>
      </c>
      <c r="M282" s="14">
        <f t="shared" ref="M282:M345" si="78">IF(P282=0,M281,M281+I282*$A$22)</f>
        <v>10.191705673531281</v>
      </c>
      <c r="N282" s="14">
        <f t="shared" ref="N282:N319" si="79">N281+J282*$A$22</f>
        <v>7.9224939063892084</v>
      </c>
      <c r="O282" s="14">
        <f t="shared" si="70"/>
        <v>7.9224939063892084</v>
      </c>
      <c r="P282" s="14">
        <f t="shared" si="71"/>
        <v>1</v>
      </c>
    </row>
    <row r="283" spans="1:16" x14ac:dyDescent="0.25">
      <c r="A283" s="14">
        <f t="shared" si="72"/>
        <v>1.2949999999999944</v>
      </c>
      <c r="B283" s="14">
        <f t="shared" si="64"/>
        <v>13.03478657990305</v>
      </c>
      <c r="C283" s="14">
        <f t="shared" si="65"/>
        <v>11.107443316258012</v>
      </c>
      <c r="D283" s="14">
        <f t="shared" si="66"/>
        <v>11.107443316258012</v>
      </c>
      <c r="E283" s="14">
        <f t="shared" si="67"/>
        <v>1</v>
      </c>
      <c r="F283" s="14">
        <f t="shared" si="68"/>
        <v>-1.3790502012092056</v>
      </c>
      <c r="G283" s="14">
        <f t="shared" si="73"/>
        <v>-1.3656983728903993</v>
      </c>
      <c r="H283" s="14">
        <f t="shared" si="74"/>
        <v>0.19143513716051774</v>
      </c>
      <c r="I283" s="14">
        <f t="shared" si="75"/>
        <v>6.598340099325374</v>
      </c>
      <c r="J283" s="14">
        <f t="shared" si="69"/>
        <v>-0.97391443719942739</v>
      </c>
      <c r="K283" s="14">
        <f t="shared" si="76"/>
        <v>-8.3962297389454825</v>
      </c>
      <c r="L283" s="14">
        <f t="shared" si="77"/>
        <v>6.6698276887300967</v>
      </c>
      <c r="M283" s="14">
        <f t="shared" si="78"/>
        <v>10.224697374027908</v>
      </c>
      <c r="N283" s="14">
        <f t="shared" si="79"/>
        <v>7.9176243342032109</v>
      </c>
      <c r="O283" s="14">
        <f t="shared" si="70"/>
        <v>7.9176243342032109</v>
      </c>
      <c r="P283" s="14">
        <f t="shared" si="71"/>
        <v>1</v>
      </c>
    </row>
    <row r="284" spans="1:16" x14ac:dyDescent="0.25">
      <c r="A284" s="14">
        <f t="shared" si="72"/>
        <v>1.2999999999999943</v>
      </c>
      <c r="B284" s="14">
        <f t="shared" si="64"/>
        <v>13.085113941215416</v>
      </c>
      <c r="C284" s="14">
        <f t="shared" si="65"/>
        <v>11.118479197787963</v>
      </c>
      <c r="D284" s="14">
        <f t="shared" si="66"/>
        <v>11.118479197787963</v>
      </c>
      <c r="E284" s="14">
        <f t="shared" si="67"/>
        <v>1</v>
      </c>
      <c r="F284" s="14">
        <f t="shared" si="68"/>
        <v>-1.3790846433178705</v>
      </c>
      <c r="G284" s="14">
        <f t="shared" si="73"/>
        <v>-1.3643035363182927</v>
      </c>
      <c r="H284" s="14">
        <f t="shared" si="74"/>
        <v>0.20137108587028862</v>
      </c>
      <c r="I284" s="14">
        <f t="shared" si="75"/>
        <v>6.5915185816437827</v>
      </c>
      <c r="J284" s="14">
        <f t="shared" si="69"/>
        <v>-1.021907581770076</v>
      </c>
      <c r="K284" s="14">
        <f t="shared" si="76"/>
        <v>-8.8126191158330975</v>
      </c>
      <c r="L284" s="14">
        <f t="shared" si="77"/>
        <v>6.6702632869950813</v>
      </c>
      <c r="M284" s="14">
        <f t="shared" si="78"/>
        <v>10.257654966936126</v>
      </c>
      <c r="N284" s="14">
        <f t="shared" si="79"/>
        <v>7.9125147962943609</v>
      </c>
      <c r="O284" s="14">
        <f t="shared" si="70"/>
        <v>7.9125147962943609</v>
      </c>
      <c r="P284" s="14">
        <f t="shared" si="71"/>
        <v>1</v>
      </c>
    </row>
    <row r="285" spans="1:16" x14ac:dyDescent="0.25">
      <c r="A285" s="14">
        <f t="shared" si="72"/>
        <v>1.3049999999999942</v>
      </c>
      <c r="B285" s="14">
        <f t="shared" si="64"/>
        <v>13.135441302527783</v>
      </c>
      <c r="C285" s="14">
        <f t="shared" si="65"/>
        <v>11.129270079317919</v>
      </c>
      <c r="D285" s="14">
        <f t="shared" si="66"/>
        <v>11.129270079317919</v>
      </c>
      <c r="E285" s="14">
        <f t="shared" si="67"/>
        <v>1</v>
      </c>
      <c r="F285" s="14">
        <f t="shared" si="68"/>
        <v>-1.3792647818528674</v>
      </c>
      <c r="G285" s="14">
        <f t="shared" si="73"/>
        <v>-1.3629820964212169</v>
      </c>
      <c r="H285" s="14">
        <f t="shared" si="74"/>
        <v>0.21130817138686878</v>
      </c>
      <c r="I285" s="14">
        <f t="shared" si="75"/>
        <v>6.5847036711616767</v>
      </c>
      <c r="J285" s="14">
        <f t="shared" si="69"/>
        <v>-1.0698510409131416</v>
      </c>
      <c r="K285" s="14">
        <f t="shared" si="76"/>
        <v>-9.2285018168361415</v>
      </c>
      <c r="L285" s="14">
        <f t="shared" si="77"/>
        <v>6.6710496690365746</v>
      </c>
      <c r="M285" s="14">
        <f t="shared" si="78"/>
        <v>10.290578485291935</v>
      </c>
      <c r="N285" s="14">
        <f t="shared" si="79"/>
        <v>7.9071655410897952</v>
      </c>
      <c r="O285" s="14">
        <f t="shared" si="70"/>
        <v>7.9071655410897952</v>
      </c>
      <c r="P285" s="14">
        <f t="shared" si="71"/>
        <v>1</v>
      </c>
    </row>
    <row r="286" spans="1:16" x14ac:dyDescent="0.25">
      <c r="A286" s="14">
        <f t="shared" si="72"/>
        <v>1.3099999999999941</v>
      </c>
      <c r="B286" s="14">
        <f t="shared" si="64"/>
        <v>13.185768663840149</v>
      </c>
      <c r="C286" s="14">
        <f t="shared" si="65"/>
        <v>11.139815960847873</v>
      </c>
      <c r="D286" s="14">
        <f t="shared" si="66"/>
        <v>11.139815960847873</v>
      </c>
      <c r="E286" s="14">
        <f t="shared" si="67"/>
        <v>1</v>
      </c>
      <c r="F286" s="14">
        <f t="shared" si="68"/>
        <v>-1.3795900142893427</v>
      </c>
      <c r="G286" s="14">
        <f t="shared" si="73"/>
        <v>-1.3617334426324175</v>
      </c>
      <c r="H286" s="14">
        <f t="shared" si="74"/>
        <v>0.22124791240446351</v>
      </c>
      <c r="I286" s="14">
        <f t="shared" si="75"/>
        <v>6.5778950039485142</v>
      </c>
      <c r="J286" s="14">
        <f t="shared" si="69"/>
        <v>-1.1177448013511193</v>
      </c>
      <c r="K286" s="14">
        <f t="shared" si="76"/>
        <v>-9.6438348567223589</v>
      </c>
      <c r="L286" s="14">
        <f t="shared" si="77"/>
        <v>6.6721852585130064</v>
      </c>
      <c r="M286" s="14">
        <f t="shared" si="78"/>
        <v>10.323467960311676</v>
      </c>
      <c r="N286" s="14">
        <f t="shared" si="79"/>
        <v>7.9015768170830398</v>
      </c>
      <c r="O286" s="14">
        <f t="shared" si="70"/>
        <v>7.9015768170830398</v>
      </c>
      <c r="P286" s="14">
        <f t="shared" si="71"/>
        <v>1</v>
      </c>
    </row>
    <row r="287" spans="1:16" x14ac:dyDescent="0.25">
      <c r="A287" s="14">
        <f t="shared" si="72"/>
        <v>1.314999999999994</v>
      </c>
      <c r="B287" s="14">
        <f t="shared" si="64"/>
        <v>13.236096025152515</v>
      </c>
      <c r="C287" s="14">
        <f t="shared" si="65"/>
        <v>11.150116842377825</v>
      </c>
      <c r="D287" s="14">
        <f t="shared" si="66"/>
        <v>11.150116842377825</v>
      </c>
      <c r="E287" s="14">
        <f t="shared" si="67"/>
        <v>1</v>
      </c>
      <c r="F287" s="14">
        <f t="shared" si="68"/>
        <v>-1.3800597398414665</v>
      </c>
      <c r="G287" s="14">
        <f t="shared" si="73"/>
        <v>-1.3605569563991404</v>
      </c>
      <c r="H287" s="14">
        <f t="shared" si="74"/>
        <v>0.23119181197698907</v>
      </c>
      <c r="I287" s="14">
        <f t="shared" si="75"/>
        <v>6.5710922191665189</v>
      </c>
      <c r="J287" s="14">
        <f t="shared" si="69"/>
        <v>-1.1655888422912344</v>
      </c>
      <c r="K287" s="14">
        <f t="shared" si="76"/>
        <v>-10.058575617670327</v>
      </c>
      <c r="L287" s="14">
        <f t="shared" si="77"/>
        <v>6.6736684291373507</v>
      </c>
      <c r="M287" s="14">
        <f t="shared" si="78"/>
        <v>10.356323421407509</v>
      </c>
      <c r="N287" s="14">
        <f t="shared" si="79"/>
        <v>7.8957488728715832</v>
      </c>
      <c r="O287" s="14">
        <f t="shared" si="70"/>
        <v>7.8957488728715832</v>
      </c>
      <c r="P287" s="14">
        <f t="shared" si="71"/>
        <v>1</v>
      </c>
    </row>
    <row r="288" spans="1:16" x14ac:dyDescent="0.25">
      <c r="A288" s="14">
        <f t="shared" si="72"/>
        <v>1.3199999999999938</v>
      </c>
      <c r="B288" s="14">
        <f t="shared" si="64"/>
        <v>13.286423386464881</v>
      </c>
      <c r="C288" s="14">
        <f t="shared" si="65"/>
        <v>11.160172723907781</v>
      </c>
      <c r="D288" s="14">
        <f t="shared" si="66"/>
        <v>11.160172723907781</v>
      </c>
      <c r="E288" s="14">
        <f t="shared" si="67"/>
        <v>1</v>
      </c>
      <c r="F288" s="14">
        <f t="shared" si="68"/>
        <v>-1.3806733593640024</v>
      </c>
      <c r="G288" s="14">
        <f t="shared" si="73"/>
        <v>-1.3594520113280526</v>
      </c>
      <c r="H288" s="14">
        <f t="shared" si="74"/>
        <v>0.24114135720276672</v>
      </c>
      <c r="I288" s="14">
        <f t="shared" si="75"/>
        <v>6.5642949591098789</v>
      </c>
      <c r="J288" s="14">
        <f t="shared" si="69"/>
        <v>-1.2133831355052205</v>
      </c>
      <c r="K288" s="14">
        <f t="shared" si="76"/>
        <v>-10.472681874192819</v>
      </c>
      <c r="L288" s="14">
        <f t="shared" si="77"/>
        <v>6.6754975053342536</v>
      </c>
      <c r="M288" s="14">
        <f t="shared" si="78"/>
        <v>10.389144896203058</v>
      </c>
      <c r="N288" s="14">
        <f t="shared" si="79"/>
        <v>7.8896819571940568</v>
      </c>
      <c r="O288" s="14">
        <f t="shared" si="70"/>
        <v>7.8896819571940568</v>
      </c>
      <c r="P288" s="14">
        <f t="shared" si="71"/>
        <v>1</v>
      </c>
    </row>
    <row r="289" spans="1:16" x14ac:dyDescent="0.25">
      <c r="A289" s="14">
        <f t="shared" si="72"/>
        <v>1.3249999999999937</v>
      </c>
      <c r="B289" s="14">
        <f t="shared" si="64"/>
        <v>13.336750747777247</v>
      </c>
      <c r="C289" s="14">
        <f t="shared" si="65"/>
        <v>11.169983605437732</v>
      </c>
      <c r="D289" s="14">
        <f t="shared" si="66"/>
        <v>11.169983605437732</v>
      </c>
      <c r="E289" s="14">
        <f t="shared" si="67"/>
        <v>1</v>
      </c>
      <c r="F289" s="14">
        <f t="shared" si="68"/>
        <v>-1.381430275255439</v>
      </c>
      <c r="G289" s="14">
        <f t="shared" si="73"/>
        <v>-1.3584179733383024</v>
      </c>
      <c r="H289" s="14">
        <f t="shared" si="74"/>
        <v>0.25109801891647238</v>
      </c>
      <c r="I289" s="14">
        <f t="shared" si="75"/>
        <v>6.5575028692431871</v>
      </c>
      <c r="J289" s="14">
        <f t="shared" si="69"/>
        <v>-1.2611276454106382</v>
      </c>
      <c r="K289" s="14">
        <f t="shared" si="76"/>
        <v>-10.88611181745379</v>
      </c>
      <c r="L289" s="14">
        <f t="shared" si="77"/>
        <v>6.6776707629346044</v>
      </c>
      <c r="M289" s="14">
        <f t="shared" si="78"/>
        <v>10.421932410549275</v>
      </c>
      <c r="N289" s="14">
        <f t="shared" si="79"/>
        <v>7.8833763189670041</v>
      </c>
      <c r="O289" s="14">
        <f t="shared" si="70"/>
        <v>7.8833763189670041</v>
      </c>
      <c r="P289" s="14">
        <f t="shared" si="71"/>
        <v>1</v>
      </c>
    </row>
    <row r="290" spans="1:16" x14ac:dyDescent="0.25">
      <c r="A290" s="14">
        <f t="shared" si="72"/>
        <v>1.3299999999999936</v>
      </c>
      <c r="B290" s="14">
        <f t="shared" si="64"/>
        <v>13.387078109089613</v>
      </c>
      <c r="C290" s="14">
        <f t="shared" si="65"/>
        <v>11.179549486967687</v>
      </c>
      <c r="D290" s="14">
        <f t="shared" si="66"/>
        <v>11.179549486967687</v>
      </c>
      <c r="E290" s="14">
        <f t="shared" si="67"/>
        <v>1</v>
      </c>
      <c r="F290" s="14">
        <f t="shared" si="68"/>
        <v>-1.3823298913627002</v>
      </c>
      <c r="G290" s="14">
        <f t="shared" si="73"/>
        <v>-1.3574542008219554</v>
      </c>
      <c r="H290" s="14">
        <f t="shared" si="74"/>
        <v>0.26106325138870251</v>
      </c>
      <c r="I290" s="14">
        <f t="shared" si="75"/>
        <v>6.5507155982390772</v>
      </c>
      <c r="J290" s="14">
        <f t="shared" si="69"/>
        <v>-1.3088223291536947</v>
      </c>
      <c r="K290" s="14">
        <f t="shared" si="76"/>
        <v>-11.29882407894614</v>
      </c>
      <c r="L290" s="14">
        <f t="shared" si="77"/>
        <v>6.6801864299062839</v>
      </c>
      <c r="M290" s="14">
        <f t="shared" si="78"/>
        <v>10.45468598854047</v>
      </c>
      <c r="N290" s="14">
        <f t="shared" si="79"/>
        <v>7.876832207321236</v>
      </c>
      <c r="O290" s="14">
        <f t="shared" si="70"/>
        <v>7.876832207321236</v>
      </c>
      <c r="P290" s="14">
        <f t="shared" si="71"/>
        <v>1</v>
      </c>
    </row>
    <row r="291" spans="1:16" x14ac:dyDescent="0.25">
      <c r="A291" s="14">
        <f t="shared" si="72"/>
        <v>1.3349999999999935</v>
      </c>
      <c r="B291" s="14">
        <f t="shared" si="64"/>
        <v>13.437405470401981</v>
      </c>
      <c r="C291" s="14">
        <f t="shared" si="65"/>
        <v>11.188870368497639</v>
      </c>
      <c r="D291" s="14">
        <f t="shared" si="66"/>
        <v>11.188870368497639</v>
      </c>
      <c r="E291" s="14">
        <f t="shared" si="67"/>
        <v>1</v>
      </c>
      <c r="F291" s="14">
        <f t="shared" si="68"/>
        <v>-1.3833716128874258</v>
      </c>
      <c r="G291" s="14">
        <f t="shared" si="73"/>
        <v>-1.3565600448114954</v>
      </c>
      <c r="H291" s="14">
        <f t="shared" si="74"/>
        <v>0.27103849203349623</v>
      </c>
      <c r="I291" s="14">
        <f t="shared" si="75"/>
        <v>6.5439327980150201</v>
      </c>
      <c r="J291" s="14">
        <f t="shared" si="69"/>
        <v>-1.3564671366935273</v>
      </c>
      <c r="K291" s="14">
        <f t="shared" si="76"/>
        <v>-11.710777753499196</v>
      </c>
      <c r="L291" s="14">
        <f t="shared" si="77"/>
        <v>6.6830426871198592</v>
      </c>
      <c r="M291" s="14">
        <f t="shared" si="78"/>
        <v>10.487405652530546</v>
      </c>
      <c r="N291" s="14">
        <f t="shared" si="79"/>
        <v>7.870049871637768</v>
      </c>
      <c r="O291" s="14">
        <f t="shared" si="70"/>
        <v>7.870049871637768</v>
      </c>
      <c r="P291" s="14">
        <f t="shared" si="71"/>
        <v>1</v>
      </c>
    </row>
    <row r="292" spans="1:16" x14ac:dyDescent="0.25">
      <c r="A292" s="14">
        <f t="shared" si="72"/>
        <v>1.3399999999999934</v>
      </c>
      <c r="B292" s="14">
        <f t="shared" si="64"/>
        <v>13.487732831714347</v>
      </c>
      <c r="C292" s="14">
        <f t="shared" si="65"/>
        <v>11.197946250027595</v>
      </c>
      <c r="D292" s="14">
        <f t="shared" si="66"/>
        <v>11.197946250027595</v>
      </c>
      <c r="E292" s="14">
        <f t="shared" si="67"/>
        <v>1</v>
      </c>
      <c r="F292" s="14">
        <f t="shared" si="68"/>
        <v>-1.3845548462938531</v>
      </c>
      <c r="G292" s="14">
        <f t="shared" si="73"/>
        <v>-1.3557348491541203</v>
      </c>
      <c r="H292" s="14">
        <f t="shared" si="74"/>
        <v>0.28102516112414089</v>
      </c>
      <c r="I292" s="14">
        <f t="shared" si="75"/>
        <v>6.5371541237692492</v>
      </c>
      <c r="J292" s="14">
        <f t="shared" si="69"/>
        <v>-1.4040620108879065</v>
      </c>
      <c r="K292" s="14">
        <f t="shared" si="76"/>
        <v>-12.121932421586678</v>
      </c>
      <c r="L292" s="14">
        <f t="shared" si="77"/>
        <v>6.6862376691478662</v>
      </c>
      <c r="M292" s="14">
        <f t="shared" si="78"/>
        <v>10.520091423149392</v>
      </c>
      <c r="N292" s="14">
        <f t="shared" si="79"/>
        <v>7.8630295615833283</v>
      </c>
      <c r="O292" s="14">
        <f t="shared" si="70"/>
        <v>7.8630295615833283</v>
      </c>
      <c r="P292" s="14">
        <f t="shared" si="71"/>
        <v>1</v>
      </c>
    </row>
    <row r="293" spans="1:16" x14ac:dyDescent="0.25">
      <c r="A293" s="14">
        <f t="shared" si="72"/>
        <v>1.3449999999999933</v>
      </c>
      <c r="B293" s="14">
        <f t="shared" si="64"/>
        <v>13.538060193026713</v>
      </c>
      <c r="C293" s="14">
        <f t="shared" si="65"/>
        <v>11.20677713155755</v>
      </c>
      <c r="D293" s="14">
        <f t="shared" si="66"/>
        <v>11.20677713155755</v>
      </c>
      <c r="E293" s="14">
        <f t="shared" si="67"/>
        <v>1</v>
      </c>
      <c r="F293" s="14">
        <f t="shared" si="68"/>
        <v>-1.3858789992182887</v>
      </c>
      <c r="G293" s="14">
        <f t="shared" si="73"/>
        <v>-1.3549779506925093</v>
      </c>
      <c r="H293" s="14">
        <f t="shared" si="74"/>
        <v>0.2910246615175649</v>
      </c>
      <c r="I293" s="14">
        <f t="shared" si="75"/>
        <v>6.5303792340157862</v>
      </c>
      <c r="J293" s="14">
        <f t="shared" si="69"/>
        <v>-1.4516068875803187</v>
      </c>
      <c r="K293" s="14">
        <f t="shared" si="76"/>
        <v>-12.532248170907893</v>
      </c>
      <c r="L293" s="14">
        <f t="shared" si="77"/>
        <v>6.6897694650963295</v>
      </c>
      <c r="M293" s="14">
        <f t="shared" si="78"/>
        <v>10.55274331931947</v>
      </c>
      <c r="N293" s="14">
        <f t="shared" si="79"/>
        <v>7.8557715271454267</v>
      </c>
      <c r="O293" s="14">
        <f t="shared" si="70"/>
        <v>7.8557715271454267</v>
      </c>
      <c r="P293" s="14">
        <f t="shared" si="71"/>
        <v>1</v>
      </c>
    </row>
    <row r="294" spans="1:16" x14ac:dyDescent="0.25">
      <c r="A294" s="14">
        <f t="shared" si="72"/>
        <v>1.3499999999999932</v>
      </c>
      <c r="B294" s="14">
        <f t="shared" si="64"/>
        <v>13.588387554339079</v>
      </c>
      <c r="C294" s="14">
        <f t="shared" si="65"/>
        <v>11.215363013087503</v>
      </c>
      <c r="D294" s="14">
        <f t="shared" si="66"/>
        <v>11.215363013087503</v>
      </c>
      <c r="E294" s="14">
        <f t="shared" si="67"/>
        <v>1</v>
      </c>
      <c r="F294" s="14">
        <f t="shared" si="68"/>
        <v>-1.3873434803801923</v>
      </c>
      <c r="G294" s="14">
        <f t="shared" si="73"/>
        <v>-1.354288679451757</v>
      </c>
      <c r="H294" s="14">
        <f t="shared" si="74"/>
        <v>0.3010383783876085</v>
      </c>
      <c r="I294" s="14">
        <f t="shared" si="75"/>
        <v>6.5236077906185272</v>
      </c>
      <c r="J294" s="14">
        <f t="shared" si="69"/>
        <v>-1.4991016956883807</v>
      </c>
      <c r="K294" s="14">
        <f t="shared" si="76"/>
        <v>-12.941685617216807</v>
      </c>
      <c r="L294" s="14">
        <f t="shared" si="77"/>
        <v>6.6936361194670964</v>
      </c>
      <c r="M294" s="14">
        <f t="shared" si="78"/>
        <v>10.585361358272563</v>
      </c>
      <c r="N294" s="14">
        <f t="shared" si="79"/>
        <v>7.8482760186669847</v>
      </c>
      <c r="O294" s="14">
        <f t="shared" si="70"/>
        <v>7.8482760186669847</v>
      </c>
      <c r="P294" s="14">
        <f t="shared" si="71"/>
        <v>1</v>
      </c>
    </row>
    <row r="295" spans="1:16" x14ac:dyDescent="0.25">
      <c r="A295" s="14">
        <f t="shared" si="72"/>
        <v>1.3549999999999931</v>
      </c>
      <c r="B295" s="14">
        <f t="shared" si="64"/>
        <v>13.638714915651445</v>
      </c>
      <c r="C295" s="14">
        <f t="shared" si="65"/>
        <v>11.223703894617458</v>
      </c>
      <c r="D295" s="14">
        <f t="shared" si="66"/>
        <v>11.223703894617458</v>
      </c>
      <c r="E295" s="14">
        <f t="shared" si="67"/>
        <v>1</v>
      </c>
      <c r="F295" s="14">
        <f t="shared" si="68"/>
        <v>-1.3889476994948704</v>
      </c>
      <c r="G295" s="14">
        <f t="shared" si="73"/>
        <v>-1.3536663588321549</v>
      </c>
      <c r="H295" s="14">
        <f t="shared" si="74"/>
        <v>0.31106767896743764</v>
      </c>
      <c r="I295" s="14">
        <f t="shared" si="75"/>
        <v>6.5168394588243661</v>
      </c>
      <c r="J295" s="14">
        <f t="shared" si="69"/>
        <v>-1.5465463572935436</v>
      </c>
      <c r="K295" s="14">
        <f t="shared" si="76"/>
        <v>-13.350205924375709</v>
      </c>
      <c r="L295" s="14">
        <f t="shared" si="77"/>
        <v>6.6978356330495439</v>
      </c>
      <c r="M295" s="14">
        <f t="shared" si="78"/>
        <v>10.617945555566685</v>
      </c>
      <c r="N295" s="14">
        <f t="shared" si="79"/>
        <v>7.8405432868805169</v>
      </c>
      <c r="O295" s="14">
        <f t="shared" si="70"/>
        <v>7.8405432868805169</v>
      </c>
      <c r="P295" s="14">
        <f t="shared" si="71"/>
        <v>1</v>
      </c>
    </row>
    <row r="296" spans="1:16" x14ac:dyDescent="0.25">
      <c r="A296" s="14">
        <f t="shared" si="72"/>
        <v>1.359999999999993</v>
      </c>
      <c r="B296" s="14">
        <f t="shared" si="64"/>
        <v>13.689042276963811</v>
      </c>
      <c r="C296" s="14">
        <f t="shared" si="65"/>
        <v>11.231799776147408</v>
      </c>
      <c r="D296" s="14">
        <f t="shared" si="66"/>
        <v>11.231799776147408</v>
      </c>
      <c r="E296" s="14">
        <f t="shared" si="67"/>
        <v>1</v>
      </c>
      <c r="F296" s="14">
        <f t="shared" si="68"/>
        <v>-1.3906910671877937</v>
      </c>
      <c r="G296" s="14">
        <f t="shared" si="73"/>
        <v>-1.3531103058074916</v>
      </c>
      <c r="H296" s="14">
        <f t="shared" si="74"/>
        <v>0.32111391230135367</v>
      </c>
      <c r="I296" s="14">
        <f t="shared" si="75"/>
        <v>6.5100739072953289</v>
      </c>
      <c r="J296" s="14">
        <f t="shared" si="69"/>
        <v>-1.5939407877320368</v>
      </c>
      <c r="K296" s="14">
        <f t="shared" si="76"/>
        <v>-13.757770823612184</v>
      </c>
      <c r="L296" s="14">
        <f t="shared" si="77"/>
        <v>6.7023659638401796</v>
      </c>
      <c r="M296" s="14">
        <f t="shared" si="78"/>
        <v>10.650495925103161</v>
      </c>
      <c r="N296" s="14">
        <f t="shared" si="79"/>
        <v>7.8325735829418566</v>
      </c>
      <c r="O296" s="14">
        <f t="shared" si="70"/>
        <v>7.8325735829418566</v>
      </c>
      <c r="P296" s="14">
        <f t="shared" si="71"/>
        <v>1</v>
      </c>
    </row>
    <row r="297" spans="1:16" x14ac:dyDescent="0.25">
      <c r="A297" s="14">
        <f t="shared" si="72"/>
        <v>1.3649999999999929</v>
      </c>
      <c r="B297" s="14">
        <f t="shared" si="64"/>
        <v>13.739369638276177</v>
      </c>
      <c r="C297" s="14">
        <f t="shared" si="65"/>
        <v>11.239650657677364</v>
      </c>
      <c r="D297" s="14">
        <f t="shared" si="66"/>
        <v>11.239650657677364</v>
      </c>
      <c r="E297" s="14">
        <f t="shared" si="67"/>
        <v>1</v>
      </c>
      <c r="F297" s="14">
        <f t="shared" si="68"/>
        <v>-1.3925729949105423</v>
      </c>
      <c r="G297" s="14">
        <f t="shared" si="73"/>
        <v>-1.3526198311285482</v>
      </c>
      <c r="H297" s="14">
        <f t="shared" si="74"/>
        <v>0.33117840900622608</v>
      </c>
      <c r="I297" s="14">
        <f t="shared" si="75"/>
        <v>6.5033108081396858</v>
      </c>
      <c r="J297" s="14">
        <f t="shared" si="69"/>
        <v>-1.6412848956870056</v>
      </c>
      <c r="K297" s="14">
        <f t="shared" si="76"/>
        <v>-14.164342631960221</v>
      </c>
      <c r="L297" s="14">
        <f t="shared" si="77"/>
        <v>6.7072250279886054</v>
      </c>
      <c r="M297" s="14">
        <f t="shared" si="78"/>
        <v>10.68301247914386</v>
      </c>
      <c r="N297" s="14">
        <f t="shared" si="79"/>
        <v>7.8243671584634216</v>
      </c>
      <c r="O297" s="14">
        <f t="shared" si="70"/>
        <v>7.8243671584634216</v>
      </c>
      <c r="P297" s="14">
        <f t="shared" si="71"/>
        <v>1</v>
      </c>
    </row>
    <row r="298" spans="1:16" x14ac:dyDescent="0.25">
      <c r="A298" s="14">
        <f t="shared" si="72"/>
        <v>1.3699999999999928</v>
      </c>
      <c r="B298" s="14">
        <f t="shared" si="64"/>
        <v>13.789696999588543</v>
      </c>
      <c r="C298" s="14">
        <f t="shared" si="65"/>
        <v>11.247256539207321</v>
      </c>
      <c r="D298" s="14">
        <f t="shared" si="66"/>
        <v>11.247256539207321</v>
      </c>
      <c r="E298" s="14">
        <f t="shared" si="67"/>
        <v>1</v>
      </c>
      <c r="F298" s="14">
        <f t="shared" si="68"/>
        <v>-1.3945928948583792</v>
      </c>
      <c r="G298" s="14">
        <f t="shared" si="73"/>
        <v>-1.3521942395314424</v>
      </c>
      <c r="H298" s="14">
        <f t="shared" si="74"/>
        <v>0.34126248104275803</v>
      </c>
      <c r="I298" s="14">
        <f t="shared" si="75"/>
        <v>6.4965498369420285</v>
      </c>
      <c r="J298" s="14">
        <f t="shared" si="69"/>
        <v>-1.6885785832817919</v>
      </c>
      <c r="K298" s="14">
        <f t="shared" si="76"/>
        <v>-14.569884269868359</v>
      </c>
      <c r="L298" s="14">
        <f t="shared" si="77"/>
        <v>6.7124107007683493</v>
      </c>
      <c r="M298" s="14">
        <f t="shared" si="78"/>
        <v>10.715495228328571</v>
      </c>
      <c r="N298" s="14">
        <f t="shared" si="79"/>
        <v>7.8159242655470127</v>
      </c>
      <c r="O298" s="14">
        <f t="shared" si="70"/>
        <v>7.8159242655470127</v>
      </c>
      <c r="P298" s="14">
        <f t="shared" si="71"/>
        <v>1</v>
      </c>
    </row>
    <row r="299" spans="1:16" x14ac:dyDescent="0.25">
      <c r="A299" s="14">
        <f t="shared" si="72"/>
        <v>1.3749999999999927</v>
      </c>
      <c r="B299" s="14">
        <f t="shared" si="64"/>
        <v>13.840024360900909</v>
      </c>
      <c r="C299" s="14">
        <f t="shared" si="65"/>
        <v>11.254617420737272</v>
      </c>
      <c r="D299" s="14">
        <f t="shared" si="66"/>
        <v>11.254617420737272</v>
      </c>
      <c r="E299" s="14">
        <f t="shared" si="67"/>
        <v>1</v>
      </c>
      <c r="F299" s="14">
        <f t="shared" si="68"/>
        <v>-1.3967501798894728</v>
      </c>
      <c r="G299" s="14">
        <f t="shared" si="73"/>
        <v>-1.3518328299505011</v>
      </c>
      <c r="H299" s="14">
        <f t="shared" si="74"/>
        <v>0.35136742149677774</v>
      </c>
      <c r="I299" s="14">
        <f t="shared" si="75"/>
        <v>6.4897906727922763</v>
      </c>
      <c r="J299" s="14">
        <f t="shared" si="69"/>
        <v>-1.735821746174308</v>
      </c>
      <c r="K299" s="14">
        <f t="shared" si="76"/>
        <v>-14.974359277959877</v>
      </c>
      <c r="L299" s="14">
        <f t="shared" si="77"/>
        <v>6.7179208175709579</v>
      </c>
      <c r="M299" s="14">
        <f t="shared" si="78"/>
        <v>10.747944181692532</v>
      </c>
      <c r="N299" s="14">
        <f t="shared" si="79"/>
        <v>7.8072451568161414</v>
      </c>
      <c r="O299" s="14">
        <f t="shared" si="70"/>
        <v>7.8072451568161414</v>
      </c>
      <c r="P299" s="14">
        <f t="shared" si="71"/>
        <v>1</v>
      </c>
    </row>
    <row r="300" spans="1:16" x14ac:dyDescent="0.25">
      <c r="A300" s="14">
        <f t="shared" si="72"/>
        <v>1.3799999999999926</v>
      </c>
      <c r="B300" s="14">
        <f t="shared" si="64"/>
        <v>13.890351722213275</v>
      </c>
      <c r="C300" s="14">
        <f t="shared" si="65"/>
        <v>11.261733302267228</v>
      </c>
      <c r="D300" s="14">
        <f t="shared" si="66"/>
        <v>11.261733302267228</v>
      </c>
      <c r="E300" s="14">
        <f t="shared" si="67"/>
        <v>1</v>
      </c>
      <c r="F300" s="14">
        <f t="shared" si="68"/>
        <v>-1.3990442634457507</v>
      </c>
      <c r="G300" s="14">
        <f t="shared" si="73"/>
        <v>-1.3515348957353011</v>
      </c>
      <c r="H300" s="14">
        <f t="shared" si="74"/>
        <v>0.36149450437071945</v>
      </c>
      <c r="I300" s="14">
        <f t="shared" si="75"/>
        <v>6.4830329983135995</v>
      </c>
      <c r="J300" s="14">
        <f t="shared" si="69"/>
        <v>-1.7830142736524544</v>
      </c>
      <c r="K300" s="14">
        <f t="shared" si="76"/>
        <v>-15.377731832932096</v>
      </c>
      <c r="L300" s="14">
        <f t="shared" si="77"/>
        <v>6.723753174921832</v>
      </c>
      <c r="M300" s="14">
        <f t="shared" si="78"/>
        <v>10.780359346684099</v>
      </c>
      <c r="N300" s="14">
        <f t="shared" si="79"/>
        <v>7.798330085447879</v>
      </c>
      <c r="O300" s="14">
        <f t="shared" si="70"/>
        <v>7.798330085447879</v>
      </c>
      <c r="P300" s="14">
        <f t="shared" si="71"/>
        <v>1</v>
      </c>
    </row>
    <row r="301" spans="1:16" x14ac:dyDescent="0.25">
      <c r="A301" s="14">
        <f t="shared" si="72"/>
        <v>1.3849999999999925</v>
      </c>
      <c r="B301" s="14">
        <f t="shared" si="64"/>
        <v>13.940679083525641</v>
      </c>
      <c r="C301" s="14">
        <f t="shared" si="65"/>
        <v>11.26860418379718</v>
      </c>
      <c r="D301" s="14">
        <f t="shared" si="66"/>
        <v>11.26860418379718</v>
      </c>
      <c r="E301" s="14">
        <f t="shared" si="67"/>
        <v>1</v>
      </c>
      <c r="F301" s="14">
        <f t="shared" si="68"/>
        <v>-1.4014745594754139</v>
      </c>
      <c r="G301" s="14">
        <f t="shared" si="73"/>
        <v>-1.3512997248715561</v>
      </c>
      <c r="H301" s="14">
        <f t="shared" si="74"/>
        <v>0.37164498438545068</v>
      </c>
      <c r="I301" s="14">
        <f t="shared" si="75"/>
        <v>6.4762764996892415</v>
      </c>
      <c r="J301" s="14">
        <f t="shared" si="69"/>
        <v>-1.8301560487305271</v>
      </c>
      <c r="K301" s="14">
        <f t="shared" si="76"/>
        <v>-15.779966762584102</v>
      </c>
      <c r="L301" s="14">
        <f t="shared" si="77"/>
        <v>6.7299055315161791</v>
      </c>
      <c r="M301" s="14">
        <f t="shared" si="78"/>
        <v>10.812740729182545</v>
      </c>
      <c r="N301" s="14">
        <f t="shared" si="79"/>
        <v>7.7891793052042262</v>
      </c>
      <c r="O301" s="14">
        <f t="shared" si="70"/>
        <v>7.7891793052042262</v>
      </c>
      <c r="P301" s="14">
        <f t="shared" si="71"/>
        <v>1</v>
      </c>
    </row>
    <row r="302" spans="1:16" x14ac:dyDescent="0.25">
      <c r="A302" s="14">
        <f t="shared" si="72"/>
        <v>1.3899999999999924</v>
      </c>
      <c r="B302" s="14">
        <f t="shared" si="64"/>
        <v>13.991006444838007</v>
      </c>
      <c r="C302" s="14">
        <f t="shared" si="65"/>
        <v>11.275230065327134</v>
      </c>
      <c r="D302" s="14">
        <f t="shared" si="66"/>
        <v>11.275230065327134</v>
      </c>
      <c r="E302" s="14">
        <f t="shared" si="67"/>
        <v>1</v>
      </c>
      <c r="F302" s="14">
        <f t="shared" si="68"/>
        <v>-1.404040482357094</v>
      </c>
      <c r="G302" s="14">
        <f t="shared" si="73"/>
        <v>-1.3511266002054927</v>
      </c>
      <c r="H302" s="14">
        <f t="shared" si="74"/>
        <v>0.3818200967925704</v>
      </c>
      <c r="I302" s="14">
        <f t="shared" si="75"/>
        <v>6.4695208666882138</v>
      </c>
      <c r="J302" s="14">
        <f t="shared" si="69"/>
        <v>-1.8772469482465641</v>
      </c>
      <c r="K302" s="14">
        <f t="shared" si="76"/>
        <v>-16.181029559964042</v>
      </c>
      <c r="L302" s="14">
        <f t="shared" si="77"/>
        <v>6.7363756092735256</v>
      </c>
      <c r="M302" s="14">
        <f t="shared" si="78"/>
        <v>10.845088333515987</v>
      </c>
      <c r="N302" s="14">
        <f t="shared" si="79"/>
        <v>7.7797930704629934</v>
      </c>
      <c r="O302" s="14">
        <f t="shared" si="70"/>
        <v>7.7797930704629934</v>
      </c>
      <c r="P302" s="14">
        <f t="shared" si="71"/>
        <v>1</v>
      </c>
    </row>
    <row r="303" spans="1:16" x14ac:dyDescent="0.25">
      <c r="A303" s="14">
        <f t="shared" si="72"/>
        <v>1.3949999999999922</v>
      </c>
      <c r="B303" s="14">
        <f t="shared" si="64"/>
        <v>14.041333806150373</v>
      </c>
      <c r="C303" s="14">
        <f t="shared" si="65"/>
        <v>11.281610946857088</v>
      </c>
      <c r="D303" s="14">
        <f t="shared" si="66"/>
        <v>11.281610946857088</v>
      </c>
      <c r="E303" s="14">
        <f t="shared" si="67"/>
        <v>1</v>
      </c>
      <c r="F303" s="14">
        <f t="shared" si="68"/>
        <v>-1.4067414468256731</v>
      </c>
      <c r="G303" s="14">
        <f t="shared" si="73"/>
        <v>-1.3510147996713828</v>
      </c>
      <c r="H303" s="14">
        <f t="shared" si="74"/>
        <v>0.39202105719729086</v>
      </c>
      <c r="I303" s="14">
        <f t="shared" si="75"/>
        <v>6.462765792689857</v>
      </c>
      <c r="J303" s="14">
        <f t="shared" si="69"/>
        <v>-1.9242868429605777</v>
      </c>
      <c r="K303" s="14">
        <f t="shared" si="76"/>
        <v>-16.580886396629463</v>
      </c>
      <c r="L303" s="14">
        <f t="shared" si="77"/>
        <v>6.7431610944091602</v>
      </c>
      <c r="M303" s="14">
        <f t="shared" si="78"/>
        <v>10.877402162479436</v>
      </c>
      <c r="N303" s="14">
        <f t="shared" si="79"/>
        <v>7.7701716362481905</v>
      </c>
      <c r="O303" s="14">
        <f t="shared" si="70"/>
        <v>7.7701716362481905</v>
      </c>
      <c r="P303" s="14">
        <f t="shared" si="71"/>
        <v>1</v>
      </c>
    </row>
    <row r="304" spans="1:16" x14ac:dyDescent="0.25">
      <c r="A304" s="14">
        <f t="shared" si="72"/>
        <v>1.3999999999999921</v>
      </c>
      <c r="B304" s="14">
        <f t="shared" si="64"/>
        <v>14.091661167462739</v>
      </c>
      <c r="C304" s="14">
        <f t="shared" si="65"/>
        <v>11.287746828387043</v>
      </c>
      <c r="D304" s="14">
        <f t="shared" si="66"/>
        <v>11.287746828387043</v>
      </c>
      <c r="E304" s="14">
        <f t="shared" si="67"/>
        <v>1</v>
      </c>
      <c r="F304" s="14">
        <f t="shared" si="68"/>
        <v>-1.4095768678997536</v>
      </c>
      <c r="G304" s="14">
        <f t="shared" si="73"/>
        <v>-1.3509635965218831</v>
      </c>
      <c r="H304" s="14">
        <f t="shared" si="74"/>
        <v>0.40224906139199101</v>
      </c>
      <c r="I304" s="14">
        <f t="shared" si="75"/>
        <v>6.4560109747072474</v>
      </c>
      <c r="J304" s="14">
        <f t="shared" si="69"/>
        <v>-1.9712755976536178</v>
      </c>
      <c r="K304" s="14">
        <f t="shared" si="76"/>
        <v>-16.979504135016029</v>
      </c>
      <c r="L304" s="14">
        <f t="shared" si="77"/>
        <v>6.750259638520955</v>
      </c>
      <c r="M304" s="14">
        <f t="shared" si="78"/>
        <v>10.909682217352973</v>
      </c>
      <c r="N304" s="14">
        <f t="shared" si="79"/>
        <v>7.7603152582599222</v>
      </c>
      <c r="O304" s="14">
        <f t="shared" si="70"/>
        <v>7.7603152582599222</v>
      </c>
      <c r="P304" s="14">
        <f t="shared" si="71"/>
        <v>1</v>
      </c>
    </row>
    <row r="305" spans="1:16" x14ac:dyDescent="0.25">
      <c r="A305" s="14">
        <f t="shared" si="72"/>
        <v>1.404999999999992</v>
      </c>
      <c r="B305" s="14">
        <f t="shared" si="64"/>
        <v>14.141988528775105</v>
      </c>
      <c r="C305" s="14">
        <f t="shared" si="65"/>
        <v>11.293637709916998</v>
      </c>
      <c r="D305" s="14">
        <f t="shared" si="66"/>
        <v>11.293637709916998</v>
      </c>
      <c r="E305" s="14">
        <f t="shared" si="67"/>
        <v>1</v>
      </c>
      <c r="F305" s="14">
        <f t="shared" si="68"/>
        <v>-1.4125461608107968</v>
      </c>
      <c r="G305" s="14">
        <f t="shared" si="73"/>
        <v>-1.3509722595608546</v>
      </c>
      <c r="H305" s="14">
        <f t="shared" si="74"/>
        <v>0.41250528520051716</v>
      </c>
      <c r="I305" s="14">
        <f t="shared" si="75"/>
        <v>6.4492561134094428</v>
      </c>
      <c r="J305" s="14">
        <f t="shared" si="69"/>
        <v>-2.0182130712276152</v>
      </c>
      <c r="K305" s="14">
        <f t="shared" si="76"/>
        <v>-17.376850339912004</v>
      </c>
      <c r="L305" s="14">
        <f t="shared" si="77"/>
        <v>6.757668859689935</v>
      </c>
      <c r="M305" s="14">
        <f t="shared" si="78"/>
        <v>10.941928497920021</v>
      </c>
      <c r="N305" s="14">
        <f t="shared" si="79"/>
        <v>7.7502241929037838</v>
      </c>
      <c r="O305" s="14">
        <f t="shared" si="70"/>
        <v>7.7502241929037838</v>
      </c>
      <c r="P305" s="14">
        <f t="shared" si="71"/>
        <v>1</v>
      </c>
    </row>
    <row r="306" spans="1:16" x14ac:dyDescent="0.25">
      <c r="A306" s="14">
        <f t="shared" si="72"/>
        <v>1.4099999999999919</v>
      </c>
      <c r="B306" s="14">
        <f t="shared" si="64"/>
        <v>14.192315890087471</v>
      </c>
      <c r="C306" s="14">
        <f t="shared" si="65"/>
        <v>11.299283591446949</v>
      </c>
      <c r="D306" s="14">
        <f t="shared" si="66"/>
        <v>11.299283591446949</v>
      </c>
      <c r="E306" s="14">
        <f t="shared" si="67"/>
        <v>1</v>
      </c>
      <c r="F306" s="14">
        <f t="shared" si="68"/>
        <v>-1.4156487409339149</v>
      </c>
      <c r="G306" s="14">
        <f t="shared" si="73"/>
        <v>-1.3510400533783096</v>
      </c>
      <c r="H306" s="14">
        <f t="shared" si="74"/>
        <v>0.42279088433327516</v>
      </c>
      <c r="I306" s="14">
        <f t="shared" si="75"/>
        <v>6.4425009131425517</v>
      </c>
      <c r="J306" s="14">
        <f t="shared" si="69"/>
        <v>-2.0650991168059489</v>
      </c>
      <c r="K306" s="14">
        <f t="shared" si="76"/>
        <v>-17.772893289037864</v>
      </c>
      <c r="L306" s="14">
        <f t="shared" si="77"/>
        <v>6.7653863435930495</v>
      </c>
      <c r="M306" s="14">
        <f t="shared" si="78"/>
        <v>10.974141002485734</v>
      </c>
      <c r="N306" s="14">
        <f t="shared" si="79"/>
        <v>7.7398986973197541</v>
      </c>
      <c r="O306" s="14">
        <f t="shared" si="70"/>
        <v>7.7398986973197541</v>
      </c>
      <c r="P306" s="14">
        <f t="shared" si="71"/>
        <v>1</v>
      </c>
    </row>
    <row r="307" spans="1:16" x14ac:dyDescent="0.25">
      <c r="A307" s="14">
        <f t="shared" si="72"/>
        <v>1.4149999999999918</v>
      </c>
      <c r="B307" s="14">
        <f t="shared" si="64"/>
        <v>14.242643251399837</v>
      </c>
      <c r="C307" s="14">
        <f t="shared" si="65"/>
        <v>11.304684472976904</v>
      </c>
      <c r="D307" s="14">
        <f t="shared" si="66"/>
        <v>11.304684472976904</v>
      </c>
      <c r="E307" s="14">
        <f t="shared" si="67"/>
        <v>1</v>
      </c>
      <c r="F307" s="14">
        <f t="shared" si="68"/>
        <v>-1.4188840237203353</v>
      </c>
      <c r="G307" s="14">
        <f t="shared" si="73"/>
        <v>-1.3511662385871717</v>
      </c>
      <c r="H307" s="14">
        <f t="shared" si="74"/>
        <v>0.43310699425315619</v>
      </c>
      <c r="I307" s="14">
        <f t="shared" si="75"/>
        <v>6.4357450819496158</v>
      </c>
      <c r="J307" s="14">
        <f t="shared" si="69"/>
        <v>-2.1119335818346832</v>
      </c>
      <c r="K307" s="14">
        <f t="shared" si="76"/>
        <v>-18.167601982732311</v>
      </c>
      <c r="L307" s="14">
        <f t="shared" si="77"/>
        <v>6.7734096446265335</v>
      </c>
      <c r="M307" s="14">
        <f t="shared" si="78"/>
        <v>11.006319727895482</v>
      </c>
      <c r="N307" s="14">
        <f t="shared" si="79"/>
        <v>7.729339029410581</v>
      </c>
      <c r="O307" s="14">
        <f t="shared" si="70"/>
        <v>7.729339029410581</v>
      </c>
      <c r="P307" s="14">
        <f t="shared" si="71"/>
        <v>1</v>
      </c>
    </row>
    <row r="308" spans="1:16" x14ac:dyDescent="0.25">
      <c r="A308" s="14">
        <f t="shared" si="72"/>
        <v>1.4199999999999917</v>
      </c>
      <c r="B308" s="14">
        <f t="shared" si="64"/>
        <v>14.292970612712203</v>
      </c>
      <c r="C308" s="14">
        <f t="shared" si="65"/>
        <v>11.309840354506857</v>
      </c>
      <c r="D308" s="14">
        <f t="shared" si="66"/>
        <v>11.309840354506857</v>
      </c>
      <c r="E308" s="14">
        <f t="shared" si="67"/>
        <v>1</v>
      </c>
      <c r="F308" s="14">
        <f t="shared" si="68"/>
        <v>-1.4222514246315119</v>
      </c>
      <c r="G308" s="14">
        <f t="shared" si="73"/>
        <v>-1.3513500720614944</v>
      </c>
      <c r="H308" s="14">
        <f t="shared" si="74"/>
        <v>0.44345473005230079</v>
      </c>
      <c r="I308" s="14">
        <f t="shared" si="75"/>
        <v>6.4289883315893084</v>
      </c>
      <c r="J308" s="14">
        <f t="shared" si="69"/>
        <v>-2.1587163081844216</v>
      </c>
      <c r="K308" s="14">
        <f t="shared" si="76"/>
        <v>-18.560946152747796</v>
      </c>
      <c r="L308" s="14">
        <f t="shared" si="77"/>
        <v>6.7817362870383615</v>
      </c>
      <c r="M308" s="14">
        <f t="shared" si="78"/>
        <v>11.038464669553429</v>
      </c>
      <c r="N308" s="14">
        <f t="shared" si="79"/>
        <v>7.7185454478696593</v>
      </c>
      <c r="O308" s="14">
        <f t="shared" si="70"/>
        <v>7.7185454478696593</v>
      </c>
      <c r="P308" s="14">
        <f t="shared" si="71"/>
        <v>1</v>
      </c>
    </row>
    <row r="309" spans="1:16" x14ac:dyDescent="0.25">
      <c r="A309" s="14">
        <f t="shared" si="72"/>
        <v>1.4249999999999916</v>
      </c>
      <c r="B309" s="14">
        <f t="shared" si="64"/>
        <v>14.343297974024571</v>
      </c>
      <c r="C309" s="14">
        <f t="shared" si="65"/>
        <v>11.314751236036813</v>
      </c>
      <c r="D309" s="14">
        <f t="shared" si="66"/>
        <v>11.314751236036813</v>
      </c>
      <c r="E309" s="14">
        <f t="shared" si="67"/>
        <v>1</v>
      </c>
      <c r="F309" s="14">
        <f t="shared" si="68"/>
        <v>-1.4257503590749185</v>
      </c>
      <c r="G309" s="14">
        <f t="shared" si="73"/>
        <v>-1.3515908071758482</v>
      </c>
      <c r="H309" s="14">
        <f t="shared" si="74"/>
        <v>0.45383518633970915</v>
      </c>
      <c r="I309" s="14">
        <f t="shared" si="75"/>
        <v>6.4222303775534293</v>
      </c>
      <c r="J309" s="14">
        <f t="shared" si="69"/>
        <v>-2.2054471322527229</v>
      </c>
      <c r="K309" s="14">
        <f t="shared" si="76"/>
        <v>-18.952896270160448</v>
      </c>
      <c r="L309" s="14">
        <f t="shared" si="77"/>
        <v>6.7903637660681939</v>
      </c>
      <c r="M309" s="14">
        <f t="shared" si="78"/>
        <v>11.070575821441196</v>
      </c>
      <c r="N309" s="14">
        <f t="shared" si="79"/>
        <v>7.7075182122083961</v>
      </c>
      <c r="O309" s="14">
        <f t="shared" si="70"/>
        <v>7.7075182122083961</v>
      </c>
      <c r="P309" s="14">
        <f t="shared" si="71"/>
        <v>1</v>
      </c>
    </row>
    <row r="310" spans="1:16" x14ac:dyDescent="0.25">
      <c r="A310" s="14">
        <f t="shared" si="72"/>
        <v>1.4299999999999915</v>
      </c>
      <c r="B310" s="14">
        <f t="shared" si="64"/>
        <v>14.393625335336937</v>
      </c>
      <c r="C310" s="14">
        <f t="shared" si="65"/>
        <v>11.319417117566765</v>
      </c>
      <c r="D310" s="14">
        <f t="shared" si="66"/>
        <v>11.319417117566765</v>
      </c>
      <c r="E310" s="14">
        <f t="shared" si="67"/>
        <v>1</v>
      </c>
      <c r="F310" s="14">
        <f t="shared" si="68"/>
        <v>-1.4293802423414865</v>
      </c>
      <c r="G310" s="14">
        <f t="shared" si="73"/>
        <v>-1.3518876940455191</v>
      </c>
      <c r="H310" s="14">
        <f t="shared" si="74"/>
        <v>0.46424943713966488</v>
      </c>
      <c r="I310" s="14">
        <f t="shared" si="75"/>
        <v>6.4154709390832014</v>
      </c>
      <c r="J310" s="14">
        <f t="shared" si="69"/>
        <v>-2.2521258850670245</v>
      </c>
      <c r="K310" s="14">
        <f t="shared" si="76"/>
        <v>-19.343423552401156</v>
      </c>
      <c r="L310" s="14">
        <f t="shared" si="77"/>
        <v>6.7992895490933485</v>
      </c>
      <c r="M310" s="14">
        <f t="shared" si="78"/>
        <v>11.102653176136611</v>
      </c>
      <c r="N310" s="14">
        <f t="shared" si="79"/>
        <v>7.696257582783061</v>
      </c>
      <c r="O310" s="14">
        <f t="shared" si="70"/>
        <v>7.696257582783061</v>
      </c>
      <c r="P310" s="14">
        <f t="shared" si="71"/>
        <v>1</v>
      </c>
    </row>
    <row r="311" spans="1:16" x14ac:dyDescent="0.25">
      <c r="A311" s="14">
        <f t="shared" si="72"/>
        <v>1.4349999999999914</v>
      </c>
      <c r="B311" s="14">
        <f t="shared" si="64"/>
        <v>14.443952696649303</v>
      </c>
      <c r="C311" s="14">
        <f t="shared" si="65"/>
        <v>11.323837999096721</v>
      </c>
      <c r="D311" s="14">
        <f t="shared" si="66"/>
        <v>11.323837999096721</v>
      </c>
      <c r="E311" s="14">
        <f t="shared" si="67"/>
        <v>1</v>
      </c>
      <c r="F311" s="14">
        <f t="shared" si="68"/>
        <v>-1.4331404895447111</v>
      </c>
      <c r="G311" s="14">
        <f t="shared" si="73"/>
        <v>-1.3522399797672358</v>
      </c>
      <c r="H311" s="14">
        <f t="shared" si="74"/>
        <v>0.47469853580094384</v>
      </c>
      <c r="I311" s="14">
        <f t="shared" si="75"/>
        <v>6.4087097391843653</v>
      </c>
      <c r="J311" s="14">
        <f t="shared" si="69"/>
        <v>-2.2987523923880198</v>
      </c>
      <c r="K311" s="14">
        <f t="shared" si="76"/>
        <v>-19.732499969416036</v>
      </c>
      <c r="L311" s="14">
        <f t="shared" si="77"/>
        <v>6.8085110767792818</v>
      </c>
      <c r="M311" s="14">
        <f t="shared" si="78"/>
        <v>11.134696724832533</v>
      </c>
      <c r="N311" s="14">
        <f t="shared" si="79"/>
        <v>7.6847638208211206</v>
      </c>
      <c r="O311" s="14">
        <f t="shared" si="70"/>
        <v>7.6847638208211206</v>
      </c>
      <c r="P311" s="14">
        <f t="shared" si="71"/>
        <v>1</v>
      </c>
    </row>
    <row r="312" spans="1:16" x14ac:dyDescent="0.25">
      <c r="A312" s="14">
        <f t="shared" si="72"/>
        <v>1.4399999999999913</v>
      </c>
      <c r="B312" s="14">
        <f t="shared" si="64"/>
        <v>14.494280057961669</v>
      </c>
      <c r="C312" s="14">
        <f t="shared" si="65"/>
        <v>11.328013880626676</v>
      </c>
      <c r="D312" s="14">
        <f t="shared" si="66"/>
        <v>11.328013880626676</v>
      </c>
      <c r="E312" s="14">
        <f t="shared" si="67"/>
        <v>1</v>
      </c>
      <c r="F312" s="14">
        <f t="shared" si="68"/>
        <v>-1.4370305155614114</v>
      </c>
      <c r="G312" s="14">
        <f t="shared" si="73"/>
        <v>-1.3526469086601003</v>
      </c>
      <c r="H312" s="14">
        <f t="shared" si="74"/>
        <v>0.48518351491674788</v>
      </c>
      <c r="I312" s="14">
        <f t="shared" si="75"/>
        <v>6.4019465046410646</v>
      </c>
      <c r="J312" s="14">
        <f t="shared" si="69"/>
        <v>-2.3453264748134361</v>
      </c>
      <c r="K312" s="14">
        <f t="shared" si="76"/>
        <v>-20.120098248966336</v>
      </c>
      <c r="L312" s="14">
        <f t="shared" si="77"/>
        <v>6.8180257642331306</v>
      </c>
      <c r="M312" s="14">
        <f t="shared" si="78"/>
        <v>11.166706457355739</v>
      </c>
      <c r="N312" s="14">
        <f t="shared" si="79"/>
        <v>7.6730371884470534</v>
      </c>
      <c r="O312" s="14">
        <f t="shared" si="70"/>
        <v>7.6730371884470534</v>
      </c>
      <c r="P312" s="14">
        <f t="shared" si="71"/>
        <v>1</v>
      </c>
    </row>
    <row r="313" spans="1:16" x14ac:dyDescent="0.25">
      <c r="A313" s="14">
        <f t="shared" si="72"/>
        <v>1.4449999999999912</v>
      </c>
      <c r="B313" s="14">
        <f t="shared" si="64"/>
        <v>14.544607419274035</v>
      </c>
      <c r="C313" s="14">
        <f t="shared" si="65"/>
        <v>11.331944762156628</v>
      </c>
      <c r="D313" s="14">
        <f t="shared" ref="D313:D344" si="80">IF(E313=1,C313,$B$18)</f>
        <v>11.331944762156628</v>
      </c>
      <c r="E313" s="14">
        <f t="shared" si="67"/>
        <v>1</v>
      </c>
      <c r="F313" s="14">
        <f t="shared" si="68"/>
        <v>-1.4410497349741496</v>
      </c>
      <c r="G313" s="14">
        <f t="shared" si="73"/>
        <v>-1.3531077225064352</v>
      </c>
      <c r="H313" s="14">
        <f t="shared" si="74"/>
        <v>0.4957053862552982</v>
      </c>
      <c r="I313" s="14">
        <f t="shared" si="75"/>
        <v>6.3951809660285326</v>
      </c>
      <c r="J313" s="14">
        <f t="shared" si="69"/>
        <v>-2.3918479478821597</v>
      </c>
      <c r="K313" s="14">
        <f t="shared" si="76"/>
        <v>-20.506191881079118</v>
      </c>
      <c r="L313" s="14">
        <f t="shared" si="77"/>
        <v>6.8278310021588648</v>
      </c>
      <c r="M313" s="14">
        <f t="shared" si="78"/>
        <v>11.198682362185881</v>
      </c>
      <c r="N313" s="14">
        <f t="shared" si="79"/>
        <v>7.6610779487076428</v>
      </c>
      <c r="O313" s="14">
        <f t="shared" ref="O313:O344" si="81">IF(P313=1,N313,$B$18)</f>
        <v>7.6610779487076428</v>
      </c>
      <c r="P313" s="14">
        <f t="shared" si="71"/>
        <v>1</v>
      </c>
    </row>
    <row r="314" spans="1:16" x14ac:dyDescent="0.25">
      <c r="A314" s="14">
        <f t="shared" si="72"/>
        <v>1.4499999999999911</v>
      </c>
      <c r="B314" s="14">
        <f t="shared" si="64"/>
        <v>14.594934780586401</v>
      </c>
      <c r="C314" s="14">
        <f t="shared" si="65"/>
        <v>11.335630643686583</v>
      </c>
      <c r="D314" s="14">
        <f t="shared" si="80"/>
        <v>11.335630643686583</v>
      </c>
      <c r="E314" s="14">
        <f t="shared" si="67"/>
        <v>1</v>
      </c>
      <c r="F314" s="14">
        <f t="shared" si="68"/>
        <v>-1.4451975620152937</v>
      </c>
      <c r="G314" s="14">
        <f t="shared" si="73"/>
        <v>-1.3536216607922427</v>
      </c>
      <c r="H314" s="14">
        <f t="shared" si="74"/>
        <v>0.50626514070099604</v>
      </c>
      <c r="I314" s="14">
        <f t="shared" si="75"/>
        <v>6.3884128577245711</v>
      </c>
      <c r="J314" s="14">
        <f t="shared" si="69"/>
        <v>-2.4383166221786547</v>
      </c>
      <c r="K314" s="14">
        <f t="shared" si="76"/>
        <v>-20.890755121661758</v>
      </c>
      <c r="L314" s="14">
        <f t="shared" si="77"/>
        <v>6.8379241580126751</v>
      </c>
      <c r="M314" s="14">
        <f t="shared" si="78"/>
        <v>11.230624426474504</v>
      </c>
      <c r="N314" s="14">
        <f t="shared" si="79"/>
        <v>7.6488863655967494</v>
      </c>
      <c r="O314" s="14">
        <f t="shared" si="81"/>
        <v>7.6488863655967494</v>
      </c>
      <c r="P314" s="14">
        <f t="shared" si="71"/>
        <v>1</v>
      </c>
    </row>
    <row r="315" spans="1:16" x14ac:dyDescent="0.25">
      <c r="A315" s="14">
        <f t="shared" si="72"/>
        <v>1.454999999999991</v>
      </c>
      <c r="B315" s="14">
        <f t="shared" si="64"/>
        <v>14.645262141898767</v>
      </c>
      <c r="C315" s="14">
        <f t="shared" si="65"/>
        <v>11.339071525216536</v>
      </c>
      <c r="D315" s="14">
        <f t="shared" si="80"/>
        <v>11.339071525216536</v>
      </c>
      <c r="E315" s="14">
        <f t="shared" si="67"/>
        <v>1</v>
      </c>
      <c r="F315" s="14">
        <f t="shared" si="68"/>
        <v>-1.4494734105127338</v>
      </c>
      <c r="G315" s="14">
        <f t="shared" si="73"/>
        <v>-1.3541879609470027</v>
      </c>
      <c r="H315" s="14">
        <f t="shared" si="74"/>
        <v>0.51686374820605796</v>
      </c>
      <c r="I315" s="14">
        <f t="shared" si="75"/>
        <v>6.3816419179198363</v>
      </c>
      <c r="J315" s="14">
        <f t="shared" si="69"/>
        <v>-2.4847323034376245</v>
      </c>
      <c r="K315" s="14">
        <f t="shared" si="76"/>
        <v>-21.273762995294486</v>
      </c>
      <c r="L315" s="14">
        <f t="shared" si="77"/>
        <v>6.848302577157205</v>
      </c>
      <c r="M315" s="14">
        <f t="shared" si="78"/>
        <v>11.262532636064103</v>
      </c>
      <c r="N315" s="14">
        <f t="shared" si="79"/>
        <v>7.6364627040795616</v>
      </c>
      <c r="O315" s="14">
        <f t="shared" si="81"/>
        <v>7.6364627040795616</v>
      </c>
      <c r="P315" s="14">
        <f t="shared" si="71"/>
        <v>1</v>
      </c>
    </row>
    <row r="316" spans="1:16" x14ac:dyDescent="0.25">
      <c r="A316" s="14">
        <f t="shared" si="72"/>
        <v>1.4599999999999909</v>
      </c>
      <c r="B316" s="14">
        <f t="shared" si="64"/>
        <v>14.695589503211133</v>
      </c>
      <c r="C316" s="14">
        <f t="shared" si="65"/>
        <v>11.34226740674649</v>
      </c>
      <c r="D316" s="14">
        <f t="shared" si="80"/>
        <v>11.34226740674649</v>
      </c>
      <c r="E316" s="14">
        <f t="shared" si="67"/>
        <v>1</v>
      </c>
      <c r="F316" s="14">
        <f t="shared" si="68"/>
        <v>-1.4538766938372385</v>
      </c>
      <c r="G316" s="14">
        <f t="shared" si="73"/>
        <v>-1.3548058585825309</v>
      </c>
      <c r="H316" s="14">
        <f t="shared" si="74"/>
        <v>0.52750215775250697</v>
      </c>
      <c r="I316" s="14">
        <f t="shared" si="75"/>
        <v>6.3748678886269232</v>
      </c>
      <c r="J316" s="14">
        <f t="shared" si="69"/>
        <v>-2.5310947926488621</v>
      </c>
      <c r="K316" s="14">
        <f t="shared" si="76"/>
        <v>-21.655191297216582</v>
      </c>
      <c r="L316" s="14">
        <f t="shared" si="77"/>
        <v>6.8589635840133214</v>
      </c>
      <c r="M316" s="14">
        <f t="shared" si="78"/>
        <v>11.294406975507238</v>
      </c>
      <c r="N316" s="14">
        <f t="shared" si="79"/>
        <v>7.6238072301163173</v>
      </c>
      <c r="O316" s="14">
        <f t="shared" si="81"/>
        <v>7.6238072301163173</v>
      </c>
      <c r="P316" s="14">
        <f t="shared" si="71"/>
        <v>1</v>
      </c>
    </row>
    <row r="317" spans="1:16" x14ac:dyDescent="0.25">
      <c r="A317" s="14">
        <f t="shared" si="72"/>
        <v>1.4649999999999908</v>
      </c>
      <c r="B317" s="14">
        <f t="shared" si="64"/>
        <v>14.745916864523499</v>
      </c>
      <c r="C317" s="14">
        <f t="shared" si="65"/>
        <v>11.345218288276445</v>
      </c>
      <c r="D317" s="14">
        <f t="shared" si="80"/>
        <v>11.345218288276445</v>
      </c>
      <c r="E317" s="14">
        <f t="shared" si="67"/>
        <v>1</v>
      </c>
      <c r="F317" s="14">
        <f t="shared" si="68"/>
        <v>-1.458406824851447</v>
      </c>
      <c r="G317" s="14">
        <f t="shared" si="73"/>
        <v>-1.3554745877306267</v>
      </c>
      <c r="H317" s="14">
        <f t="shared" si="74"/>
        <v>0.53818129732439313</v>
      </c>
      <c r="I317" s="14">
        <f t="shared" si="75"/>
        <v>6.3680905156882703</v>
      </c>
      <c r="J317" s="14">
        <f t="shared" si="69"/>
        <v>-2.5774038861622399</v>
      </c>
      <c r="K317" s="14">
        <f t="shared" si="76"/>
        <v>-22.035016594522929</v>
      </c>
      <c r="L317" s="14">
        <f t="shared" si="77"/>
        <v>6.8699044832081269</v>
      </c>
      <c r="M317" s="14">
        <f t="shared" si="78"/>
        <v>11.326247428085679</v>
      </c>
      <c r="N317" s="14">
        <f t="shared" si="79"/>
        <v>7.6109202106855065</v>
      </c>
      <c r="O317" s="14">
        <f t="shared" si="81"/>
        <v>7.6109202106855065</v>
      </c>
      <c r="P317" s="14">
        <f t="shared" si="71"/>
        <v>1</v>
      </c>
    </row>
    <row r="318" spans="1:16" x14ac:dyDescent="0.25">
      <c r="A318" s="14">
        <f t="shared" si="72"/>
        <v>1.4699999999999906</v>
      </c>
      <c r="B318" s="14">
        <f t="shared" si="64"/>
        <v>14.796244225835865</v>
      </c>
      <c r="C318" s="14">
        <f t="shared" si="65"/>
        <v>11.347924169806401</v>
      </c>
      <c r="D318" s="14">
        <f t="shared" si="80"/>
        <v>11.347924169806401</v>
      </c>
      <c r="E318" s="14">
        <f t="shared" si="67"/>
        <v>1</v>
      </c>
      <c r="F318" s="14">
        <f t="shared" si="68"/>
        <v>-1.4630632158604968</v>
      </c>
      <c r="G318" s="14">
        <f t="shared" si="73"/>
        <v>-1.3561933810792621</v>
      </c>
      <c r="H318" s="14">
        <f t="shared" si="74"/>
        <v>0.5489020738901047</v>
      </c>
      <c r="I318" s="14">
        <f t="shared" si="75"/>
        <v>6.3613095487828737</v>
      </c>
      <c r="J318" s="14">
        <f t="shared" si="69"/>
        <v>-2.6236593757927893</v>
      </c>
      <c r="K318" s="14">
        <f t="shared" si="76"/>
        <v>-22.413216226588997</v>
      </c>
      <c r="L318" s="14">
        <f t="shared" si="77"/>
        <v>6.8811225607179516</v>
      </c>
      <c r="M318" s="14">
        <f t="shared" si="78"/>
        <v>11.358053975829593</v>
      </c>
      <c r="N318" s="14">
        <f t="shared" si="79"/>
        <v>7.5978019138065429</v>
      </c>
      <c r="O318" s="14">
        <f t="shared" si="81"/>
        <v>7.5978019138065429</v>
      </c>
      <c r="P318" s="14">
        <f t="shared" si="71"/>
        <v>1</v>
      </c>
    </row>
    <row r="319" spans="1:16" x14ac:dyDescent="0.25">
      <c r="A319" s="14">
        <f t="shared" si="72"/>
        <v>1.4749999999999905</v>
      </c>
      <c r="B319" s="14">
        <f t="shared" si="64"/>
        <v>14.846571587148231</v>
      </c>
      <c r="C319" s="14">
        <f t="shared" si="65"/>
        <v>11.350385051336355</v>
      </c>
      <c r="D319" s="14">
        <f t="shared" si="80"/>
        <v>11.350385051336355</v>
      </c>
      <c r="E319" s="14">
        <f t="shared" si="67"/>
        <v>1</v>
      </c>
      <c r="F319" s="14">
        <f t="shared" si="68"/>
        <v>-1.4678452785642688</v>
      </c>
      <c r="G319" s="14">
        <f t="shared" si="73"/>
        <v>-1.3569614702070512</v>
      </c>
      <c r="H319" s="14">
        <f t="shared" si="74"/>
        <v>0.5596653733946152</v>
      </c>
      <c r="I319" s="14">
        <f t="shared" si="75"/>
        <v>6.3545247414318382</v>
      </c>
      <c r="J319" s="14">
        <f t="shared" si="69"/>
        <v>-2.6698610489258163</v>
      </c>
      <c r="K319" s="14">
        <f t="shared" si="76"/>
        <v>-22.789768304743028</v>
      </c>
      <c r="L319" s="14">
        <f t="shared" si="77"/>
        <v>6.892615085005156</v>
      </c>
      <c r="M319" s="14">
        <f t="shared" si="78"/>
        <v>11.389826599536752</v>
      </c>
      <c r="N319" s="14">
        <f t="shared" si="79"/>
        <v>7.5844526085619135</v>
      </c>
      <c r="O319" s="14">
        <f t="shared" si="81"/>
        <v>7.5844526085619135</v>
      </c>
      <c r="P319" s="14">
        <f t="shared" si="71"/>
        <v>1</v>
      </c>
    </row>
    <row r="320" spans="1:16" x14ac:dyDescent="0.25">
      <c r="A320" s="14">
        <f>A319+$A$22</f>
        <v>1.4799999999999904</v>
      </c>
      <c r="B320" s="14">
        <f t="shared" si="64"/>
        <v>14.896898948460597</v>
      </c>
      <c r="C320" s="14">
        <f t="shared" si="65"/>
        <v>11.352600932866308</v>
      </c>
      <c r="D320" s="14">
        <f t="shared" si="80"/>
        <v>11.352600932866308</v>
      </c>
      <c r="E320" s="14">
        <f t="shared" si="67"/>
        <v>1</v>
      </c>
      <c r="F320" s="14">
        <f t="shared" si="68"/>
        <v>-1.4727524240112595</v>
      </c>
      <c r="G320" s="14">
        <f>$F320*COS(PI()/180*$K319)</f>
        <v>-1.3577780858157786</v>
      </c>
      <c r="H320" s="14">
        <f>$F320*SIN(PI()/180*$K319)</f>
        <v>0.57047206076150681</v>
      </c>
      <c r="I320" s="14">
        <f>I319+G320*$A$22</f>
        <v>6.3477358510027591</v>
      </c>
      <c r="J320" s="14">
        <f t="shared" si="69"/>
        <v>-2.7160086886220087</v>
      </c>
      <c r="K320" s="14">
        <f>180/PI()*ATAN(J320/I320)</f>
        <v>-23.16465171120543</v>
      </c>
      <c r="L320" s="14">
        <f>SQRT(I320^2+J320^2)</f>
        <v>6.9043793081475444</v>
      </c>
      <c r="M320" s="14">
        <f t="shared" si="78"/>
        <v>11.421565278791766</v>
      </c>
      <c r="N320" s="14">
        <f>N319+J320*$A$22</f>
        <v>7.5708725651188038</v>
      </c>
      <c r="O320" s="14">
        <f t="shared" si="81"/>
        <v>7.5708725651188038</v>
      </c>
      <c r="P320" s="14">
        <f>IF(AND(N321-N320&lt;0,N320&lt;$B$18),0,1)</f>
        <v>1</v>
      </c>
    </row>
    <row r="321" spans="1:16" x14ac:dyDescent="0.25">
      <c r="A321" s="14">
        <f t="shared" ref="A321:A384" si="82">A320+$A$22</f>
        <v>1.4849999999999903</v>
      </c>
      <c r="B321" s="14">
        <f t="shared" si="64"/>
        <v>14.947226309772963</v>
      </c>
      <c r="C321" s="14">
        <f t="shared" si="65"/>
        <v>11.354571814396264</v>
      </c>
      <c r="D321" s="14">
        <f t="shared" si="80"/>
        <v>11.354571814396264</v>
      </c>
      <c r="E321" s="14">
        <f t="shared" ref="E321:E384" si="83">IF(AND(C322-C321&lt;0,C321&lt;$B$18),0,1)</f>
        <v>1</v>
      </c>
      <c r="F321" s="14">
        <f t="shared" si="68"/>
        <v>-1.477784062554055</v>
      </c>
      <c r="G321" s="14">
        <f t="shared" ref="G321:G384" si="84">$F321*COS(PI()/180*$K320)</f>
        <v>-1.3586424579607437</v>
      </c>
      <c r="H321" s="14">
        <f t="shared" ref="H321:H384" si="85">$F321*SIN(PI()/180*$K320)</f>
        <v>0.58132297990459314</v>
      </c>
      <c r="I321" s="14">
        <f t="shared" ref="I321:I384" si="86">I320+G321*$A$22</f>
        <v>6.3409426387129555</v>
      </c>
      <c r="J321" s="14">
        <f t="shared" si="69"/>
        <v>-2.762102073722486</v>
      </c>
      <c r="K321" s="14">
        <f t="shared" ref="K321:K384" si="87">180/PI()*ATAN(J321/I321)</f>
        <v>-23.537846097316088</v>
      </c>
      <c r="L321" s="14">
        <f t="shared" ref="L321:L384" si="88">SQRT(I321^2+J321^2)</f>
        <v>6.9164124669593035</v>
      </c>
      <c r="M321" s="14">
        <f t="shared" si="78"/>
        <v>11.45326999198533</v>
      </c>
      <c r="N321" s="14">
        <f t="shared" ref="N321:N384" si="89">N320+J321*$A$22</f>
        <v>7.5570620547501912</v>
      </c>
      <c r="O321" s="14">
        <f t="shared" si="81"/>
        <v>7.5570620547501912</v>
      </c>
      <c r="P321" s="14">
        <f t="shared" ref="P321:P384" si="90">IF(AND(N322-N321&lt;0,N321&lt;$B$18),0,1)</f>
        <v>1</v>
      </c>
    </row>
    <row r="322" spans="1:16" x14ac:dyDescent="0.25">
      <c r="A322" s="14">
        <f t="shared" si="82"/>
        <v>1.4899999999999902</v>
      </c>
      <c r="B322" s="14">
        <f t="shared" si="64"/>
        <v>14.997553671085329</v>
      </c>
      <c r="C322" s="14">
        <f t="shared" si="65"/>
        <v>11.356297695926216</v>
      </c>
      <c r="D322" s="14">
        <f t="shared" si="80"/>
        <v>11.356297695926216</v>
      </c>
      <c r="E322" s="14">
        <f t="shared" si="83"/>
        <v>1</v>
      </c>
      <c r="F322" s="14">
        <f t="shared" si="68"/>
        <v>-1.4829396038064122</v>
      </c>
      <c r="G322" s="14">
        <f t="shared" si="84"/>
        <v>-1.3595538162787111</v>
      </c>
      <c r="H322" s="14">
        <f t="shared" si="85"/>
        <v>0.59221895374895861</v>
      </c>
      <c r="I322" s="14">
        <f t="shared" si="86"/>
        <v>6.3341448696315616</v>
      </c>
      <c r="J322" s="14">
        <f t="shared" si="69"/>
        <v>-2.808140978953741</v>
      </c>
      <c r="K322" s="14">
        <f t="shared" si="87"/>
        <v>-23.9093318810712</v>
      </c>
      <c r="L322" s="14">
        <f t="shared" si="88"/>
        <v>6.928711784102374</v>
      </c>
      <c r="M322" s="14">
        <f t="shared" si="78"/>
        <v>11.484940716333488</v>
      </c>
      <c r="N322" s="14">
        <f t="shared" si="89"/>
        <v>7.5430213498554224</v>
      </c>
      <c r="O322" s="14">
        <f t="shared" si="81"/>
        <v>7.5430213498554224</v>
      </c>
      <c r="P322" s="14">
        <f t="shared" si="90"/>
        <v>1</v>
      </c>
    </row>
    <row r="323" spans="1:16" x14ac:dyDescent="0.25">
      <c r="A323" s="14">
        <f t="shared" si="82"/>
        <v>1.4949999999999901</v>
      </c>
      <c r="B323" s="14">
        <f t="shared" si="64"/>
        <v>15.047881032397695</v>
      </c>
      <c r="C323" s="14">
        <f t="shared" si="65"/>
        <v>11.35777857745617</v>
      </c>
      <c r="D323" s="14">
        <f t="shared" si="80"/>
        <v>11.35777857745617</v>
      </c>
      <c r="E323" s="14">
        <f t="shared" si="83"/>
        <v>1</v>
      </c>
      <c r="F323" s="14">
        <f t="shared" si="68"/>
        <v>-1.4882184566019321</v>
      </c>
      <c r="G323" s="14">
        <f t="shared" si="84"/>
        <v>-1.3605113902132615</v>
      </c>
      <c r="H323" s="14">
        <f t="shared" si="85"/>
        <v>0.60316078426122433</v>
      </c>
      <c r="I323" s="14">
        <f t="shared" si="86"/>
        <v>6.3273423126804955</v>
      </c>
      <c r="J323" s="14">
        <f t="shared" si="69"/>
        <v>-2.854125175032435</v>
      </c>
      <c r="K323" s="14">
        <f t="shared" si="87"/>
        <v>-24.27909024399176</v>
      </c>
      <c r="L323" s="14">
        <f t="shared" si="88"/>
        <v>6.9412744691872614</v>
      </c>
      <c r="M323" s="14">
        <f t="shared" si="78"/>
        <v>11.516577427896891</v>
      </c>
      <c r="N323" s="14">
        <f t="shared" si="89"/>
        <v>7.5287507239802602</v>
      </c>
      <c r="O323" s="14">
        <f t="shared" si="81"/>
        <v>7.5287507239802602</v>
      </c>
      <c r="P323" s="14">
        <f t="shared" si="90"/>
        <v>1</v>
      </c>
    </row>
    <row r="324" spans="1:16" x14ac:dyDescent="0.25">
      <c r="A324" s="14">
        <f t="shared" si="82"/>
        <v>1.49999999999999</v>
      </c>
      <c r="B324" s="14">
        <f t="shared" si="64"/>
        <v>15.098208393710062</v>
      </c>
      <c r="C324" s="14">
        <f t="shared" si="65"/>
        <v>11.359014458986127</v>
      </c>
      <c r="D324" s="14">
        <f t="shared" si="80"/>
        <v>11.359014458986127</v>
      </c>
      <c r="E324" s="14">
        <f t="shared" si="83"/>
        <v>1</v>
      </c>
      <c r="F324" s="14">
        <f t="shared" si="68"/>
        <v>-1.4936200289543178</v>
      </c>
      <c r="G324" s="14">
        <f t="shared" si="84"/>
        <v>-1.3615144092373397</v>
      </c>
      <c r="H324" s="14">
        <f t="shared" si="85"/>
        <v>0.61414925248883534</v>
      </c>
      <c r="I324" s="14">
        <f t="shared" si="86"/>
        <v>6.3205347406343089</v>
      </c>
      <c r="J324" s="14">
        <f t="shared" si="69"/>
        <v>-2.900054428769991</v>
      </c>
      <c r="K324" s="14">
        <f t="shared" si="87"/>
        <v>-24.647103127346664</v>
      </c>
      <c r="L324" s="14">
        <f t="shared" si="88"/>
        <v>6.954097719862272</v>
      </c>
      <c r="M324" s="14">
        <f t="shared" si="78"/>
        <v>11.548180101600062</v>
      </c>
      <c r="N324" s="14">
        <f t="shared" si="89"/>
        <v>7.5142504518364106</v>
      </c>
      <c r="O324" s="14">
        <f t="shared" si="81"/>
        <v>7.5142504518364106</v>
      </c>
      <c r="P324" s="14">
        <f t="shared" si="90"/>
        <v>1</v>
      </c>
    </row>
    <row r="325" spans="1:16" x14ac:dyDescent="0.25">
      <c r="A325" s="14">
        <f t="shared" si="82"/>
        <v>1.5049999999999899</v>
      </c>
      <c r="B325" s="14">
        <f t="shared" si="64"/>
        <v>15.148535755022428</v>
      </c>
      <c r="C325" s="14">
        <f t="shared" si="65"/>
        <v>11.36000534051608</v>
      </c>
      <c r="D325" s="14">
        <f t="shared" si="80"/>
        <v>11.36000534051608</v>
      </c>
      <c r="E325" s="14">
        <f t="shared" si="83"/>
        <v>1</v>
      </c>
      <c r="F325" s="14">
        <f t="shared" si="68"/>
        <v>-1.499143728019203</v>
      </c>
      <c r="G325" s="14">
        <f t="shared" si="84"/>
        <v>-1.3625621030728148</v>
      </c>
      <c r="H325" s="14">
        <f t="shared" si="85"/>
        <v>0.62518511860816217</v>
      </c>
      <c r="I325" s="14">
        <f t="shared" si="86"/>
        <v>6.3137219301189447</v>
      </c>
      <c r="J325" s="14">
        <f t="shared" si="69"/>
        <v>-2.9459285031769502</v>
      </c>
      <c r="K325" s="14">
        <f t="shared" si="87"/>
        <v>-25.01335322775374</v>
      </c>
      <c r="L325" s="14">
        <f t="shared" si="88"/>
        <v>6.9671787228902975</v>
      </c>
      <c r="M325" s="14">
        <f t="shared" si="78"/>
        <v>11.579748711250657</v>
      </c>
      <c r="N325" s="14">
        <f t="shared" si="89"/>
        <v>7.4995208093205257</v>
      </c>
      <c r="O325" s="14">
        <f t="shared" si="81"/>
        <v>7.4995208093205257</v>
      </c>
      <c r="P325" s="14">
        <f t="shared" si="90"/>
        <v>1</v>
      </c>
    </row>
    <row r="326" spans="1:16" x14ac:dyDescent="0.25">
      <c r="A326" s="14">
        <f t="shared" si="82"/>
        <v>1.5099999999999898</v>
      </c>
      <c r="B326" s="14">
        <f t="shared" si="64"/>
        <v>15.198863116334794</v>
      </c>
      <c r="C326" s="14">
        <f t="shared" si="65"/>
        <v>11.360751222046034</v>
      </c>
      <c r="D326" s="14">
        <f t="shared" si="80"/>
        <v>11.360751222046034</v>
      </c>
      <c r="E326" s="14">
        <f t="shared" si="83"/>
        <v>1</v>
      </c>
      <c r="F326" s="14">
        <f t="shared" si="68"/>
        <v>-1.5047889600575537</v>
      </c>
      <c r="G326" s="14">
        <f t="shared" si="84"/>
        <v>-1.3636537019068877</v>
      </c>
      <c r="H326" s="14">
        <f t="shared" si="85"/>
        <v>0.63626912198120589</v>
      </c>
      <c r="I326" s="14">
        <f t="shared" si="86"/>
        <v>6.3069036616094101</v>
      </c>
      <c r="J326" s="14">
        <f t="shared" si="69"/>
        <v>-2.991747157567044</v>
      </c>
      <c r="K326" s="14">
        <f t="shared" si="87"/>
        <v>-25.377823992182545</v>
      </c>
      <c r="L326" s="14">
        <f t="shared" si="88"/>
        <v>6.9805146552122261</v>
      </c>
      <c r="M326" s="14">
        <f t="shared" si="78"/>
        <v>11.611283229558705</v>
      </c>
      <c r="N326" s="14">
        <f t="shared" si="89"/>
        <v>7.4845620735326905</v>
      </c>
      <c r="O326" s="14">
        <f t="shared" si="81"/>
        <v>7.4845620735326905</v>
      </c>
      <c r="P326" s="14">
        <f t="shared" si="90"/>
        <v>1</v>
      </c>
    </row>
    <row r="327" spans="1:16" x14ac:dyDescent="0.25">
      <c r="A327" s="14">
        <f t="shared" si="82"/>
        <v>1.5149999999999897</v>
      </c>
      <c r="B327" s="14">
        <f t="shared" si="64"/>
        <v>15.249190477647161</v>
      </c>
      <c r="C327" s="14">
        <f t="shared" si="65"/>
        <v>11.361252103575987</v>
      </c>
      <c r="D327" s="14">
        <f t="shared" si="80"/>
        <v>11.361252103575987</v>
      </c>
      <c r="E327" s="14">
        <f t="shared" si="83"/>
        <v>1</v>
      </c>
      <c r="F327" s="14">
        <f t="shared" si="68"/>
        <v>-1.5105551304006126</v>
      </c>
      <c r="G327" s="14">
        <f t="shared" si="84"/>
        <v>-1.3647884366051601</v>
      </c>
      <c r="H327" s="14">
        <f t="shared" si="85"/>
        <v>0.64740198122067438</v>
      </c>
      <c r="I327" s="14">
        <f t="shared" si="86"/>
        <v>6.3000797194263845</v>
      </c>
      <c r="J327" s="14">
        <f t="shared" si="69"/>
        <v>-3.0375101476609405</v>
      </c>
      <c r="K327" s="14">
        <f t="shared" si="87"/>
        <v>-25.740499612383154</v>
      </c>
      <c r="L327" s="14">
        <f t="shared" si="88"/>
        <v>6.9941026849961832</v>
      </c>
      <c r="M327" s="14">
        <f t="shared" si="78"/>
        <v>11.642783628155836</v>
      </c>
      <c r="N327" s="14">
        <f t="shared" si="89"/>
        <v>7.4693745227943857</v>
      </c>
      <c r="O327" s="14">
        <f t="shared" si="81"/>
        <v>7.4693745227943857</v>
      </c>
      <c r="P327" s="14">
        <f t="shared" si="90"/>
        <v>1</v>
      </c>
    </row>
    <row r="328" spans="1:16" x14ac:dyDescent="0.25">
      <c r="A328" s="14">
        <f t="shared" si="82"/>
        <v>1.5199999999999896</v>
      </c>
      <c r="B328" s="14">
        <f t="shared" si="64"/>
        <v>15.299517838959527</v>
      </c>
      <c r="C328" s="14">
        <f t="shared" si="65"/>
        <v>11.361507985105941</v>
      </c>
      <c r="D328" s="14">
        <f t="shared" si="80"/>
        <v>11.361507985105941</v>
      </c>
      <c r="E328" s="14">
        <f t="shared" si="83"/>
        <v>1</v>
      </c>
      <c r="F328" s="14">
        <f t="shared" si="68"/>
        <v>-1.5164416434163952</v>
      </c>
      <c r="G328" s="14">
        <f t="shared" si="84"/>
        <v>-1.3659655389212322</v>
      </c>
      <c r="H328" s="14">
        <f t="shared" si="85"/>
        <v>0.65858439426321458</v>
      </c>
      <c r="I328" s="14">
        <f t="shared" si="86"/>
        <v>6.2932498917317785</v>
      </c>
      <c r="J328" s="14">
        <f t="shared" si="69"/>
        <v>-3.0832172256896246</v>
      </c>
      <c r="K328" s="14">
        <f t="shared" si="87"/>
        <v>-26.101365018765403</v>
      </c>
      <c r="L328" s="14">
        <f t="shared" si="88"/>
        <v>7.0079399726718021</v>
      </c>
      <c r="M328" s="14">
        <f t="shared" si="78"/>
        <v>11.674249877614495</v>
      </c>
      <c r="N328" s="14">
        <f t="shared" si="89"/>
        <v>7.4539584366659373</v>
      </c>
      <c r="O328" s="14">
        <f t="shared" si="81"/>
        <v>7.4539584366659373</v>
      </c>
      <c r="P328" s="14">
        <f t="shared" si="90"/>
        <v>1</v>
      </c>
    </row>
    <row r="329" spans="1:16" x14ac:dyDescent="0.25">
      <c r="A329" s="14">
        <f t="shared" si="82"/>
        <v>1.5249999999999895</v>
      </c>
      <c r="B329" s="14">
        <f t="shared" si="64"/>
        <v>15.349845200271893</v>
      </c>
      <c r="C329" s="14">
        <f t="shared" si="65"/>
        <v>11.361518866635894</v>
      </c>
      <c r="D329" s="14">
        <f t="shared" si="80"/>
        <v>11.361518866635894</v>
      </c>
      <c r="E329" s="14">
        <f t="shared" si="83"/>
        <v>1</v>
      </c>
      <c r="F329" s="14">
        <f t="shared" si="68"/>
        <v>-1.5224479024777089</v>
      </c>
      <c r="G329" s="14">
        <f t="shared" si="84"/>
        <v>-1.3671842417026681</v>
      </c>
      <c r="H329" s="14">
        <f t="shared" si="85"/>
        <v>0.66981703845055784</v>
      </c>
      <c r="I329" s="14">
        <f t="shared" si="86"/>
        <v>6.2864139705232649</v>
      </c>
      <c r="J329" s="14">
        <f t="shared" si="69"/>
        <v>-3.1288681404973717</v>
      </c>
      <c r="K329" s="14">
        <f t="shared" si="87"/>
        <v>-26.460405873753295</v>
      </c>
      <c r="L329" s="14">
        <f t="shared" si="88"/>
        <v>7.0220236719488183</v>
      </c>
      <c r="M329" s="14">
        <f t="shared" si="78"/>
        <v>11.705681947467111</v>
      </c>
      <c r="N329" s="14">
        <f t="shared" si="89"/>
        <v>7.4383140959634506</v>
      </c>
      <c r="O329" s="14">
        <f t="shared" si="81"/>
        <v>7.4383140959634506</v>
      </c>
      <c r="P329" s="14">
        <f t="shared" si="90"/>
        <v>1</v>
      </c>
    </row>
    <row r="330" spans="1:16" x14ac:dyDescent="0.25">
      <c r="A330" s="14">
        <f t="shared" si="82"/>
        <v>1.5299999999999894</v>
      </c>
      <c r="B330" s="14">
        <f t="shared" si="64"/>
        <v>15.40017256158426</v>
      </c>
      <c r="C330" s="14">
        <f t="shared" si="65"/>
        <v>11.361284748165851</v>
      </c>
      <c r="D330" s="14">
        <f t="shared" si="80"/>
        <v>11.361284748165851</v>
      </c>
      <c r="E330" s="14">
        <f t="shared" si="83"/>
        <v>1</v>
      </c>
      <c r="F330" s="14">
        <f t="shared" si="68"/>
        <v>-1.5285733099316965</v>
      </c>
      <c r="G330" s="14">
        <f t="shared" si="84"/>
        <v>-1.368443779093208</v>
      </c>
      <c r="H330" s="14">
        <f t="shared" si="85"/>
        <v>0.68110057061834972</v>
      </c>
      <c r="I330" s="14">
        <f t="shared" si="86"/>
        <v>6.2795717516277989</v>
      </c>
      <c r="J330" s="14">
        <f t="shared" si="69"/>
        <v>-3.1744626376442802</v>
      </c>
      <c r="K330" s="14">
        <f t="shared" si="87"/>
        <v>-26.81760856463946</v>
      </c>
      <c r="L330" s="14">
        <f t="shared" si="88"/>
        <v>7.0363509308192773</v>
      </c>
      <c r="M330" s="14">
        <f t="shared" si="78"/>
        <v>11.73707980622525</v>
      </c>
      <c r="N330" s="14">
        <f t="shared" si="89"/>
        <v>7.4224417827752296</v>
      </c>
      <c r="O330" s="14">
        <f t="shared" si="81"/>
        <v>7.4224417827752296</v>
      </c>
      <c r="P330" s="14">
        <f t="shared" si="90"/>
        <v>1</v>
      </c>
    </row>
    <row r="331" spans="1:16" x14ac:dyDescent="0.25">
      <c r="A331" s="14">
        <f t="shared" si="82"/>
        <v>1.5349999999999893</v>
      </c>
      <c r="B331" s="14">
        <f t="shared" si="64"/>
        <v>15.450499922896626</v>
      </c>
      <c r="C331" s="14">
        <f t="shared" si="65"/>
        <v>11.360805629695808</v>
      </c>
      <c r="D331" s="14">
        <f t="shared" si="80"/>
        <v>11.360805629695808</v>
      </c>
      <c r="E331" s="14">
        <f t="shared" si="83"/>
        <v>1</v>
      </c>
      <c r="F331" s="14">
        <f t="shared" si="68"/>
        <v>-1.5348172670708806</v>
      </c>
      <c r="G331" s="14">
        <f t="shared" si="84"/>
        <v>-1.3697433867310937</v>
      </c>
      <c r="H331" s="14">
        <f t="shared" si="85"/>
        <v>0.6924356271924198</v>
      </c>
      <c r="I331" s="14">
        <f t="shared" si="86"/>
        <v>6.2727230346941436</v>
      </c>
      <c r="J331" s="14">
        <f t="shared" si="69"/>
        <v>-3.2200004595083183</v>
      </c>
      <c r="K331" s="14">
        <f t="shared" si="87"/>
        <v>-27.172960195964581</v>
      </c>
      <c r="L331" s="14">
        <f t="shared" si="88"/>
        <v>7.0509188925427502</v>
      </c>
      <c r="M331" s="14">
        <f t="shared" si="78"/>
        <v>11.76844342139872</v>
      </c>
      <c r="N331" s="14">
        <f t="shared" si="89"/>
        <v>7.4063417804776881</v>
      </c>
      <c r="O331" s="14">
        <f t="shared" si="81"/>
        <v>7.4063417804776881</v>
      </c>
      <c r="P331" s="14">
        <f t="shared" si="90"/>
        <v>1</v>
      </c>
    </row>
    <row r="332" spans="1:16" x14ac:dyDescent="0.25">
      <c r="A332" s="14">
        <f t="shared" si="82"/>
        <v>1.5399999999999892</v>
      </c>
      <c r="B332" s="14">
        <f t="shared" si="64"/>
        <v>15.500827284208992</v>
      </c>
      <c r="C332" s="14">
        <f t="shared" si="65"/>
        <v>11.360081511225758</v>
      </c>
      <c r="D332" s="14">
        <f t="shared" si="80"/>
        <v>11.360081511225758</v>
      </c>
      <c r="E332" s="14">
        <f t="shared" si="83"/>
        <v>1</v>
      </c>
      <c r="F332" s="14">
        <f t="shared" si="68"/>
        <v>-1.5411791741057048</v>
      </c>
      <c r="G332" s="14">
        <f t="shared" si="84"/>
        <v>-1.371082301943404</v>
      </c>
      <c r="H332" s="14">
        <f t="shared" si="85"/>
        <v>0.70382282429224963</v>
      </c>
      <c r="I332" s="14">
        <f t="shared" si="86"/>
        <v>6.2658676231844268</v>
      </c>
      <c r="J332" s="14">
        <f t="shared" si="69"/>
        <v>-3.2654813453868572</v>
      </c>
      <c r="K332" s="14">
        <f t="shared" si="87"/>
        <v>-27.526448581446761</v>
      </c>
      <c r="L332" s="14">
        <f t="shared" si="88"/>
        <v>7.0657246966139589</v>
      </c>
      <c r="M332" s="14">
        <f t="shared" si="78"/>
        <v>11.799772759514642</v>
      </c>
      <c r="N332" s="14">
        <f t="shared" si="89"/>
        <v>7.3900143737507538</v>
      </c>
      <c r="O332" s="14">
        <f t="shared" si="81"/>
        <v>7.3900143737507538</v>
      </c>
      <c r="P332" s="14">
        <f t="shared" si="90"/>
        <v>1</v>
      </c>
    </row>
    <row r="333" spans="1:16" x14ac:dyDescent="0.25">
      <c r="A333" s="14">
        <f t="shared" si="82"/>
        <v>1.544999999999989</v>
      </c>
      <c r="B333" s="14">
        <f t="shared" si="64"/>
        <v>15.551154645521358</v>
      </c>
      <c r="C333" s="14">
        <f t="shared" si="65"/>
        <v>11.359112392755714</v>
      </c>
      <c r="D333" s="14">
        <f t="shared" si="80"/>
        <v>11.359112392755714</v>
      </c>
      <c r="E333" s="14">
        <f t="shared" si="83"/>
        <v>1</v>
      </c>
      <c r="F333" s="14">
        <f t="shared" si="68"/>
        <v>-1.5476584301385532</v>
      </c>
      <c r="G333" s="14">
        <f t="shared" si="84"/>
        <v>-1.3724597639362885</v>
      </c>
      <c r="H333" s="14">
        <f t="shared" si="85"/>
        <v>0.71526275784139504</v>
      </c>
      <c r="I333" s="14">
        <f t="shared" si="86"/>
        <v>6.259005324364745</v>
      </c>
      <c r="J333" s="14">
        <f t="shared" si="69"/>
        <v>-3.3109050315976503</v>
      </c>
      <c r="K333" s="14">
        <f t="shared" si="87"/>
        <v>-27.878062235485668</v>
      </c>
      <c r="L333" s="14">
        <f t="shared" si="88"/>
        <v>7.080765479712265</v>
      </c>
      <c r="M333" s="14">
        <f t="shared" si="78"/>
        <v>11.831067786136465</v>
      </c>
      <c r="N333" s="14">
        <f t="shared" si="89"/>
        <v>7.3734598485927654</v>
      </c>
      <c r="O333" s="14">
        <f t="shared" si="81"/>
        <v>7.3734598485927654</v>
      </c>
      <c r="P333" s="14">
        <f t="shared" si="90"/>
        <v>1</v>
      </c>
    </row>
    <row r="334" spans="1:16" x14ac:dyDescent="0.25">
      <c r="A334" s="14">
        <f t="shared" si="82"/>
        <v>1.5499999999999889</v>
      </c>
      <c r="B334" s="14">
        <f t="shared" si="64"/>
        <v>15.601482006833724</v>
      </c>
      <c r="C334" s="14">
        <f t="shared" si="65"/>
        <v>11.357898274285667</v>
      </c>
      <c r="D334" s="14">
        <f t="shared" si="80"/>
        <v>11.357898274285667</v>
      </c>
      <c r="E334" s="14">
        <f t="shared" si="83"/>
        <v>1</v>
      </c>
      <c r="F334" s="14">
        <f t="shared" si="68"/>
        <v>-1.5542544331392307</v>
      </c>
      <c r="G334" s="14">
        <f t="shared" si="84"/>
        <v>-1.3738750139810116</v>
      </c>
      <c r="H334" s="14">
        <f t="shared" si="85"/>
        <v>0.72675600368461102</v>
      </c>
      <c r="I334" s="14">
        <f t="shared" si="86"/>
        <v>6.2521359492948401</v>
      </c>
      <c r="J334" s="14">
        <f t="shared" si="69"/>
        <v>-3.3562712515792272</v>
      </c>
      <c r="K334" s="14">
        <f t="shared" si="87"/>
        <v>-28.227790364266344</v>
      </c>
      <c r="L334" s="14">
        <f t="shared" si="88"/>
        <v>7.0960383766325617</v>
      </c>
      <c r="M334" s="14">
        <f t="shared" si="78"/>
        <v>11.862328465882939</v>
      </c>
      <c r="N334" s="14">
        <f t="shared" si="89"/>
        <v>7.3566784923348694</v>
      </c>
      <c r="O334" s="14">
        <f t="shared" si="81"/>
        <v>7.3566784923348694</v>
      </c>
      <c r="P334" s="14">
        <f t="shared" si="90"/>
        <v>1</v>
      </c>
    </row>
    <row r="335" spans="1:16" x14ac:dyDescent="0.25">
      <c r="A335" s="14">
        <f t="shared" si="82"/>
        <v>1.5549999999999888</v>
      </c>
      <c r="B335" s="14">
        <f t="shared" si="64"/>
        <v>15.65180936814609</v>
      </c>
      <c r="C335" s="14">
        <f t="shared" si="65"/>
        <v>11.356439155815622</v>
      </c>
      <c r="D335" s="14">
        <f t="shared" si="80"/>
        <v>11.356439155815622</v>
      </c>
      <c r="E335" s="14">
        <f t="shared" si="83"/>
        <v>1</v>
      </c>
      <c r="F335" s="14">
        <f t="shared" si="68"/>
        <v>-1.5609665799219044</v>
      </c>
      <c r="G335" s="14">
        <f t="shared" si="84"/>
        <v>-1.3753272955957272</v>
      </c>
      <c r="H335" s="14">
        <f t="shared" si="85"/>
        <v>0.73830311771143853</v>
      </c>
      <c r="I335" s="14">
        <f t="shared" si="86"/>
        <v>6.2452593128168612</v>
      </c>
      <c r="J335" s="14">
        <f t="shared" si="69"/>
        <v>-3.4015797359906701</v>
      </c>
      <c r="K335" s="14">
        <f t="shared" si="87"/>
        <v>-28.575622856487239</v>
      </c>
      <c r="L335" s="14">
        <f t="shared" si="88"/>
        <v>7.1115405211970835</v>
      </c>
      <c r="M335" s="14">
        <f t="shared" si="78"/>
        <v>11.893554762447023</v>
      </c>
      <c r="N335" s="14">
        <f t="shared" si="89"/>
        <v>7.3396705936549163</v>
      </c>
      <c r="O335" s="14">
        <f t="shared" si="81"/>
        <v>7.3396705936549163</v>
      </c>
      <c r="P335" s="14">
        <f t="shared" si="90"/>
        <v>1</v>
      </c>
    </row>
    <row r="336" spans="1:16" x14ac:dyDescent="0.25">
      <c r="A336" s="14">
        <f t="shared" si="82"/>
        <v>1.5599999999999887</v>
      </c>
      <c r="B336" s="14">
        <f t="shared" si="64"/>
        <v>15.702136729458456</v>
      </c>
      <c r="C336" s="14">
        <f t="shared" si="65"/>
        <v>11.354735037345575</v>
      </c>
      <c r="D336" s="14">
        <f t="shared" si="80"/>
        <v>11.354735037345575</v>
      </c>
      <c r="E336" s="14">
        <f t="shared" si="83"/>
        <v>1</v>
      </c>
      <c r="F336" s="14">
        <f t="shared" si="68"/>
        <v>-1.5677942661234705</v>
      </c>
      <c r="G336" s="14">
        <f t="shared" si="84"/>
        <v>-1.376815854722897</v>
      </c>
      <c r="H336" s="14">
        <f t="shared" si="85"/>
        <v>0.74990463598599622</v>
      </c>
      <c r="I336" s="14">
        <f t="shared" si="86"/>
        <v>6.2383752335432465</v>
      </c>
      <c r="J336" s="14">
        <f t="shared" si="69"/>
        <v>-3.44683021281074</v>
      </c>
      <c r="K336" s="14">
        <f t="shared" si="87"/>
        <v>-28.921550273736841</v>
      </c>
      <c r="L336" s="14">
        <f t="shared" si="88"/>
        <v>7.1272690471477702</v>
      </c>
      <c r="M336" s="14">
        <f t="shared" si="78"/>
        <v>11.924746638614739</v>
      </c>
      <c r="N336" s="14">
        <f t="shared" si="89"/>
        <v>7.3224364425908623</v>
      </c>
      <c r="O336" s="14">
        <f t="shared" si="81"/>
        <v>7.3224364425908623</v>
      </c>
      <c r="P336" s="14">
        <f t="shared" si="90"/>
        <v>1</v>
      </c>
    </row>
    <row r="337" spans="1:16" x14ac:dyDescent="0.25">
      <c r="A337" s="14">
        <f t="shared" si="82"/>
        <v>1.5649999999999886</v>
      </c>
      <c r="B337" s="14">
        <f t="shared" si="64"/>
        <v>15.752464090770822</v>
      </c>
      <c r="C337" s="14">
        <f t="shared" si="65"/>
        <v>11.352785918875531</v>
      </c>
      <c r="D337" s="14">
        <f t="shared" si="80"/>
        <v>11.352785918875531</v>
      </c>
      <c r="E337" s="14">
        <f t="shared" si="83"/>
        <v>1</v>
      </c>
      <c r="F337" s="14">
        <f t="shared" si="68"/>
        <v>-1.5747368861833513</v>
      </c>
      <c r="G337" s="14">
        <f t="shared" si="84"/>
        <v>-1.3783399399023066</v>
      </c>
      <c r="H337" s="14">
        <f t="shared" si="85"/>
        <v>0.76156107488273217</v>
      </c>
      <c r="I337" s="14">
        <f t="shared" si="86"/>
        <v>6.2314835338437353</v>
      </c>
      <c r="J337" s="14">
        <f t="shared" si="69"/>
        <v>-3.4920224074363264</v>
      </c>
      <c r="K337" s="14">
        <f t="shared" si="87"/>
        <v>-29.265563840543116</v>
      </c>
      <c r="L337" s="14">
        <f t="shared" si="88"/>
        <v>7.1432210890188053</v>
      </c>
      <c r="M337" s="14">
        <f t="shared" si="78"/>
        <v>11.955904056283957</v>
      </c>
      <c r="N337" s="14">
        <f t="shared" si="89"/>
        <v>7.3049763305536803</v>
      </c>
      <c r="O337" s="14">
        <f t="shared" si="81"/>
        <v>7.3049763305536803</v>
      </c>
      <c r="P337" s="14">
        <f t="shared" si="90"/>
        <v>1</v>
      </c>
    </row>
    <row r="338" spans="1:16" x14ac:dyDescent="0.25">
      <c r="A338" s="14">
        <f t="shared" si="82"/>
        <v>1.5699999999999885</v>
      </c>
      <c r="B338" s="14">
        <f t="shared" si="64"/>
        <v>15.802791452083188</v>
      </c>
      <c r="C338" s="14">
        <f t="shared" si="65"/>
        <v>11.350591800405486</v>
      </c>
      <c r="D338" s="14">
        <f t="shared" si="80"/>
        <v>11.350591800405486</v>
      </c>
      <c r="E338" s="14">
        <f t="shared" si="83"/>
        <v>1</v>
      </c>
      <c r="F338" s="14">
        <f t="shared" si="68"/>
        <v>-1.581793833324693</v>
      </c>
      <c r="G338" s="14">
        <f t="shared" si="84"/>
        <v>-1.3798988024396059</v>
      </c>
      <c r="H338" s="14">
        <f t="shared" si="85"/>
        <v>0.77327293122788687</v>
      </c>
      <c r="I338" s="14">
        <f t="shared" si="86"/>
        <v>6.2245840398315373</v>
      </c>
      <c r="J338" s="14">
        <f t="shared" si="69"/>
        <v>-3.5371560427801869</v>
      </c>
      <c r="K338" s="14">
        <f t="shared" si="87"/>
        <v>-29.607655434119494</v>
      </c>
      <c r="L338" s="14">
        <f t="shared" si="88"/>
        <v>7.1593937829890244</v>
      </c>
      <c r="M338" s="14">
        <f t="shared" si="78"/>
        <v>11.987026976483115</v>
      </c>
      <c r="N338" s="14">
        <f t="shared" si="89"/>
        <v>7.2872905503397796</v>
      </c>
      <c r="O338" s="14">
        <f t="shared" si="81"/>
        <v>7.2872905503397796</v>
      </c>
      <c r="P338" s="14">
        <f t="shared" si="90"/>
        <v>1</v>
      </c>
    </row>
    <row r="339" spans="1:16" x14ac:dyDescent="0.25">
      <c r="A339" s="14">
        <f t="shared" si="82"/>
        <v>1.5749999999999884</v>
      </c>
      <c r="B339" s="14">
        <f t="shared" si="64"/>
        <v>15.853118813395554</v>
      </c>
      <c r="C339" s="14">
        <f t="shared" si="65"/>
        <v>11.348152681935439</v>
      </c>
      <c r="D339" s="14">
        <f t="shared" si="80"/>
        <v>11.348152681935439</v>
      </c>
      <c r="E339" s="14">
        <f t="shared" si="83"/>
        <v>1</v>
      </c>
      <c r="F339" s="14">
        <f t="shared" si="68"/>
        <v>-1.5889644995369587</v>
      </c>
      <c r="G339" s="14">
        <f t="shared" si="84"/>
        <v>-1.381491696570341</v>
      </c>
      <c r="H339" s="14">
        <f t="shared" si="85"/>
        <v>0.78504068244641856</v>
      </c>
      <c r="I339" s="14">
        <f t="shared" si="86"/>
        <v>6.2176765813486856</v>
      </c>
      <c r="J339" s="14">
        <f t="shared" si="69"/>
        <v>-3.5822308393679547</v>
      </c>
      <c r="K339" s="14">
        <f t="shared" si="87"/>
        <v>-29.947817573830843</v>
      </c>
      <c r="L339" s="14">
        <f t="shared" si="88"/>
        <v>7.1757842677139285</v>
      </c>
      <c r="M339" s="14">
        <f t="shared" si="78"/>
        <v>12.018115359389858</v>
      </c>
      <c r="N339" s="14">
        <f t="shared" si="89"/>
        <v>7.2693793961429396</v>
      </c>
      <c r="O339" s="14">
        <f t="shared" si="81"/>
        <v>7.2693793961429396</v>
      </c>
      <c r="P339" s="14">
        <f t="shared" si="90"/>
        <v>1</v>
      </c>
    </row>
    <row r="340" spans="1:16" x14ac:dyDescent="0.25">
      <c r="A340" s="14">
        <f t="shared" si="82"/>
        <v>1.5799999999999883</v>
      </c>
      <c r="B340" s="14">
        <f t="shared" si="64"/>
        <v>15.90344617470792</v>
      </c>
      <c r="C340" s="14">
        <f t="shared" si="65"/>
        <v>11.345468563465394</v>
      </c>
      <c r="D340" s="14">
        <f t="shared" si="80"/>
        <v>11.345468563465394</v>
      </c>
      <c r="E340" s="14">
        <f t="shared" si="83"/>
        <v>1</v>
      </c>
      <c r="F340" s="14">
        <f t="shared" si="68"/>
        <v>-1.5962482755598923</v>
      </c>
      <c r="G340" s="14">
        <f t="shared" si="84"/>
        <v>-1.3831178796194319</v>
      </c>
      <c r="H340" s="14">
        <f t="shared" si="85"/>
        <v>0.79686478671414307</v>
      </c>
      <c r="I340" s="14">
        <f t="shared" si="86"/>
        <v>6.2107609919505888</v>
      </c>
      <c r="J340" s="14">
        <f t="shared" si="69"/>
        <v>-3.627246515434384</v>
      </c>
      <c r="K340" s="14">
        <f t="shared" si="87"/>
        <v>-30.286043410402588</v>
      </c>
      <c r="L340" s="14">
        <f t="shared" si="88"/>
        <v>7.1923896851370577</v>
      </c>
      <c r="M340" s="14">
        <f t="shared" si="78"/>
        <v>12.04916916434961</v>
      </c>
      <c r="N340" s="14">
        <f t="shared" si="89"/>
        <v>7.2512431635657677</v>
      </c>
      <c r="O340" s="14">
        <f t="shared" si="81"/>
        <v>7.2512431635657677</v>
      </c>
      <c r="P340" s="14">
        <f t="shared" si="90"/>
        <v>1</v>
      </c>
    </row>
    <row r="341" spans="1:16" x14ac:dyDescent="0.25">
      <c r="A341" s="14">
        <f t="shared" si="82"/>
        <v>1.5849999999999882</v>
      </c>
      <c r="B341" s="14">
        <f t="shared" si="64"/>
        <v>15.953773536020286</v>
      </c>
      <c r="C341" s="14">
        <f t="shared" si="65"/>
        <v>11.342539444995346</v>
      </c>
      <c r="D341" s="14">
        <f t="shared" si="80"/>
        <v>11.342539444995346</v>
      </c>
      <c r="E341" s="14">
        <f t="shared" si="83"/>
        <v>1</v>
      </c>
      <c r="F341" s="14">
        <f t="shared" si="68"/>
        <v>-1.6036445508688442</v>
      </c>
      <c r="G341" s="14">
        <f t="shared" si="84"/>
        <v>-1.3847766121560674</v>
      </c>
      <c r="H341" s="14">
        <f t="shared" si="85"/>
        <v>0.80874568311484751</v>
      </c>
      <c r="I341" s="14">
        <f t="shared" si="86"/>
        <v>6.2038371088898083</v>
      </c>
      <c r="J341" s="14">
        <f t="shared" si="69"/>
        <v>-3.6722027870188096</v>
      </c>
      <c r="K341" s="14">
        <f t="shared" si="87"/>
        <v>-30.622326714895365</v>
      </c>
      <c r="L341" s="14">
        <f t="shared" si="88"/>
        <v>7.2092071812805445</v>
      </c>
      <c r="M341" s="14">
        <f t="shared" si="78"/>
        <v>12.08018834989406</v>
      </c>
      <c r="N341" s="14">
        <f t="shared" si="89"/>
        <v>7.2328821496306732</v>
      </c>
      <c r="O341" s="14">
        <f t="shared" si="81"/>
        <v>7.2328821496306732</v>
      </c>
      <c r="P341" s="14">
        <f t="shared" si="90"/>
        <v>1</v>
      </c>
    </row>
    <row r="342" spans="1:16" x14ac:dyDescent="0.25">
      <c r="A342" s="14">
        <f t="shared" si="82"/>
        <v>1.5899999999999881</v>
      </c>
      <c r="B342" s="14">
        <f t="shared" si="64"/>
        <v>16.004100897332652</v>
      </c>
      <c r="C342" s="14">
        <f t="shared" si="65"/>
        <v>11.339365326525304</v>
      </c>
      <c r="D342" s="14">
        <f t="shared" si="80"/>
        <v>11.339365326525304</v>
      </c>
      <c r="E342" s="14">
        <f t="shared" si="83"/>
        <v>1</v>
      </c>
      <c r="F342" s="14">
        <f t="shared" si="68"/>
        <v>-1.6111527136614363</v>
      </c>
      <c r="G342" s="14">
        <f t="shared" si="84"/>
        <v>-1.3864671581439976</v>
      </c>
      <c r="H342" s="14">
        <f t="shared" si="85"/>
        <v>0.82068379180212736</v>
      </c>
      <c r="I342" s="14">
        <f t="shared" si="86"/>
        <v>6.1969047730990887</v>
      </c>
      <c r="J342" s="14">
        <f t="shared" si="69"/>
        <v>-3.7170993680597988</v>
      </c>
      <c r="K342" s="14">
        <f t="shared" si="87"/>
        <v>-30.95666186746756</v>
      </c>
      <c r="L342" s="14">
        <f t="shared" si="88"/>
        <v>7.2262339070146924</v>
      </c>
      <c r="M342" s="14">
        <f t="shared" si="78"/>
        <v>12.111172873759555</v>
      </c>
      <c r="N342" s="14">
        <f t="shared" si="89"/>
        <v>7.2142966527903738</v>
      </c>
      <c r="O342" s="14">
        <f t="shared" si="81"/>
        <v>7.2142966527903738</v>
      </c>
      <c r="P342" s="14">
        <f t="shared" si="90"/>
        <v>1</v>
      </c>
    </row>
    <row r="343" spans="1:16" x14ac:dyDescent="0.25">
      <c r="A343" s="14">
        <f t="shared" si="82"/>
        <v>1.594999999999988</v>
      </c>
      <c r="B343" s="14">
        <f t="shared" si="64"/>
        <v>16.054428258645018</v>
      </c>
      <c r="C343" s="14">
        <f t="shared" si="65"/>
        <v>11.335946208055255</v>
      </c>
      <c r="D343" s="14">
        <f t="shared" si="80"/>
        <v>11.335946208055255</v>
      </c>
      <c r="E343" s="14">
        <f t="shared" si="83"/>
        <v>1</v>
      </c>
      <c r="F343" s="14">
        <f t="shared" si="68"/>
        <v>-1.6187721508455535</v>
      </c>
      <c r="G343" s="14">
        <f t="shared" si="84"/>
        <v>-1.3881887850872043</v>
      </c>
      <c r="H343" s="14">
        <f t="shared" si="85"/>
        <v>0.83267951416571462</v>
      </c>
      <c r="I343" s="14">
        <f t="shared" si="86"/>
        <v>6.189963829173653</v>
      </c>
      <c r="J343" s="14">
        <f t="shared" si="69"/>
        <v>-3.7619359704889703</v>
      </c>
      <c r="K343" s="14">
        <f t="shared" si="87"/>
        <v>-31.289043845947173</v>
      </c>
      <c r="L343" s="14">
        <f t="shared" si="88"/>
        <v>7.2434670188064603</v>
      </c>
      <c r="M343" s="14">
        <f t="shared" si="78"/>
        <v>12.142122692905424</v>
      </c>
      <c r="N343" s="14">
        <f t="shared" si="89"/>
        <v>7.1954869729379292</v>
      </c>
      <c r="O343" s="14">
        <f t="shared" si="81"/>
        <v>7.1954869729379292</v>
      </c>
      <c r="P343" s="14">
        <f t="shared" si="90"/>
        <v>1</v>
      </c>
    </row>
    <row r="344" spans="1:16" x14ac:dyDescent="0.25">
      <c r="A344" s="14">
        <f t="shared" si="82"/>
        <v>1.5999999999999879</v>
      </c>
      <c r="B344" s="14">
        <f t="shared" ref="B344:B407" si="91">IF(E344=0,B343,$B$19*A344)</f>
        <v>16.104755619957384</v>
      </c>
      <c r="C344" s="14">
        <f t="shared" si="65"/>
        <v>11.33228208958521</v>
      </c>
      <c r="D344" s="14">
        <f t="shared" si="80"/>
        <v>11.33228208958521</v>
      </c>
      <c r="E344" s="14">
        <f t="shared" si="83"/>
        <v>1</v>
      </c>
      <c r="F344" s="14">
        <f t="shared" si="68"/>
        <v>-1.6265022480286455</v>
      </c>
      <c r="G344" s="14">
        <f t="shared" si="84"/>
        <v>-1.3899407641709536</v>
      </c>
      <c r="H344" s="14">
        <f t="shared" si="85"/>
        <v>0.84473323300205461</v>
      </c>
      <c r="I344" s="14">
        <f t="shared" si="86"/>
        <v>6.1830141253527984</v>
      </c>
      <c r="J344" s="14">
        <f t="shared" si="69"/>
        <v>-3.8067123043239599</v>
      </c>
      <c r="K344" s="14">
        <f t="shared" si="87"/>
        <v>-31.619468214234207</v>
      </c>
      <c r="L344" s="14">
        <f t="shared" si="88"/>
        <v>7.2609036794467716</v>
      </c>
      <c r="M344" s="14">
        <f t="shared" si="78"/>
        <v>12.173037763532188</v>
      </c>
      <c r="N344" s="14">
        <f t="shared" si="89"/>
        <v>7.1764534114163094</v>
      </c>
      <c r="O344" s="14">
        <f t="shared" si="81"/>
        <v>7.1764534114163094</v>
      </c>
      <c r="P344" s="14">
        <f t="shared" si="90"/>
        <v>1</v>
      </c>
    </row>
    <row r="345" spans="1:16" x14ac:dyDescent="0.25">
      <c r="A345" s="14">
        <f t="shared" si="82"/>
        <v>1.6049999999999878</v>
      </c>
      <c r="B345" s="14">
        <f t="shared" si="91"/>
        <v>16.15508298126975</v>
      </c>
      <c r="C345" s="14">
        <f t="shared" ref="C345:C408" si="92">$B$20*A345+0.5*$B$16*A345^2+$B$17</f>
        <v>11.328372971115167</v>
      </c>
      <c r="D345" s="14">
        <f t="shared" ref="D345:D408" si="93">IF(E345=1,C345,$B$18)</f>
        <v>11.328372971115167</v>
      </c>
      <c r="E345" s="14">
        <f t="shared" si="83"/>
        <v>1</v>
      </c>
      <c r="F345" s="14">
        <f t="shared" ref="F345:F408" si="94">-$E$13*L344^2</f>
        <v>-1.6343423895083136</v>
      </c>
      <c r="G345" s="14">
        <f t="shared" si="84"/>
        <v>-1.3917223703982105</v>
      </c>
      <c r="H345" s="14">
        <f t="shared" si="85"/>
        <v>0.85684531268889519</v>
      </c>
      <c r="I345" s="14">
        <f t="shared" si="86"/>
        <v>6.1760555135008071</v>
      </c>
      <c r="J345" s="14">
        <f t="shared" ref="J345:J408" si="95">J344+(H345+$B$16)*$A$22</f>
        <v>-3.8514280777605157</v>
      </c>
      <c r="K345" s="14">
        <f t="shared" si="87"/>
        <v>-31.947931110554066</v>
      </c>
      <c r="L345" s="14">
        <f t="shared" si="88"/>
        <v>7.2785410587566091</v>
      </c>
      <c r="M345" s="14">
        <f t="shared" si="78"/>
        <v>12.203918041099692</v>
      </c>
      <c r="N345" s="14">
        <f t="shared" si="89"/>
        <v>7.157196271027507</v>
      </c>
      <c r="O345" s="14">
        <f t="shared" ref="O345:O408" si="96">IF(P345=1,N345,$B$18)</f>
        <v>7.157196271027507</v>
      </c>
      <c r="P345" s="14">
        <f t="shared" si="90"/>
        <v>1</v>
      </c>
    </row>
    <row r="346" spans="1:16" x14ac:dyDescent="0.25">
      <c r="A346" s="14">
        <f t="shared" si="82"/>
        <v>1.6099999999999877</v>
      </c>
      <c r="B346" s="14">
        <f t="shared" si="91"/>
        <v>16.205410342582116</v>
      </c>
      <c r="C346" s="14">
        <f t="shared" si="92"/>
        <v>11.324218852645119</v>
      </c>
      <c r="D346" s="14">
        <f t="shared" si="93"/>
        <v>11.324218852645119</v>
      </c>
      <c r="E346" s="14">
        <f t="shared" si="83"/>
        <v>1</v>
      </c>
      <c r="F346" s="14">
        <f t="shared" si="94"/>
        <v>-1.6422919582641791</v>
      </c>
      <c r="G346" s="14">
        <f t="shared" si="84"/>
        <v>-1.3935328827214484</v>
      </c>
      <c r="H346" s="14">
        <f t="shared" si="85"/>
        <v>0.86901609936366653</v>
      </c>
      <c r="I346" s="14">
        <f t="shared" si="86"/>
        <v>6.1690878490871999</v>
      </c>
      <c r="J346" s="14">
        <f t="shared" si="95"/>
        <v>-3.8960829972636972</v>
      </c>
      <c r="K346" s="14">
        <f t="shared" si="87"/>
        <v>-32.274429235581856</v>
      </c>
      <c r="L346" s="14">
        <f t="shared" si="88"/>
        <v>7.2963763342718702</v>
      </c>
      <c r="M346" s="14">
        <f t="shared" ref="M346:M409" si="97">IF(P346=0,M345,M345+I346*$A$22)</f>
        <v>12.234763480345128</v>
      </c>
      <c r="N346" s="14">
        <f t="shared" si="89"/>
        <v>7.1377158560411882</v>
      </c>
      <c r="O346" s="14">
        <f t="shared" si="96"/>
        <v>7.1377158560411882</v>
      </c>
      <c r="P346" s="14">
        <f t="shared" si="90"/>
        <v>1</v>
      </c>
    </row>
    <row r="347" spans="1:16" x14ac:dyDescent="0.25">
      <c r="A347" s="14">
        <f t="shared" si="82"/>
        <v>1.6149999999999876</v>
      </c>
      <c r="B347" s="14">
        <f t="shared" si="91"/>
        <v>16.255737703894482</v>
      </c>
      <c r="C347" s="14">
        <f t="shared" si="92"/>
        <v>11.319819734175077</v>
      </c>
      <c r="D347" s="14">
        <f t="shared" si="93"/>
        <v>11.319819734175077</v>
      </c>
      <c r="E347" s="14">
        <f t="shared" si="83"/>
        <v>1</v>
      </c>
      <c r="F347" s="14">
        <f t="shared" si="94"/>
        <v>-1.650350335951001</v>
      </c>
      <c r="G347" s="14">
        <f t="shared" si="84"/>
        <v>-1.395371584169844</v>
      </c>
      <c r="H347" s="14">
        <f t="shared" si="85"/>
        <v>0.88124592110540956</v>
      </c>
      <c r="I347" s="14">
        <f t="shared" si="86"/>
        <v>6.162110991166351</v>
      </c>
      <c r="J347" s="14">
        <f t="shared" si="95"/>
        <v>-3.9406767676581702</v>
      </c>
      <c r="K347" s="14">
        <f t="shared" si="87"/>
        <v>-32.598959840457056</v>
      </c>
      <c r="L347" s="14">
        <f t="shared" si="88"/>
        <v>7.3144066919070063</v>
      </c>
      <c r="M347" s="14">
        <f t="shared" si="97"/>
        <v>12.265574035300959</v>
      </c>
      <c r="N347" s="14">
        <f t="shared" si="89"/>
        <v>7.1180124722028975</v>
      </c>
      <c r="O347" s="14">
        <f t="shared" si="96"/>
        <v>7.1180124722028975</v>
      </c>
      <c r="P347" s="14">
        <f t="shared" si="90"/>
        <v>1</v>
      </c>
    </row>
    <row r="348" spans="1:16" x14ac:dyDescent="0.25">
      <c r="A348" s="14">
        <f t="shared" si="82"/>
        <v>1.6199999999999875</v>
      </c>
      <c r="B348" s="14">
        <f t="shared" si="91"/>
        <v>16.306065065206848</v>
      </c>
      <c r="C348" s="14">
        <f t="shared" si="92"/>
        <v>11.315175615705028</v>
      </c>
      <c r="D348" s="14">
        <f t="shared" si="93"/>
        <v>11.315175615705028</v>
      </c>
      <c r="E348" s="14">
        <f t="shared" si="83"/>
        <v>1</v>
      </c>
      <c r="F348" s="14">
        <f t="shared" si="94"/>
        <v>-1.6585169028930338</v>
      </c>
      <c r="G348" s="14">
        <f t="shared" si="84"/>
        <v>-1.397237761971887</v>
      </c>
      <c r="H348" s="14">
        <f t="shared" si="85"/>
        <v>0.89353508812004334</v>
      </c>
      <c r="I348" s="14">
        <f t="shared" si="86"/>
        <v>6.1551248023564913</v>
      </c>
      <c r="J348" s="14">
        <f t="shared" si="95"/>
        <v>-3.9852090922175698</v>
      </c>
      <c r="K348" s="14">
        <f t="shared" si="87"/>
        <v>-32.921520714707135</v>
      </c>
      <c r="L348" s="14">
        <f t="shared" si="88"/>
        <v>7.3326293265974947</v>
      </c>
      <c r="M348" s="14">
        <f t="shared" si="97"/>
        <v>12.296349659312742</v>
      </c>
      <c r="N348" s="14">
        <f t="shared" si="89"/>
        <v>7.0980864267418093</v>
      </c>
      <c r="O348" s="14">
        <f t="shared" si="96"/>
        <v>7.0980864267418093</v>
      </c>
      <c r="P348" s="14">
        <f t="shared" si="90"/>
        <v>1</v>
      </c>
    </row>
    <row r="349" spans="1:16" x14ac:dyDescent="0.25">
      <c r="A349" s="14">
        <f t="shared" si="82"/>
        <v>1.6249999999999873</v>
      </c>
      <c r="B349" s="14">
        <f t="shared" si="91"/>
        <v>16.356392426519214</v>
      </c>
      <c r="C349" s="14">
        <f t="shared" si="92"/>
        <v>11.310286497234985</v>
      </c>
      <c r="D349" s="14">
        <f t="shared" si="93"/>
        <v>11.310286497234985</v>
      </c>
      <c r="E349" s="14">
        <f t="shared" si="83"/>
        <v>1</v>
      </c>
      <c r="F349" s="14">
        <f t="shared" si="94"/>
        <v>-1.6667910380796065</v>
      </c>
      <c r="G349" s="14">
        <f t="shared" si="84"/>
        <v>-1.3991307076734314</v>
      </c>
      <c r="H349" s="14">
        <f t="shared" si="85"/>
        <v>0.90588389292874349</v>
      </c>
      <c r="I349" s="14">
        <f t="shared" si="86"/>
        <v>6.148129148818124</v>
      </c>
      <c r="J349" s="14">
        <f t="shared" si="95"/>
        <v>-4.029679672752926</v>
      </c>
      <c r="K349" s="14">
        <f t="shared" si="87"/>
        <v>-33.242110174098386</v>
      </c>
      <c r="L349" s="14">
        <f t="shared" si="88"/>
        <v>7.3510414429212139</v>
      </c>
      <c r="M349" s="14">
        <f t="shared" si="97"/>
        <v>12.327090305056833</v>
      </c>
      <c r="N349" s="14">
        <f t="shared" si="89"/>
        <v>7.0779380283780444</v>
      </c>
      <c r="O349" s="14">
        <f t="shared" si="96"/>
        <v>7.0779380283780444</v>
      </c>
      <c r="P349" s="14">
        <f t="shared" si="90"/>
        <v>1</v>
      </c>
    </row>
    <row r="350" spans="1:16" x14ac:dyDescent="0.25">
      <c r="A350" s="14">
        <f t="shared" si="82"/>
        <v>1.6299999999999872</v>
      </c>
      <c r="B350" s="14">
        <f t="shared" si="91"/>
        <v>16.40671978783158</v>
      </c>
      <c r="C350" s="14">
        <f t="shared" si="92"/>
        <v>11.305152378764939</v>
      </c>
      <c r="D350" s="14">
        <f t="shared" si="93"/>
        <v>11.305152378764939</v>
      </c>
      <c r="E350" s="14">
        <f t="shared" si="83"/>
        <v>1</v>
      </c>
      <c r="F350" s="14">
        <f t="shared" si="94"/>
        <v>-1.6751721191619011</v>
      </c>
      <c r="G350" s="14">
        <f t="shared" si="84"/>
        <v>-1.4010497172512126</v>
      </c>
      <c r="H350" s="14">
        <f t="shared" si="85"/>
        <v>0.91829261055922251</v>
      </c>
      <c r="I350" s="14">
        <f t="shared" si="86"/>
        <v>6.141123900231868</v>
      </c>
      <c r="J350" s="14">
        <f t="shared" si="95"/>
        <v>-4.0740882097001299</v>
      </c>
      <c r="K350" s="14">
        <f t="shared" si="87"/>
        <v>-33.560727048431247</v>
      </c>
      <c r="L350" s="14">
        <f t="shared" si="88"/>
        <v>7.369640255698827</v>
      </c>
      <c r="M350" s="14">
        <f t="shared" si="97"/>
        <v>12.357795924557992</v>
      </c>
      <c r="N350" s="14">
        <f t="shared" si="89"/>
        <v>7.0575675873295438</v>
      </c>
      <c r="O350" s="14">
        <f t="shared" si="96"/>
        <v>7.0575675873295438</v>
      </c>
      <c r="P350" s="14">
        <f t="shared" si="90"/>
        <v>1</v>
      </c>
    </row>
    <row r="351" spans="1:16" x14ac:dyDescent="0.25">
      <c r="A351" s="14">
        <f t="shared" si="82"/>
        <v>1.6349999999999871</v>
      </c>
      <c r="B351" s="14">
        <f t="shared" si="91"/>
        <v>16.457047149143946</v>
      </c>
      <c r="C351" s="14">
        <f t="shared" si="92"/>
        <v>11.299773260294893</v>
      </c>
      <c r="D351" s="14">
        <f t="shared" si="93"/>
        <v>11.299773260294893</v>
      </c>
      <c r="E351" s="14">
        <f t="shared" si="83"/>
        <v>1</v>
      </c>
      <c r="F351" s="14">
        <f t="shared" si="94"/>
        <v>-1.683659522450917</v>
      </c>
      <c r="G351" s="14">
        <f t="shared" si="84"/>
        <v>-1.4029940912218719</v>
      </c>
      <c r="H351" s="14">
        <f t="shared" si="85"/>
        <v>0.93076149873969527</v>
      </c>
      <c r="I351" s="14">
        <f t="shared" si="86"/>
        <v>6.1341089297757589</v>
      </c>
      <c r="J351" s="14">
        <f t="shared" si="95"/>
        <v>-4.1184344022064314</v>
      </c>
      <c r="K351" s="14">
        <f t="shared" si="87"/>
        <v>-33.877370669297051</v>
      </c>
      <c r="L351" s="14">
        <f t="shared" si="88"/>
        <v>7.3884229905733037</v>
      </c>
      <c r="M351" s="14">
        <f t="shared" si="97"/>
        <v>12.388466469206872</v>
      </c>
      <c r="N351" s="14">
        <f t="shared" si="89"/>
        <v>7.036975415318512</v>
      </c>
      <c r="O351" s="14">
        <f t="shared" si="96"/>
        <v>7.036975415318512</v>
      </c>
      <c r="P351" s="14">
        <f t="shared" si="90"/>
        <v>1</v>
      </c>
    </row>
    <row r="352" spans="1:16" x14ac:dyDescent="0.25">
      <c r="A352" s="14">
        <f t="shared" si="82"/>
        <v>1.639999999999987</v>
      </c>
      <c r="B352" s="14">
        <f t="shared" si="91"/>
        <v>16.507374510456312</v>
      </c>
      <c r="C352" s="14">
        <f t="shared" si="92"/>
        <v>11.294149141824848</v>
      </c>
      <c r="D352" s="14">
        <f t="shared" si="93"/>
        <v>11.294149141824848</v>
      </c>
      <c r="E352" s="14">
        <f t="shared" si="83"/>
        <v>1</v>
      </c>
      <c r="F352" s="14">
        <f t="shared" si="94"/>
        <v>-1.6922526229165971</v>
      </c>
      <c r="G352" s="14">
        <f t="shared" si="84"/>
        <v>-1.404963134746523</v>
      </c>
      <c r="H352" s="14">
        <f t="shared" si="85"/>
        <v>0.94329079809533078</v>
      </c>
      <c r="I352" s="14">
        <f t="shared" si="86"/>
        <v>6.1270841141020265</v>
      </c>
      <c r="J352" s="14">
        <f t="shared" si="95"/>
        <v>-4.1627179482159544</v>
      </c>
      <c r="K352" s="14">
        <f t="shared" si="87"/>
        <v>-34.192040857812373</v>
      </c>
      <c r="L352" s="14">
        <f t="shared" si="88"/>
        <v>7.4073868845687176</v>
      </c>
      <c r="M352" s="14">
        <f t="shared" si="97"/>
        <v>12.419101889777382</v>
      </c>
      <c r="N352" s="14">
        <f t="shared" si="89"/>
        <v>7.0161618255774325</v>
      </c>
      <c r="O352" s="14">
        <f t="shared" si="96"/>
        <v>7.0161618255774325</v>
      </c>
      <c r="P352" s="14">
        <f t="shared" si="90"/>
        <v>1</v>
      </c>
    </row>
    <row r="353" spans="1:16" x14ac:dyDescent="0.25">
      <c r="A353" s="14">
        <f t="shared" si="82"/>
        <v>1.6449999999999869</v>
      </c>
      <c r="B353" s="14">
        <f t="shared" si="91"/>
        <v>16.557701871768682</v>
      </c>
      <c r="C353" s="14">
        <f t="shared" si="92"/>
        <v>11.288280023354801</v>
      </c>
      <c r="D353" s="14">
        <f t="shared" si="93"/>
        <v>11.288280023354801</v>
      </c>
      <c r="E353" s="14">
        <f t="shared" si="83"/>
        <v>1</v>
      </c>
      <c r="F353" s="14">
        <f t="shared" si="94"/>
        <v>-1.7009507941881004</v>
      </c>
      <c r="G353" s="14">
        <f t="shared" si="84"/>
        <v>-1.4069561577309093</v>
      </c>
      <c r="H353" s="14">
        <f t="shared" si="85"/>
        <v>0.95588073234698367</v>
      </c>
      <c r="I353" s="14">
        <f t="shared" si="86"/>
        <v>6.1200493333133723</v>
      </c>
      <c r="J353" s="14">
        <f t="shared" si="95"/>
        <v>-4.2069385445542196</v>
      </c>
      <c r="K353" s="14">
        <f t="shared" si="87"/>
        <v>-34.504737912346329</v>
      </c>
      <c r="L353" s="14">
        <f t="shared" si="88"/>
        <v>7.4265291866285308</v>
      </c>
      <c r="M353" s="14">
        <f t="shared" si="97"/>
        <v>12.449702136443948</v>
      </c>
      <c r="N353" s="14">
        <f t="shared" si="89"/>
        <v>6.9951271328546616</v>
      </c>
      <c r="O353" s="14">
        <f t="shared" si="96"/>
        <v>6.9951271328546616</v>
      </c>
      <c r="P353" s="14">
        <f t="shared" si="90"/>
        <v>1</v>
      </c>
    </row>
    <row r="354" spans="1:16" x14ac:dyDescent="0.25">
      <c r="A354" s="14">
        <f t="shared" si="82"/>
        <v>1.6499999999999868</v>
      </c>
      <c r="B354" s="14">
        <f t="shared" si="91"/>
        <v>16.608029233081048</v>
      </c>
      <c r="C354" s="14">
        <f t="shared" si="92"/>
        <v>11.282165904884756</v>
      </c>
      <c r="D354" s="14">
        <f t="shared" si="93"/>
        <v>11.282165904884756</v>
      </c>
      <c r="E354" s="14">
        <f t="shared" si="83"/>
        <v>1</v>
      </c>
      <c r="F354" s="14">
        <f t="shared" si="94"/>
        <v>-1.7097534085552082</v>
      </c>
      <c r="G354" s="14">
        <f t="shared" si="84"/>
        <v>-1.4089724749212054</v>
      </c>
      <c r="H354" s="14">
        <f t="shared" si="85"/>
        <v>0.9685315085120183</v>
      </c>
      <c r="I354" s="14">
        <f t="shared" si="86"/>
        <v>6.1130044709387663</v>
      </c>
      <c r="J354" s="14">
        <f t="shared" si="95"/>
        <v>-4.2510958870116591</v>
      </c>
      <c r="K354" s="14">
        <f t="shared" si="87"/>
        <v>-34.815462596255827</v>
      </c>
      <c r="L354" s="14">
        <f t="shared" si="88"/>
        <v>7.4458471581335042</v>
      </c>
      <c r="M354" s="14">
        <f t="shared" si="97"/>
        <v>12.480267158798641</v>
      </c>
      <c r="N354" s="14">
        <f t="shared" si="89"/>
        <v>6.9738716534196037</v>
      </c>
      <c r="O354" s="14">
        <f t="shared" si="96"/>
        <v>6.9738716534196037</v>
      </c>
      <c r="P354" s="14">
        <f t="shared" si="90"/>
        <v>1</v>
      </c>
    </row>
    <row r="355" spans="1:16" x14ac:dyDescent="0.25">
      <c r="A355" s="14">
        <f t="shared" si="82"/>
        <v>1.6549999999999867</v>
      </c>
      <c r="B355" s="14">
        <f t="shared" si="91"/>
        <v>16.658356594393414</v>
      </c>
      <c r="C355" s="14">
        <f t="shared" si="92"/>
        <v>11.27580678641471</v>
      </c>
      <c r="D355" s="14">
        <f t="shared" si="93"/>
        <v>11.27580678641471</v>
      </c>
      <c r="E355" s="14">
        <f t="shared" si="83"/>
        <v>1</v>
      </c>
      <c r="F355" s="14">
        <f t="shared" si="94"/>
        <v>-1.7186598369708281</v>
      </c>
      <c r="G355" s="14">
        <f t="shared" si="84"/>
        <v>-1.411011405995501</v>
      </c>
      <c r="H355" s="14">
        <f t="shared" si="85"/>
        <v>0.98124331710702251</v>
      </c>
      <c r="I355" s="14">
        <f t="shared" si="86"/>
        <v>6.1059494139087889</v>
      </c>
      <c r="J355" s="14">
        <f t="shared" si="95"/>
        <v>-4.2951896704261241</v>
      </c>
      <c r="K355" s="14">
        <f t="shared" si="87"/>
        <v>-35.124216125642803</v>
      </c>
      <c r="L355" s="14">
        <f t="shared" si="88"/>
        <v>7.4653380733995132</v>
      </c>
      <c r="M355" s="14">
        <f t="shared" si="97"/>
        <v>12.510796905868185</v>
      </c>
      <c r="N355" s="14">
        <f t="shared" si="89"/>
        <v>6.952395705067473</v>
      </c>
      <c r="O355" s="14">
        <f t="shared" si="96"/>
        <v>6.952395705067473</v>
      </c>
      <c r="P355" s="14">
        <f t="shared" si="90"/>
        <v>1</v>
      </c>
    </row>
    <row r="356" spans="1:16" x14ac:dyDescent="0.25">
      <c r="A356" s="14">
        <f t="shared" si="82"/>
        <v>1.6599999999999866</v>
      </c>
      <c r="B356" s="14">
        <f t="shared" si="91"/>
        <v>16.70868395570578</v>
      </c>
      <c r="C356" s="14">
        <f t="shared" si="92"/>
        <v>11.269202667944665</v>
      </c>
      <c r="D356" s="14">
        <f t="shared" si="93"/>
        <v>11.269202667944665</v>
      </c>
      <c r="E356" s="14">
        <f t="shared" si="83"/>
        <v>1</v>
      </c>
      <c r="F356" s="14">
        <f t="shared" si="94"/>
        <v>-1.727669449054599</v>
      </c>
      <c r="G356" s="14">
        <f t="shared" si="84"/>
        <v>-1.4130722756510463</v>
      </c>
      <c r="H356" s="14">
        <f t="shared" si="85"/>
        <v>0.99401633235223785</v>
      </c>
      <c r="I356" s="14">
        <f t="shared" si="86"/>
        <v>6.0988840525305337</v>
      </c>
      <c r="J356" s="14">
        <f t="shared" si="95"/>
        <v>-4.3392195887643625</v>
      </c>
      <c r="K356" s="14">
        <f t="shared" si="87"/>
        <v>-35.431000157147096</v>
      </c>
      <c r="L356" s="14">
        <f t="shared" si="88"/>
        <v>7.4849992201554452</v>
      </c>
      <c r="M356" s="14">
        <f t="shared" si="97"/>
        <v>12.541291326130837</v>
      </c>
      <c r="N356" s="14">
        <f t="shared" si="89"/>
        <v>6.9306996071236515</v>
      </c>
      <c r="O356" s="14">
        <f t="shared" si="96"/>
        <v>6.9306996071236515</v>
      </c>
      <c r="P356" s="14">
        <f t="shared" si="90"/>
        <v>1</v>
      </c>
    </row>
    <row r="357" spans="1:16" x14ac:dyDescent="0.25">
      <c r="A357" s="14">
        <f t="shared" si="82"/>
        <v>1.6649999999999865</v>
      </c>
      <c r="B357" s="14">
        <f t="shared" si="91"/>
        <v>16.759011317018146</v>
      </c>
      <c r="C357" s="14">
        <f t="shared" si="92"/>
        <v>11.262353549474621</v>
      </c>
      <c r="D357" s="14">
        <f t="shared" si="93"/>
        <v>11.262353549474621</v>
      </c>
      <c r="E357" s="14">
        <f t="shared" si="83"/>
        <v>1</v>
      </c>
      <c r="F357" s="14">
        <f t="shared" si="94"/>
        <v>-1.7367816130975562</v>
      </c>
      <c r="G357" s="14">
        <f t="shared" si="84"/>
        <v>-1.4151544136872951</v>
      </c>
      <c r="H357" s="14">
        <f t="shared" si="85"/>
        <v>1.0068507123775188</v>
      </c>
      <c r="I357" s="14">
        <f t="shared" si="86"/>
        <v>6.0918082804620974</v>
      </c>
      <c r="J357" s="14">
        <f t="shared" si="95"/>
        <v>-4.3831853352024748</v>
      </c>
      <c r="K357" s="14">
        <f t="shared" si="87"/>
        <v>-35.735816775787704</v>
      </c>
      <c r="L357" s="14">
        <f t="shared" si="88"/>
        <v>7.5048279000014784</v>
      </c>
      <c r="M357" s="14">
        <f t="shared" si="97"/>
        <v>12.571750367533149</v>
      </c>
      <c r="N357" s="14">
        <f t="shared" si="89"/>
        <v>6.9087836804476392</v>
      </c>
      <c r="O357" s="14">
        <f t="shared" si="96"/>
        <v>6.9087836804476392</v>
      </c>
      <c r="P357" s="14">
        <f t="shared" si="90"/>
        <v>1</v>
      </c>
    </row>
    <row r="358" spans="1:16" x14ac:dyDescent="0.25">
      <c r="A358" s="14">
        <f t="shared" si="82"/>
        <v>1.6699999999999864</v>
      </c>
      <c r="B358" s="14">
        <f t="shared" si="91"/>
        <v>16.809338678330512</v>
      </c>
      <c r="C358" s="14">
        <f t="shared" si="92"/>
        <v>11.255259431004573</v>
      </c>
      <c r="D358" s="14">
        <f t="shared" si="93"/>
        <v>11.255259431004573</v>
      </c>
      <c r="E358" s="14">
        <f t="shared" si="83"/>
        <v>1</v>
      </c>
      <c r="F358" s="14">
        <f t="shared" si="94"/>
        <v>-1.7459956960678584</v>
      </c>
      <c r="G358" s="14">
        <f t="shared" si="84"/>
        <v>-1.4172571550848312</v>
      </c>
      <c r="H358" s="14">
        <f t="shared" si="85"/>
        <v>1.0197465994296506</v>
      </c>
      <c r="I358" s="14">
        <f t="shared" si="86"/>
        <v>6.0847219946866735</v>
      </c>
      <c r="J358" s="14">
        <f t="shared" si="95"/>
        <v>-4.4270866022053266</v>
      </c>
      <c r="K358" s="14">
        <f t="shared" si="87"/>
        <v>-36.038668482864637</v>
      </c>
      <c r="L358" s="14">
        <f t="shared" si="88"/>
        <v>7.5248214288479751</v>
      </c>
      <c r="M358" s="14">
        <f t="shared" si="97"/>
        <v>12.602173977506581</v>
      </c>
      <c r="N358" s="14">
        <f t="shared" si="89"/>
        <v>6.8866482474366126</v>
      </c>
      <c r="O358" s="14">
        <f t="shared" si="96"/>
        <v>6.8866482474366126</v>
      </c>
      <c r="P358" s="14">
        <f t="shared" si="90"/>
        <v>1</v>
      </c>
    </row>
    <row r="359" spans="1:16" x14ac:dyDescent="0.25">
      <c r="A359" s="14">
        <f t="shared" si="82"/>
        <v>1.6749999999999863</v>
      </c>
      <c r="B359" s="14">
        <f t="shared" si="91"/>
        <v>16.859666039642878</v>
      </c>
      <c r="C359" s="14">
        <f t="shared" si="92"/>
        <v>11.24792031253453</v>
      </c>
      <c r="D359" s="14">
        <f t="shared" si="93"/>
        <v>11.24792031253453</v>
      </c>
      <c r="E359" s="14">
        <f t="shared" si="83"/>
        <v>1</v>
      </c>
      <c r="F359" s="14">
        <f t="shared" si="94"/>
        <v>-1.7553110636175402</v>
      </c>
      <c r="G359" s="14">
        <f t="shared" si="84"/>
        <v>-1.4193798400802271</v>
      </c>
      <c r="H359" s="14">
        <f t="shared" si="85"/>
        <v>1.0327041200808531</v>
      </c>
      <c r="I359" s="14">
        <f t="shared" si="86"/>
        <v>6.0776250954862725</v>
      </c>
      <c r="J359" s="14">
        <f t="shared" si="95"/>
        <v>-4.4709230816049219</v>
      </c>
      <c r="K359" s="14">
        <f t="shared" si="87"/>
        <v>-36.339558183933036</v>
      </c>
      <c r="L359" s="14">
        <f t="shared" si="88"/>
        <v>7.5449771373352865</v>
      </c>
      <c r="M359" s="14">
        <f t="shared" si="97"/>
        <v>12.632562102984012</v>
      </c>
      <c r="N359" s="14">
        <f t="shared" si="89"/>
        <v>6.8642936320285877</v>
      </c>
      <c r="O359" s="14">
        <f t="shared" si="96"/>
        <v>6.8642936320285877</v>
      </c>
      <c r="P359" s="14">
        <f t="shared" si="90"/>
        <v>1</v>
      </c>
    </row>
    <row r="360" spans="1:16" x14ac:dyDescent="0.25">
      <c r="A360" s="14">
        <f t="shared" si="82"/>
        <v>1.6799999999999862</v>
      </c>
      <c r="B360" s="14">
        <f t="shared" si="91"/>
        <v>16.909993400955244</v>
      </c>
      <c r="C360" s="14">
        <f t="shared" si="92"/>
        <v>11.240336194064483</v>
      </c>
      <c r="D360" s="14">
        <f t="shared" si="93"/>
        <v>11.240336194064483</v>
      </c>
      <c r="E360" s="14">
        <f t="shared" si="83"/>
        <v>1</v>
      </c>
      <c r="F360" s="14">
        <f t="shared" si="94"/>
        <v>-1.7647270800902775</v>
      </c>
      <c r="G360" s="14">
        <f t="shared" si="84"/>
        <v>-1.4215218142369126</v>
      </c>
      <c r="H360" s="14">
        <f t="shared" si="85"/>
        <v>1.0457233854383068</v>
      </c>
      <c r="I360" s="14">
        <f t="shared" si="86"/>
        <v>6.0705174864150884</v>
      </c>
      <c r="J360" s="14">
        <f t="shared" si="95"/>
        <v>-4.5146944646777305</v>
      </c>
      <c r="K360" s="14">
        <f t="shared" si="87"/>
        <v>-36.638489176860432</v>
      </c>
      <c r="L360" s="14">
        <f t="shared" si="88"/>
        <v>7.5652923712347766</v>
      </c>
      <c r="M360" s="14">
        <f t="shared" si="97"/>
        <v>12.662914690416088</v>
      </c>
      <c r="N360" s="14">
        <f t="shared" si="89"/>
        <v>6.8417201597051989</v>
      </c>
      <c r="O360" s="14">
        <f t="shared" si="96"/>
        <v>6.8417201597051989</v>
      </c>
      <c r="P360" s="14">
        <f t="shared" si="90"/>
        <v>1</v>
      </c>
    </row>
    <row r="361" spans="1:16" x14ac:dyDescent="0.25">
      <c r="A361" s="14">
        <f t="shared" si="82"/>
        <v>1.6849999999999861</v>
      </c>
      <c r="B361" s="14">
        <f t="shared" si="91"/>
        <v>16.96032076226761</v>
      </c>
      <c r="C361" s="14">
        <f t="shared" si="92"/>
        <v>11.232507075594437</v>
      </c>
      <c r="D361" s="14">
        <f t="shared" si="93"/>
        <v>11.232507075594437</v>
      </c>
      <c r="E361" s="14">
        <f t="shared" si="83"/>
        <v>1</v>
      </c>
      <c r="F361" s="14">
        <f t="shared" si="94"/>
        <v>-1.7742431085301562</v>
      </c>
      <c r="G361" s="14">
        <f t="shared" si="84"/>
        <v>-1.4236824285121248</v>
      </c>
      <c r="H361" s="14">
        <f t="shared" si="85"/>
        <v>1.0588044913545513</v>
      </c>
      <c r="I361" s="14">
        <f t="shared" si="86"/>
        <v>6.0633990742725281</v>
      </c>
      <c r="J361" s="14">
        <f t="shared" si="95"/>
        <v>-4.5584004422209574</v>
      </c>
      <c r="K361" s="14">
        <f t="shared" si="87"/>
        <v>-36.935465139977367</v>
      </c>
      <c r="L361" s="14">
        <f t="shared" si="88"/>
        <v>7.5857644918313385</v>
      </c>
      <c r="M361" s="14">
        <f t="shared" si="97"/>
        <v>12.693231685787451</v>
      </c>
      <c r="N361" s="14">
        <f t="shared" si="89"/>
        <v>6.8189281574940939</v>
      </c>
      <c r="O361" s="14">
        <f t="shared" si="96"/>
        <v>6.8189281574940939</v>
      </c>
      <c r="P361" s="14">
        <f t="shared" si="90"/>
        <v>1</v>
      </c>
    </row>
    <row r="362" spans="1:16" x14ac:dyDescent="0.25">
      <c r="A362" s="14">
        <f t="shared" si="82"/>
        <v>1.689999999999986</v>
      </c>
      <c r="B362" s="14">
        <f t="shared" si="91"/>
        <v>17.010648123579976</v>
      </c>
      <c r="C362" s="14">
        <f t="shared" si="92"/>
        <v>11.224432957124391</v>
      </c>
      <c r="D362" s="14">
        <f t="shared" si="93"/>
        <v>11.224432957124391</v>
      </c>
      <c r="E362" s="14">
        <f t="shared" si="83"/>
        <v>1</v>
      </c>
      <c r="F362" s="14">
        <f t="shared" si="94"/>
        <v>-1.783858510691404</v>
      </c>
      <c r="G362" s="14">
        <f t="shared" si="84"/>
        <v>-1.425861039320006</v>
      </c>
      <c r="H362" s="14">
        <f t="shared" si="85"/>
        <v>1.0719475186385883</v>
      </c>
      <c r="I362" s="14">
        <f t="shared" si="86"/>
        <v>6.0562697690759277</v>
      </c>
      <c r="J362" s="14">
        <f t="shared" si="95"/>
        <v>-4.6020407046277647</v>
      </c>
      <c r="K362" s="14">
        <f t="shared" si="87"/>
        <v>-37.230490120331218</v>
      </c>
      <c r="L362" s="14">
        <f t="shared" si="88"/>
        <v>7.6063908762877688</v>
      </c>
      <c r="M362" s="14">
        <f t="shared" si="97"/>
        <v>12.72351303463283</v>
      </c>
      <c r="N362" s="14">
        <f t="shared" si="89"/>
        <v>6.7959179539709549</v>
      </c>
      <c r="O362" s="14">
        <f t="shared" si="96"/>
        <v>6.7959179539709549</v>
      </c>
      <c r="P362" s="14">
        <f t="shared" si="90"/>
        <v>1</v>
      </c>
    </row>
    <row r="363" spans="1:16" x14ac:dyDescent="0.25">
      <c r="A363" s="14">
        <f t="shared" si="82"/>
        <v>1.6949999999999859</v>
      </c>
      <c r="B363" s="14">
        <f t="shared" si="91"/>
        <v>17.060975484892342</v>
      </c>
      <c r="C363" s="14">
        <f t="shared" si="92"/>
        <v>11.216113838654346</v>
      </c>
      <c r="D363" s="14">
        <f t="shared" si="93"/>
        <v>11.216113838654346</v>
      </c>
      <c r="E363" s="14">
        <f t="shared" si="83"/>
        <v>1</v>
      </c>
      <c r="F363" s="14">
        <f t="shared" si="94"/>
        <v>-1.7935726470490883</v>
      </c>
      <c r="G363" s="14">
        <f t="shared" si="84"/>
        <v>-1.4280570085909339</v>
      </c>
      <c r="H363" s="14">
        <f t="shared" si="85"/>
        <v>1.0851525332675527</v>
      </c>
      <c r="I363" s="14">
        <f t="shared" si="86"/>
        <v>6.0491294840329735</v>
      </c>
      <c r="J363" s="14">
        <f t="shared" si="95"/>
        <v>-4.6456149419614272</v>
      </c>
      <c r="K363" s="14">
        <f t="shared" si="87"/>
        <v>-37.523568522052202</v>
      </c>
      <c r="L363" s="14">
        <f t="shared" si="88"/>
        <v>7.6271689179912823</v>
      </c>
      <c r="M363" s="14">
        <f t="shared" si="97"/>
        <v>12.753758682052995</v>
      </c>
      <c r="N363" s="14">
        <f t="shared" si="89"/>
        <v>6.7726898792611481</v>
      </c>
      <c r="O363" s="14">
        <f t="shared" si="96"/>
        <v>6.7726898792611481</v>
      </c>
      <c r="P363" s="14">
        <f t="shared" si="90"/>
        <v>1</v>
      </c>
    </row>
    <row r="364" spans="1:16" x14ac:dyDescent="0.25">
      <c r="A364" s="14">
        <f t="shared" si="82"/>
        <v>1.6999999999999857</v>
      </c>
      <c r="B364" s="14">
        <f t="shared" si="91"/>
        <v>17.111302846204708</v>
      </c>
      <c r="C364" s="14">
        <f t="shared" si="92"/>
        <v>11.207549720184302</v>
      </c>
      <c r="D364" s="14">
        <f t="shared" si="93"/>
        <v>11.207549720184302</v>
      </c>
      <c r="E364" s="14">
        <f t="shared" si="83"/>
        <v>1</v>
      </c>
      <c r="F364" s="14">
        <f t="shared" si="94"/>
        <v>-1.8033848768107417</v>
      </c>
      <c r="G364" s="14">
        <f t="shared" si="84"/>
        <v>-1.4302697038271492</v>
      </c>
      <c r="H364" s="14">
        <f t="shared" si="85"/>
        <v>1.0984195865988065</v>
      </c>
      <c r="I364" s="14">
        <f t="shared" si="86"/>
        <v>6.0419781355138378</v>
      </c>
      <c r="J364" s="14">
        <f t="shared" si="95"/>
        <v>-4.6891228440284332</v>
      </c>
      <c r="K364" s="14">
        <f t="shared" si="87"/>
        <v>-37.814705094840093</v>
      </c>
      <c r="L364" s="14">
        <f t="shared" si="88"/>
        <v>7.6480960268825449</v>
      </c>
      <c r="M364" s="14">
        <f t="shared" si="97"/>
        <v>12.783968572730565</v>
      </c>
      <c r="N364" s="14">
        <f t="shared" si="89"/>
        <v>6.7492442650410061</v>
      </c>
      <c r="O364" s="14">
        <f t="shared" si="96"/>
        <v>6.7492442650410061</v>
      </c>
      <c r="P364" s="14">
        <f t="shared" si="90"/>
        <v>1</v>
      </c>
    </row>
    <row r="365" spans="1:16" x14ac:dyDescent="0.25">
      <c r="A365" s="14">
        <f t="shared" si="82"/>
        <v>1.7049999999999856</v>
      </c>
      <c r="B365" s="14">
        <f t="shared" si="91"/>
        <v>17.161630207517074</v>
      </c>
      <c r="C365" s="14">
        <f t="shared" si="92"/>
        <v>11.198740601714256</v>
      </c>
      <c r="D365" s="14">
        <f t="shared" si="93"/>
        <v>11.198740601714256</v>
      </c>
      <c r="E365" s="14">
        <f t="shared" si="83"/>
        <v>1</v>
      </c>
      <c r="F365" s="14">
        <f t="shared" si="94"/>
        <v>-1.8132945579289137</v>
      </c>
      <c r="G365" s="14">
        <f t="shared" si="84"/>
        <v>-1.4324984981547724</v>
      </c>
      <c r="H365" s="14">
        <f t="shared" si="85"/>
        <v>1.1117487155823194</v>
      </c>
      <c r="I365" s="14">
        <f t="shared" si="86"/>
        <v>6.0348156430230642</v>
      </c>
      <c r="J365" s="14">
        <f t="shared" si="95"/>
        <v>-4.7325641004505217</v>
      </c>
      <c r="K365" s="14">
        <f t="shared" si="87"/>
        <v>-38.103904922579652</v>
      </c>
      <c r="L365" s="14">
        <f t="shared" si="88"/>
        <v>7.6691696297675493</v>
      </c>
      <c r="M365" s="14">
        <f t="shared" si="97"/>
        <v>12.81414265094568</v>
      </c>
      <c r="N365" s="14">
        <f t="shared" si="89"/>
        <v>6.7255814445387534</v>
      </c>
      <c r="O365" s="14">
        <f t="shared" si="96"/>
        <v>6.7255814445387534</v>
      </c>
      <c r="P365" s="14">
        <f t="shared" si="90"/>
        <v>1</v>
      </c>
    </row>
    <row r="366" spans="1:16" x14ac:dyDescent="0.25">
      <c r="A366" s="14">
        <f t="shared" si="82"/>
        <v>1.7099999999999855</v>
      </c>
      <c r="B366" s="14">
        <f t="shared" si="91"/>
        <v>17.21195756882944</v>
      </c>
      <c r="C366" s="14">
        <f t="shared" si="92"/>
        <v>11.189686483244213</v>
      </c>
      <c r="D366" s="14">
        <f t="shared" si="93"/>
        <v>11.189686483244213</v>
      </c>
      <c r="E366" s="14">
        <f t="shared" si="83"/>
        <v>1</v>
      </c>
      <c r="F366" s="14">
        <f t="shared" si="94"/>
        <v>-1.8233010471146169</v>
      </c>
      <c r="G366" s="14">
        <f t="shared" si="84"/>
        <v>-1.4347427703722768</v>
      </c>
      <c r="H366" s="14">
        <f t="shared" si="85"/>
        <v>1.125139942973203</v>
      </c>
      <c r="I366" s="14">
        <f t="shared" si="86"/>
        <v>6.0276419291712031</v>
      </c>
      <c r="J366" s="14">
        <f t="shared" si="95"/>
        <v>-4.7759384007356553</v>
      </c>
      <c r="K366" s="14">
        <f t="shared" si="87"/>
        <v>-38.391173412091916</v>
      </c>
      <c r="L366" s="14">
        <f t="shared" si="88"/>
        <v>7.6903871706126861</v>
      </c>
      <c r="M366" s="14">
        <f t="shared" si="97"/>
        <v>12.844280860591535</v>
      </c>
      <c r="N366" s="14">
        <f t="shared" si="89"/>
        <v>6.7017017525350751</v>
      </c>
      <c r="O366" s="14">
        <f t="shared" si="96"/>
        <v>6.7017017525350751</v>
      </c>
      <c r="P366" s="14">
        <f t="shared" si="90"/>
        <v>1</v>
      </c>
    </row>
    <row r="367" spans="1:16" x14ac:dyDescent="0.25">
      <c r="A367" s="14">
        <f t="shared" si="82"/>
        <v>1.7149999999999854</v>
      </c>
      <c r="B367" s="14">
        <f t="shared" si="91"/>
        <v>17.262284930141806</v>
      </c>
      <c r="C367" s="14">
        <f t="shared" si="92"/>
        <v>11.180387364774164</v>
      </c>
      <c r="D367" s="14">
        <f t="shared" si="93"/>
        <v>11.180387364774164</v>
      </c>
      <c r="E367" s="14">
        <f t="shared" si="83"/>
        <v>1</v>
      </c>
      <c r="F367" s="14">
        <f t="shared" si="94"/>
        <v>-1.8334036998516499</v>
      </c>
      <c r="G367" s="14">
        <f t="shared" si="84"/>
        <v>-1.4370019049955047</v>
      </c>
      <c r="H367" s="14">
        <f t="shared" si="85"/>
        <v>1.1385932775442724</v>
      </c>
      <c r="I367" s="14">
        <f t="shared" si="86"/>
        <v>6.0204569196462252</v>
      </c>
      <c r="J367" s="14">
        <f t="shared" si="95"/>
        <v>-4.8192454343479341</v>
      </c>
      <c r="K367" s="14">
        <f t="shared" si="87"/>
        <v>-38.676516282028423</v>
      </c>
      <c r="L367" s="14">
        <f t="shared" si="88"/>
        <v>7.7117461108233796</v>
      </c>
      <c r="M367" s="14">
        <f t="shared" si="97"/>
        <v>12.874383145189766</v>
      </c>
      <c r="N367" s="14">
        <f t="shared" si="89"/>
        <v>6.6776055253633357</v>
      </c>
      <c r="O367" s="14">
        <f t="shared" si="96"/>
        <v>6.6776055253633357</v>
      </c>
      <c r="P367" s="14">
        <f t="shared" si="90"/>
        <v>1</v>
      </c>
    </row>
    <row r="368" spans="1:16" x14ac:dyDescent="0.25">
      <c r="A368" s="14">
        <f t="shared" si="82"/>
        <v>1.7199999999999853</v>
      </c>
      <c r="B368" s="14">
        <f t="shared" si="91"/>
        <v>17.312612291454172</v>
      </c>
      <c r="C368" s="14">
        <f t="shared" si="92"/>
        <v>11.170843246304122</v>
      </c>
      <c r="D368" s="14">
        <f t="shared" si="93"/>
        <v>11.170843246304122</v>
      </c>
      <c r="E368" s="14">
        <f t="shared" si="83"/>
        <v>1</v>
      </c>
      <c r="F368" s="14">
        <f t="shared" si="94"/>
        <v>-1.8436018704117851</v>
      </c>
      <c r="G368" s="14">
        <f t="shared" si="84"/>
        <v>-1.439275292299306</v>
      </c>
      <c r="H368" s="14">
        <f t="shared" si="85"/>
        <v>1.1521087142985162</v>
      </c>
      <c r="I368" s="14">
        <f t="shared" si="86"/>
        <v>6.013260543184729</v>
      </c>
      <c r="J368" s="14">
        <f t="shared" si="95"/>
        <v>-4.8624848907764413</v>
      </c>
      <c r="K368" s="14">
        <f t="shared" si="87"/>
        <v>-38.959939551914395</v>
      </c>
      <c r="L368" s="14">
        <f t="shared" si="88"/>
        <v>7.733243929506652</v>
      </c>
      <c r="M368" s="14">
        <f t="shared" si="97"/>
        <v>12.904449447905689</v>
      </c>
      <c r="N368" s="14">
        <f t="shared" si="89"/>
        <v>6.6532931009094538</v>
      </c>
      <c r="O368" s="14">
        <f t="shared" si="96"/>
        <v>6.6532931009094538</v>
      </c>
      <c r="P368" s="14">
        <f t="shared" si="90"/>
        <v>1</v>
      </c>
    </row>
    <row r="369" spans="1:16" x14ac:dyDescent="0.25">
      <c r="A369" s="14">
        <f t="shared" si="82"/>
        <v>1.7249999999999852</v>
      </c>
      <c r="B369" s="14">
        <f t="shared" si="91"/>
        <v>17.362939652766539</v>
      </c>
      <c r="C369" s="14">
        <f t="shared" si="92"/>
        <v>11.161054127834078</v>
      </c>
      <c r="D369" s="14">
        <f t="shared" si="93"/>
        <v>11.161054127834078</v>
      </c>
      <c r="E369" s="14">
        <f t="shared" si="83"/>
        <v>1</v>
      </c>
      <c r="F369" s="14">
        <f t="shared" si="94"/>
        <v>-1.8538949118707959</v>
      </c>
      <c r="G369" s="14">
        <f t="shared" si="84"/>
        <v>-1.4415623283558803</v>
      </c>
      <c r="H369" s="14">
        <f t="shared" si="85"/>
        <v>1.1656862346813566</v>
      </c>
      <c r="I369" s="14">
        <f t="shared" si="86"/>
        <v>6.0060527315429493</v>
      </c>
      <c r="J369" s="14">
        <f t="shared" si="95"/>
        <v>-4.9056564596030343</v>
      </c>
      <c r="K369" s="14">
        <f t="shared" si="87"/>
        <v>-39.241449531346873</v>
      </c>
      <c r="L369" s="14">
        <f t="shared" si="88"/>
        <v>7.7548781237179671</v>
      </c>
      <c r="M369" s="14">
        <f t="shared" si="97"/>
        <v>12.934479711563403</v>
      </c>
      <c r="N369" s="14">
        <f t="shared" si="89"/>
        <v>6.6287648186114385</v>
      </c>
      <c r="O369" s="14">
        <f t="shared" si="96"/>
        <v>6.6287648186114385</v>
      </c>
      <c r="P369" s="14">
        <f t="shared" si="90"/>
        <v>1</v>
      </c>
    </row>
    <row r="370" spans="1:16" x14ac:dyDescent="0.25">
      <c r="A370" s="14">
        <f t="shared" si="82"/>
        <v>1.7299999999999851</v>
      </c>
      <c r="B370" s="14">
        <f t="shared" si="91"/>
        <v>17.413267014078905</v>
      </c>
      <c r="C370" s="14">
        <f t="shared" si="92"/>
        <v>11.151020009364029</v>
      </c>
      <c r="D370" s="14">
        <f t="shared" si="93"/>
        <v>11.151020009364029</v>
      </c>
      <c r="E370" s="14">
        <f t="shared" si="83"/>
        <v>1</v>
      </c>
      <c r="F370" s="14">
        <f t="shared" si="94"/>
        <v>-1.8642821761253043</v>
      </c>
      <c r="G370" s="14">
        <f t="shared" si="84"/>
        <v>-1.4438624150699075</v>
      </c>
      <c r="H370" s="14">
        <f t="shared" si="85"/>
        <v>1.1793258067925905</v>
      </c>
      <c r="I370" s="14">
        <f t="shared" si="86"/>
        <v>5.9988334194675996</v>
      </c>
      <c r="J370" s="14">
        <f t="shared" si="95"/>
        <v>-4.9487598305690712</v>
      </c>
      <c r="K370" s="14">
        <f t="shared" si="87"/>
        <v>-39.521052809352845</v>
      </c>
      <c r="L370" s="14">
        <f t="shared" si="88"/>
        <v>7.7766462086927524</v>
      </c>
      <c r="M370" s="14">
        <f t="shared" si="97"/>
        <v>12.964473878660741</v>
      </c>
      <c r="N370" s="14">
        <f t="shared" si="89"/>
        <v>6.6040210194585933</v>
      </c>
      <c r="O370" s="14">
        <f t="shared" si="96"/>
        <v>6.6040210194585933</v>
      </c>
      <c r="P370" s="14">
        <f t="shared" si="90"/>
        <v>1</v>
      </c>
    </row>
    <row r="371" spans="1:16" x14ac:dyDescent="0.25">
      <c r="A371" s="14">
        <f t="shared" si="82"/>
        <v>1.734999999999985</v>
      </c>
      <c r="B371" s="14">
        <f t="shared" si="91"/>
        <v>17.463594375391271</v>
      </c>
      <c r="C371" s="14">
        <f t="shared" si="92"/>
        <v>11.140740890893987</v>
      </c>
      <c r="D371" s="14">
        <f t="shared" si="93"/>
        <v>11.140740890893987</v>
      </c>
      <c r="E371" s="14">
        <f t="shared" si="83"/>
        <v>1</v>
      </c>
      <c r="F371" s="14">
        <f t="shared" si="94"/>
        <v>-1.8747630139104363</v>
      </c>
      <c r="G371" s="14">
        <f t="shared" si="84"/>
        <v>-1.4461749602105447</v>
      </c>
      <c r="H371" s="14">
        <f t="shared" si="85"/>
        <v>1.1930273855979048</v>
      </c>
      <c r="I371" s="14">
        <f t="shared" si="86"/>
        <v>5.9916025446665468</v>
      </c>
      <c r="J371" s="14">
        <f t="shared" si="95"/>
        <v>-4.991794693641082</v>
      </c>
      <c r="K371" s="14">
        <f t="shared" si="87"/>
        <v>-39.79875624391228</v>
      </c>
      <c r="L371" s="14">
        <f t="shared" si="88"/>
        <v>7.7985457180629458</v>
      </c>
      <c r="M371" s="14">
        <f t="shared" si="97"/>
        <v>12.994431891384073</v>
      </c>
      <c r="N371" s="14">
        <f t="shared" si="89"/>
        <v>6.5790620459903879</v>
      </c>
      <c r="O371" s="14">
        <f t="shared" si="96"/>
        <v>6.5790620459903879</v>
      </c>
      <c r="P371" s="14">
        <f t="shared" si="90"/>
        <v>1</v>
      </c>
    </row>
    <row r="372" spans="1:16" x14ac:dyDescent="0.25">
      <c r="A372" s="14">
        <f t="shared" si="82"/>
        <v>1.7399999999999849</v>
      </c>
      <c r="B372" s="14">
        <f t="shared" si="91"/>
        <v>17.513921736703637</v>
      </c>
      <c r="C372" s="14">
        <f t="shared" si="92"/>
        <v>11.130216772423939</v>
      </c>
      <c r="D372" s="14">
        <f t="shared" si="93"/>
        <v>11.130216772423939</v>
      </c>
      <c r="E372" s="14">
        <f t="shared" si="83"/>
        <v>1</v>
      </c>
      <c r="F372" s="14">
        <f t="shared" si="94"/>
        <v>-1.8853367748182552</v>
      </c>
      <c r="G372" s="14">
        <f t="shared" si="84"/>
        <v>-1.4484993774403749</v>
      </c>
      <c r="H372" s="14">
        <f t="shared" si="85"/>
        <v>1.206790913139864</v>
      </c>
      <c r="I372" s="14">
        <f t="shared" si="86"/>
        <v>5.9843600477793446</v>
      </c>
      <c r="J372" s="14">
        <f t="shared" si="95"/>
        <v>-5.0347607390753826</v>
      </c>
      <c r="K372" s="14">
        <f t="shared" si="87"/>
        <v>-40.074566951650347</v>
      </c>
      <c r="L372" s="14">
        <f t="shared" si="88"/>
        <v>7.8205742040589632</v>
      </c>
      <c r="M372" s="14">
        <f t="shared" si="97"/>
        <v>13.02435369162297</v>
      </c>
      <c r="N372" s="14">
        <f t="shared" si="89"/>
        <v>6.5538882422950113</v>
      </c>
      <c r="O372" s="14">
        <f t="shared" si="96"/>
        <v>6.5538882422950113</v>
      </c>
      <c r="P372" s="14">
        <f t="shared" si="90"/>
        <v>1</v>
      </c>
    </row>
    <row r="373" spans="1:16" x14ac:dyDescent="0.25">
      <c r="A373" s="14">
        <f t="shared" si="82"/>
        <v>1.7449999999999848</v>
      </c>
      <c r="B373" s="14">
        <f t="shared" si="91"/>
        <v>17.564249098016003</v>
      </c>
      <c r="C373" s="14">
        <f t="shared" si="92"/>
        <v>11.119447653953895</v>
      </c>
      <c r="D373" s="14">
        <f t="shared" si="93"/>
        <v>11.119447653953895</v>
      </c>
      <c r="E373" s="14">
        <f t="shared" si="83"/>
        <v>1</v>
      </c>
      <c r="F373" s="14">
        <f t="shared" si="94"/>
        <v>-1.896002807316967</v>
      </c>
      <c r="G373" s="14">
        <f t="shared" si="84"/>
        <v>-1.4508350863413901</v>
      </c>
      <c r="H373" s="14">
        <f t="shared" si="85"/>
        <v>1.220616318748275</v>
      </c>
      <c r="I373" s="14">
        <f t="shared" si="86"/>
        <v>5.9771058723476376</v>
      </c>
      <c r="J373" s="14">
        <f t="shared" si="95"/>
        <v>-5.077657657481641</v>
      </c>
      <c r="K373" s="14">
        <f t="shared" si="87"/>
        <v>-40.348492297702592</v>
      </c>
      <c r="L373" s="14">
        <f t="shared" si="88"/>
        <v>7.8427292376974593</v>
      </c>
      <c r="M373" s="14">
        <f t="shared" si="97"/>
        <v>13.054239220984709</v>
      </c>
      <c r="N373" s="14">
        <f t="shared" si="89"/>
        <v>6.5284999540076027</v>
      </c>
      <c r="O373" s="14">
        <f t="shared" si="96"/>
        <v>6.5284999540076027</v>
      </c>
      <c r="P373" s="14">
        <f t="shared" si="90"/>
        <v>1</v>
      </c>
    </row>
    <row r="374" spans="1:16" x14ac:dyDescent="0.25">
      <c r="A374" s="14">
        <f t="shared" si="82"/>
        <v>1.7499999999999847</v>
      </c>
      <c r="B374" s="14">
        <f t="shared" si="91"/>
        <v>17.614576459328369</v>
      </c>
      <c r="C374" s="14">
        <f t="shared" si="92"/>
        <v>11.108433535483847</v>
      </c>
      <c r="D374" s="14">
        <f t="shared" si="93"/>
        <v>11.108433535483847</v>
      </c>
      <c r="E374" s="14">
        <f t="shared" si="83"/>
        <v>1</v>
      </c>
      <c r="F374" s="14">
        <f t="shared" si="94"/>
        <v>-1.9067604587708717</v>
      </c>
      <c r="G374" s="14">
        <f t="shared" si="84"/>
        <v>-1.453181512438094</v>
      </c>
      <c r="H374" s="14">
        <f t="shared" si="85"/>
        <v>1.2345035192498395</v>
      </c>
      <c r="I374" s="14">
        <f t="shared" si="86"/>
        <v>5.9698399647854474</v>
      </c>
      <c r="J374" s="14">
        <f t="shared" si="95"/>
        <v>-5.1204851398853917</v>
      </c>
      <c r="K374" s="14">
        <f t="shared" si="87"/>
        <v>-40.620539885756621</v>
      </c>
      <c r="L374" s="14">
        <f t="shared" si="88"/>
        <v>7.8650084089552399</v>
      </c>
      <c r="M374" s="14">
        <f t="shared" si="97"/>
        <v>13.084088420808635</v>
      </c>
      <c r="N374" s="14">
        <f t="shared" si="89"/>
        <v>6.5028975283081758</v>
      </c>
      <c r="O374" s="14">
        <f t="shared" si="96"/>
        <v>6.5028975283081758</v>
      </c>
      <c r="P374" s="14">
        <f t="shared" si="90"/>
        <v>1</v>
      </c>
    </row>
    <row r="375" spans="1:16" x14ac:dyDescent="0.25">
      <c r="A375" s="14">
        <f t="shared" si="82"/>
        <v>1.7549999999999846</v>
      </c>
      <c r="B375" s="14">
        <f t="shared" si="91"/>
        <v>17.664903820640735</v>
      </c>
      <c r="C375" s="14">
        <f t="shared" si="92"/>
        <v>11.097174417013804</v>
      </c>
      <c r="D375" s="14">
        <f t="shared" si="93"/>
        <v>11.097174417013804</v>
      </c>
      <c r="E375" s="14">
        <f t="shared" si="83"/>
        <v>1</v>
      </c>
      <c r="F375" s="14">
        <f t="shared" si="94"/>
        <v>-1.9176090754610358</v>
      </c>
      <c r="G375" s="14">
        <f t="shared" si="84"/>
        <v>-1.4555380872177925</v>
      </c>
      <c r="H375" s="14">
        <f t="shared" si="85"/>
        <v>1.2484524191769977</v>
      </c>
      <c r="I375" s="14">
        <f t="shared" si="86"/>
        <v>5.9625622743493585</v>
      </c>
      <c r="J375" s="14">
        <f t="shared" si="95"/>
        <v>-5.1632428777895063</v>
      </c>
      <c r="K375" s="14">
        <f t="shared" si="87"/>
        <v>-40.890717548273159</v>
      </c>
      <c r="L375" s="14">
        <f t="shared" si="88"/>
        <v>7.8874093269297401</v>
      </c>
      <c r="M375" s="14">
        <f t="shared" si="97"/>
        <v>13.113901232180382</v>
      </c>
      <c r="N375" s="14">
        <f t="shared" si="89"/>
        <v>6.4770813139192285</v>
      </c>
      <c r="O375" s="14">
        <f t="shared" si="96"/>
        <v>6.4770813139192285</v>
      </c>
      <c r="P375" s="14">
        <f t="shared" si="90"/>
        <v>1</v>
      </c>
    </row>
    <row r="376" spans="1:16" x14ac:dyDescent="0.25">
      <c r="A376" s="14">
        <f t="shared" si="82"/>
        <v>1.7599999999999845</v>
      </c>
      <c r="B376" s="14">
        <f t="shared" si="91"/>
        <v>17.715231181953101</v>
      </c>
      <c r="C376" s="14">
        <f t="shared" si="92"/>
        <v>11.085670298543761</v>
      </c>
      <c r="D376" s="14">
        <f t="shared" si="93"/>
        <v>11.085670298543761</v>
      </c>
      <c r="E376" s="14">
        <f t="shared" si="83"/>
        <v>1</v>
      </c>
      <c r="F376" s="14">
        <f t="shared" si="94"/>
        <v>-1.9285480026066857</v>
      </c>
      <c r="G376" s="14">
        <f t="shared" si="84"/>
        <v>-1.4579042481481785</v>
      </c>
      <c r="H376" s="14">
        <f t="shared" si="85"/>
        <v>1.2624629109758954</v>
      </c>
      <c r="I376" s="14">
        <f t="shared" si="86"/>
        <v>5.955272753108618</v>
      </c>
      <c r="J376" s="14">
        <f t="shared" si="95"/>
        <v>-5.2059305632346264</v>
      </c>
      <c r="K376" s="14">
        <f t="shared" si="87"/>
        <v>-41.159033336889209</v>
      </c>
      <c r="L376" s="14">
        <f t="shared" si="88"/>
        <v>7.9099296199864062</v>
      </c>
      <c r="M376" s="14">
        <f t="shared" si="97"/>
        <v>13.143677595945926</v>
      </c>
      <c r="N376" s="14">
        <f t="shared" si="89"/>
        <v>6.4510516611030555</v>
      </c>
      <c r="O376" s="14">
        <f t="shared" si="96"/>
        <v>6.4510516611030555</v>
      </c>
      <c r="P376" s="14">
        <f t="shared" si="90"/>
        <v>1</v>
      </c>
    </row>
    <row r="377" spans="1:16" x14ac:dyDescent="0.25">
      <c r="A377" s="14">
        <f t="shared" si="82"/>
        <v>1.7649999999999844</v>
      </c>
      <c r="B377" s="14">
        <f t="shared" si="91"/>
        <v>17.765558543265467</v>
      </c>
      <c r="C377" s="14">
        <f t="shared" si="92"/>
        <v>11.073921180073713</v>
      </c>
      <c r="D377" s="14">
        <f t="shared" si="93"/>
        <v>11.073921180073713</v>
      </c>
      <c r="E377" s="14">
        <f t="shared" si="83"/>
        <v>1</v>
      </c>
      <c r="F377" s="14">
        <f t="shared" si="94"/>
        <v>-1.9395765843872872</v>
      </c>
      <c r="G377" s="14">
        <f t="shared" si="84"/>
        <v>-1.4602794386922673</v>
      </c>
      <c r="H377" s="14">
        <f t="shared" si="85"/>
        <v>1.2765348752133847</v>
      </c>
      <c r="I377" s="14">
        <f t="shared" si="86"/>
        <v>5.9479713559151568</v>
      </c>
      <c r="J377" s="14">
        <f t="shared" si="95"/>
        <v>-5.2485478888585595</v>
      </c>
      <c r="K377" s="14">
        <f t="shared" si="87"/>
        <v>-41.425495513005352</v>
      </c>
      <c r="L377" s="14">
        <f t="shared" si="88"/>
        <v>7.9325669358933766</v>
      </c>
      <c r="M377" s="14">
        <f t="shared" si="97"/>
        <v>13.173417452725502</v>
      </c>
      <c r="N377" s="14">
        <f t="shared" si="89"/>
        <v>6.4248089216587623</v>
      </c>
      <c r="O377" s="14">
        <f t="shared" si="96"/>
        <v>6.4248089216587623</v>
      </c>
      <c r="P377" s="14">
        <f t="shared" si="90"/>
        <v>1</v>
      </c>
    </row>
    <row r="378" spans="1:16" x14ac:dyDescent="0.25">
      <c r="A378" s="14">
        <f t="shared" si="82"/>
        <v>1.7699999999999843</v>
      </c>
      <c r="B378" s="14">
        <f t="shared" si="91"/>
        <v>17.815885904577833</v>
      </c>
      <c r="C378" s="14">
        <f t="shared" si="92"/>
        <v>11.061927061603669</v>
      </c>
      <c r="D378" s="14">
        <f t="shared" si="93"/>
        <v>11.061927061603669</v>
      </c>
      <c r="E378" s="14">
        <f t="shared" si="83"/>
        <v>1</v>
      </c>
      <c r="F378" s="14">
        <f t="shared" si="94"/>
        <v>-1.9506941639652939</v>
      </c>
      <c r="G378" s="14">
        <f t="shared" si="84"/>
        <v>-1.4626631083207777</v>
      </c>
      <c r="H378" s="14">
        <f t="shared" si="85"/>
        <v>1.2906681807829843</v>
      </c>
      <c r="I378" s="14">
        <f t="shared" si="86"/>
        <v>5.9406580403735525</v>
      </c>
      <c r="J378" s="14">
        <f t="shared" si="95"/>
        <v>-5.2910945479546445</v>
      </c>
      <c r="K378" s="14">
        <f t="shared" si="87"/>
        <v>-41.690112538559305</v>
      </c>
      <c r="L378" s="14">
        <f t="shared" si="88"/>
        <v>7.9553189419438297</v>
      </c>
      <c r="M378" s="14">
        <f t="shared" si="97"/>
        <v>13.20312074292737</v>
      </c>
      <c r="N378" s="14">
        <f t="shared" si="89"/>
        <v>6.3983534489189893</v>
      </c>
      <c r="O378" s="14">
        <f t="shared" si="96"/>
        <v>6.3983534489189893</v>
      </c>
      <c r="P378" s="14">
        <f t="shared" si="90"/>
        <v>1</v>
      </c>
    </row>
    <row r="379" spans="1:16" x14ac:dyDescent="0.25">
      <c r="A379" s="14">
        <f t="shared" si="82"/>
        <v>1.7749999999999841</v>
      </c>
      <c r="B379" s="14">
        <f t="shared" si="91"/>
        <v>17.866213265890199</v>
      </c>
      <c r="C379" s="14">
        <f t="shared" si="92"/>
        <v>11.049687943133621</v>
      </c>
      <c r="D379" s="14">
        <f t="shared" si="93"/>
        <v>11.049687943133621</v>
      </c>
      <c r="E379" s="14">
        <f t="shared" si="83"/>
        <v>1</v>
      </c>
      <c r="F379" s="14">
        <f t="shared" si="94"/>
        <v>-1.961900083509559</v>
      </c>
      <c r="G379" s="14">
        <f t="shared" si="84"/>
        <v>-1.4650547125220335</v>
      </c>
      <c r="H379" s="14">
        <f t="shared" si="85"/>
        <v>1.3048626851097387</v>
      </c>
      <c r="I379" s="14">
        <f t="shared" si="86"/>
        <v>5.9333327668109419</v>
      </c>
      <c r="J379" s="14">
        <f t="shared" si="95"/>
        <v>-5.3335702345290956</v>
      </c>
      <c r="K379" s="14">
        <f t="shared" si="87"/>
        <v>-41.952893066986931</v>
      </c>
      <c r="L379" s="14">
        <f t="shared" si="88"/>
        <v>7.9781833250663734</v>
      </c>
      <c r="M379" s="14">
        <f t="shared" si="97"/>
        <v>13.232787406761425</v>
      </c>
      <c r="N379" s="14">
        <f t="shared" si="89"/>
        <v>6.3716855977463434</v>
      </c>
      <c r="O379" s="14">
        <f t="shared" si="96"/>
        <v>6.3716855977463434</v>
      </c>
      <c r="P379" s="14">
        <f t="shared" si="90"/>
        <v>1</v>
      </c>
    </row>
    <row r="380" spans="1:16" x14ac:dyDescent="0.25">
      <c r="A380" s="14">
        <f t="shared" si="82"/>
        <v>1.779999999999984</v>
      </c>
      <c r="B380" s="14">
        <f t="shared" si="91"/>
        <v>17.916540627202565</v>
      </c>
      <c r="C380" s="14">
        <f t="shared" si="92"/>
        <v>11.037203824663578</v>
      </c>
      <c r="D380" s="14">
        <f t="shared" si="93"/>
        <v>11.037203824663578</v>
      </c>
      <c r="E380" s="14">
        <f t="shared" si="83"/>
        <v>1</v>
      </c>
      <c r="F380" s="14">
        <f t="shared" si="94"/>
        <v>-1.9731936842193811</v>
      </c>
      <c r="G380" s="14">
        <f t="shared" si="84"/>
        <v>-1.4674537128094705</v>
      </c>
      <c r="H380" s="14">
        <f t="shared" si="85"/>
        <v>1.3191182343539019</v>
      </c>
      <c r="I380" s="14">
        <f t="shared" si="86"/>
        <v>5.9259954982468948</v>
      </c>
      <c r="J380" s="14">
        <f t="shared" si="95"/>
        <v>-5.3759746433573259</v>
      </c>
      <c r="K380" s="14">
        <f t="shared" si="87"/>
        <v>-42.213845934372124</v>
      </c>
      <c r="L380" s="14">
        <f t="shared" si="88"/>
        <v>8.0011577919238288</v>
      </c>
      <c r="M380" s="14">
        <f t="shared" si="97"/>
        <v>13.262417384252659</v>
      </c>
      <c r="N380" s="14">
        <f t="shared" si="89"/>
        <v>6.3448057245295564</v>
      </c>
      <c r="O380" s="14">
        <f t="shared" si="96"/>
        <v>6.3448057245295564</v>
      </c>
      <c r="P380" s="14">
        <f t="shared" si="90"/>
        <v>1</v>
      </c>
    </row>
    <row r="381" spans="1:16" x14ac:dyDescent="0.25">
      <c r="A381" s="14">
        <f t="shared" si="82"/>
        <v>1.7849999999999839</v>
      </c>
      <c r="B381" s="14">
        <f t="shared" si="91"/>
        <v>17.966867988514931</v>
      </c>
      <c r="C381" s="14">
        <f t="shared" si="92"/>
        <v>11.024474706193532</v>
      </c>
      <c r="D381" s="14">
        <f t="shared" si="93"/>
        <v>11.024474706193532</v>
      </c>
      <c r="E381" s="14">
        <f t="shared" si="83"/>
        <v>1</v>
      </c>
      <c r="F381" s="14">
        <f t="shared" si="94"/>
        <v>-1.9845743063491654</v>
      </c>
      <c r="G381" s="14">
        <f t="shared" si="84"/>
        <v>-1.4698595767268141</v>
      </c>
      <c r="H381" s="14">
        <f t="shared" si="85"/>
        <v>1.3334346636133851</v>
      </c>
      <c r="I381" s="14">
        <f t="shared" si="86"/>
        <v>5.9186462003632609</v>
      </c>
      <c r="J381" s="14">
        <f t="shared" si="95"/>
        <v>-5.4183074700392586</v>
      </c>
      <c r="K381" s="14">
        <f t="shared" si="87"/>
        <v>-42.47298015078627</v>
      </c>
      <c r="L381" s="14">
        <f t="shared" si="88"/>
        <v>8.0242400690007845</v>
      </c>
      <c r="M381" s="14">
        <f t="shared" si="97"/>
        <v>13.292010615254476</v>
      </c>
      <c r="N381" s="14">
        <f t="shared" si="89"/>
        <v>6.3177141871793605</v>
      </c>
      <c r="O381" s="14">
        <f t="shared" si="96"/>
        <v>6.3177141871793605</v>
      </c>
      <c r="P381" s="14">
        <f t="shared" si="90"/>
        <v>1</v>
      </c>
    </row>
    <row r="382" spans="1:16" x14ac:dyDescent="0.25">
      <c r="A382" s="14">
        <f t="shared" si="82"/>
        <v>1.7899999999999838</v>
      </c>
      <c r="B382" s="14">
        <f t="shared" si="91"/>
        <v>18.017195349827297</v>
      </c>
      <c r="C382" s="14">
        <f t="shared" si="92"/>
        <v>11.011500587723486</v>
      </c>
      <c r="D382" s="14">
        <f t="shared" si="93"/>
        <v>11.011500587723486</v>
      </c>
      <c r="E382" s="14">
        <f t="shared" si="83"/>
        <v>1</v>
      </c>
      <c r="F382" s="14">
        <f t="shared" si="94"/>
        <v>-1.9960412892336892</v>
      </c>
      <c r="G382" s="14">
        <f t="shared" si="84"/>
        <v>-1.4722717778510179</v>
      </c>
      <c r="H382" s="14">
        <f t="shared" si="85"/>
        <v>1.3478117971249142</v>
      </c>
      <c r="I382" s="14">
        <f t="shared" si="86"/>
        <v>5.9112848414740062</v>
      </c>
      <c r="J382" s="14">
        <f t="shared" si="95"/>
        <v>-5.4605684110536341</v>
      </c>
      <c r="K382" s="14">
        <f t="shared" si="87"/>
        <v>-42.730304891817831</v>
      </c>
      <c r="L382" s="14">
        <f t="shared" si="88"/>
        <v>8.0474279026802833</v>
      </c>
      <c r="M382" s="14">
        <f t="shared" si="97"/>
        <v>13.321567039461845</v>
      </c>
      <c r="N382" s="14">
        <f t="shared" si="89"/>
        <v>6.2904113451240926</v>
      </c>
      <c r="O382" s="14">
        <f t="shared" si="96"/>
        <v>6.2904113451240926</v>
      </c>
      <c r="P382" s="14">
        <f t="shared" si="90"/>
        <v>1</v>
      </c>
    </row>
    <row r="383" spans="1:16" x14ac:dyDescent="0.25">
      <c r="A383" s="14">
        <f t="shared" si="82"/>
        <v>1.7949999999999837</v>
      </c>
      <c r="B383" s="14">
        <f t="shared" si="91"/>
        <v>18.067522711139663</v>
      </c>
      <c r="C383" s="14">
        <f t="shared" si="92"/>
        <v>10.998281469253442</v>
      </c>
      <c r="D383" s="14">
        <f t="shared" si="93"/>
        <v>10.998281469253442</v>
      </c>
      <c r="E383" s="14">
        <f t="shared" si="83"/>
        <v>1</v>
      </c>
      <c r="F383" s="14">
        <f t="shared" si="94"/>
        <v>-2.0075939713139528</v>
      </c>
      <c r="G383" s="14">
        <f t="shared" si="84"/>
        <v>-1.4746897957930365</v>
      </c>
      <c r="H383" s="14">
        <f t="shared" si="85"/>
        <v>1.3622494484638343</v>
      </c>
      <c r="I383" s="14">
        <f t="shared" si="86"/>
        <v>5.9039113924950408</v>
      </c>
      <c r="J383" s="14">
        <f t="shared" si="95"/>
        <v>-5.5027571638113146</v>
      </c>
      <c r="K383" s="14">
        <f t="shared" si="87"/>
        <v>-42.985829490292481</v>
      </c>
      <c r="L383" s="14">
        <f t="shared" si="88"/>
        <v>8.0707190593099867</v>
      </c>
      <c r="M383" s="14">
        <f t="shared" si="97"/>
        <v>13.35108659642432</v>
      </c>
      <c r="N383" s="14">
        <f t="shared" si="89"/>
        <v>6.2628975593050358</v>
      </c>
      <c r="O383" s="14">
        <f t="shared" si="96"/>
        <v>6.2628975593050358</v>
      </c>
      <c r="P383" s="14">
        <f t="shared" si="90"/>
        <v>1</v>
      </c>
    </row>
    <row r="384" spans="1:16" x14ac:dyDescent="0.25">
      <c r="A384" s="14">
        <f t="shared" si="82"/>
        <v>1.7999999999999836</v>
      </c>
      <c r="B384" s="14">
        <f t="shared" si="91"/>
        <v>18.117850072452029</v>
      </c>
      <c r="C384" s="14">
        <f t="shared" si="92"/>
        <v>10.984817350783395</v>
      </c>
      <c r="D384" s="14">
        <f t="shared" si="93"/>
        <v>10.984817350783395</v>
      </c>
      <c r="E384" s="14">
        <f t="shared" si="83"/>
        <v>1</v>
      </c>
      <c r="F384" s="14">
        <f t="shared" si="94"/>
        <v>-2.0192316901635934</v>
      </c>
      <c r="G384" s="14">
        <f t="shared" si="84"/>
        <v>-1.4771131161964994</v>
      </c>
      <c r="H384" s="14">
        <f t="shared" si="85"/>
        <v>1.3767474207425228</v>
      </c>
      <c r="I384" s="14">
        <f t="shared" si="86"/>
        <v>5.8965258269140586</v>
      </c>
      <c r="J384" s="14">
        <f t="shared" si="95"/>
        <v>-5.5448734267076016</v>
      </c>
      <c r="K384" s="14">
        <f t="shared" si="87"/>
        <v>-43.239563428183459</v>
      </c>
      <c r="L384" s="14">
        <f t="shared" si="88"/>
        <v>8.094111325258174</v>
      </c>
      <c r="M384" s="14">
        <f t="shared" si="97"/>
        <v>13.38056922555889</v>
      </c>
      <c r="N384" s="14">
        <f t="shared" si="89"/>
        <v>6.2351731921714979</v>
      </c>
      <c r="O384" s="14">
        <f t="shared" si="96"/>
        <v>6.2351731921714979</v>
      </c>
      <c r="P384" s="14">
        <f t="shared" si="90"/>
        <v>1</v>
      </c>
    </row>
    <row r="385" spans="1:16" x14ac:dyDescent="0.25">
      <c r="A385" s="14">
        <f t="shared" ref="A385:A448" si="98">A384+$A$22</f>
        <v>1.8049999999999835</v>
      </c>
      <c r="B385" s="14">
        <f t="shared" si="91"/>
        <v>18.168177433764395</v>
      </c>
      <c r="C385" s="14">
        <f t="shared" si="92"/>
        <v>10.971108232313352</v>
      </c>
      <c r="D385" s="14">
        <f t="shared" si="93"/>
        <v>10.971108232313352</v>
      </c>
      <c r="E385" s="14">
        <f t="shared" ref="E385:E448" si="99">IF(AND(C386-C385&lt;0,C385&lt;$B$18),0,1)</f>
        <v>1</v>
      </c>
      <c r="F385" s="14">
        <f t="shared" si="94"/>
        <v>-2.0309537825158515</v>
      </c>
      <c r="G385" s="14">
        <f t="shared" ref="G385:G448" si="100">$F385*COS(PI()/180*$K384)</f>
        <v>-1.4795412307343745</v>
      </c>
      <c r="H385" s="14">
        <f t="shared" ref="H385:H448" si="101">$F385*SIN(PI()/180*$K384)</f>
        <v>1.3913055068073501</v>
      </c>
      <c r="I385" s="14">
        <f t="shared" ref="I385:I448" si="102">I384+G385*$A$22</f>
        <v>5.8891281207603869</v>
      </c>
      <c r="J385" s="14">
        <f t="shared" si="95"/>
        <v>-5.5869168991735645</v>
      </c>
      <c r="K385" s="14">
        <f t="shared" ref="K385:K448" si="103">180/PI()*ATAN(J385/I385)</f>
        <v>-43.491516328712329</v>
      </c>
      <c r="L385" s="14">
        <f t="shared" ref="L385:L448" si="104">SQRT(I385^2+J385^2)</f>
        <v>8.1176025069599156</v>
      </c>
      <c r="M385" s="14">
        <f t="shared" si="97"/>
        <v>13.410014866162692</v>
      </c>
      <c r="N385" s="14">
        <f t="shared" ref="N385:N448" si="105">N384+J385*$A$22</f>
        <v>6.2072386076756301</v>
      </c>
      <c r="O385" s="14">
        <f t="shared" si="96"/>
        <v>6.2072386076756301</v>
      </c>
      <c r="P385" s="14">
        <f t="shared" ref="P385:P448" si="106">IF(AND(N386-N385&lt;0,N385&lt;$B$18),0,1)</f>
        <v>1</v>
      </c>
    </row>
    <row r="386" spans="1:16" x14ac:dyDescent="0.25">
      <c r="A386" s="14">
        <f t="shared" si="98"/>
        <v>1.8099999999999834</v>
      </c>
      <c r="B386" s="14">
        <f t="shared" si="91"/>
        <v>18.218504795076761</v>
      </c>
      <c r="C386" s="14">
        <f t="shared" si="92"/>
        <v>10.957154113843306</v>
      </c>
      <c r="D386" s="14">
        <f t="shared" si="93"/>
        <v>10.957154113843306</v>
      </c>
      <c r="E386" s="14">
        <f t="shared" si="99"/>
        <v>1</v>
      </c>
      <c r="F386" s="14">
        <f t="shared" si="94"/>
        <v>-2.0427595842910593</v>
      </c>
      <c r="G386" s="14">
        <f t="shared" si="100"/>
        <v>-1.4819736371036722</v>
      </c>
      <c r="H386" s="14">
        <f t="shared" si="101"/>
        <v>1.4059234894341492</v>
      </c>
      <c r="I386" s="14">
        <f t="shared" si="102"/>
        <v>5.8817182525748688</v>
      </c>
      <c r="J386" s="14">
        <f t="shared" si="95"/>
        <v>-5.628887281726394</v>
      </c>
      <c r="K386" s="14">
        <f t="shared" si="103"/>
        <v>-43.741697948639164</v>
      </c>
      <c r="L386" s="14">
        <f t="shared" si="104"/>
        <v>8.1411904309537881</v>
      </c>
      <c r="M386" s="14">
        <f t="shared" si="97"/>
        <v>13.439423457425567</v>
      </c>
      <c r="N386" s="14">
        <f t="shared" si="105"/>
        <v>6.179094171266998</v>
      </c>
      <c r="O386" s="14">
        <f t="shared" si="96"/>
        <v>6.179094171266998</v>
      </c>
      <c r="P386" s="14">
        <f t="shared" si="106"/>
        <v>1</v>
      </c>
    </row>
    <row r="387" spans="1:16" x14ac:dyDescent="0.25">
      <c r="A387" s="14">
        <f t="shared" si="98"/>
        <v>1.8149999999999833</v>
      </c>
      <c r="B387" s="14">
        <f t="shared" si="91"/>
        <v>18.268832156389127</v>
      </c>
      <c r="C387" s="14">
        <f t="shared" si="92"/>
        <v>10.94295499537326</v>
      </c>
      <c r="D387" s="14">
        <f t="shared" si="93"/>
        <v>10.94295499537326</v>
      </c>
      <c r="E387" s="14">
        <f t="shared" si="99"/>
        <v>1</v>
      </c>
      <c r="F387" s="14">
        <f t="shared" si="94"/>
        <v>-2.0546484306246593</v>
      </c>
      <c r="G387" s="14">
        <f t="shared" si="100"/>
        <v>-1.4844098390182914</v>
      </c>
      <c r="H387" s="14">
        <f t="shared" si="101"/>
        <v>1.4206011415221607</v>
      </c>
      <c r="I387" s="14">
        <f t="shared" si="102"/>
        <v>5.8742962033797772</v>
      </c>
      <c r="J387" s="14">
        <f t="shared" si="95"/>
        <v>-5.6707842760187832</v>
      </c>
      <c r="K387" s="14">
        <f t="shared" si="103"/>
        <v>-43.990118170741766</v>
      </c>
      <c r="L387" s="14">
        <f t="shared" si="104"/>
        <v>8.1648729439094119</v>
      </c>
      <c r="M387" s="14">
        <f t="shared" si="97"/>
        <v>13.468794938442466</v>
      </c>
      <c r="N387" s="14">
        <f t="shared" si="105"/>
        <v>6.1507402498869039</v>
      </c>
      <c r="O387" s="14">
        <f t="shared" si="96"/>
        <v>6.1507402498869039</v>
      </c>
      <c r="P387" s="14">
        <f t="shared" si="106"/>
        <v>1</v>
      </c>
    </row>
    <row r="388" spans="1:16" x14ac:dyDescent="0.25">
      <c r="A388" s="14">
        <f t="shared" si="98"/>
        <v>1.8199999999999832</v>
      </c>
      <c r="B388" s="14">
        <f t="shared" si="91"/>
        <v>18.319159517701493</v>
      </c>
      <c r="C388" s="14">
        <f t="shared" si="92"/>
        <v>10.928510876903214</v>
      </c>
      <c r="D388" s="14">
        <f t="shared" si="93"/>
        <v>10.928510876903214</v>
      </c>
      <c r="E388" s="14">
        <f t="shared" si="99"/>
        <v>1</v>
      </c>
      <c r="F388" s="14">
        <f t="shared" si="94"/>
        <v>-2.0666196558957024</v>
      </c>
      <c r="G388" s="14">
        <f t="shared" si="100"/>
        <v>-1.4868493462000452</v>
      </c>
      <c r="H388" s="14">
        <f t="shared" si="101"/>
        <v>1.4353382262863934</v>
      </c>
      <c r="I388" s="14">
        <f t="shared" si="102"/>
        <v>5.8668619566487772</v>
      </c>
      <c r="J388" s="14">
        <f t="shared" si="95"/>
        <v>-5.7126075848873512</v>
      </c>
      <c r="K388" s="14">
        <f t="shared" si="103"/>
        <v>-44.236786996482905</v>
      </c>
      <c r="L388" s="14">
        <f t="shared" si="104"/>
        <v>8.1886479126462159</v>
      </c>
      <c r="M388" s="14">
        <f t="shared" si="97"/>
        <v>13.498129248225709</v>
      </c>
      <c r="N388" s="14">
        <f t="shared" si="105"/>
        <v>6.1221772119624669</v>
      </c>
      <c r="O388" s="14">
        <f t="shared" si="96"/>
        <v>6.1221772119624669</v>
      </c>
      <c r="P388" s="14">
        <f t="shared" si="106"/>
        <v>1</v>
      </c>
    </row>
    <row r="389" spans="1:16" x14ac:dyDescent="0.25">
      <c r="A389" s="14">
        <f t="shared" si="98"/>
        <v>1.8249999999999831</v>
      </c>
      <c r="B389" s="14">
        <f t="shared" si="91"/>
        <v>18.369486879013863</v>
      </c>
      <c r="C389" s="14">
        <f t="shared" si="92"/>
        <v>10.913821758433173</v>
      </c>
      <c r="D389" s="14">
        <f t="shared" si="93"/>
        <v>10.913821758433173</v>
      </c>
      <c r="E389" s="14">
        <f t="shared" si="99"/>
        <v>1</v>
      </c>
      <c r="F389" s="14">
        <f t="shared" si="94"/>
        <v>-2.0786725937558419</v>
      </c>
      <c r="G389" s="14">
        <f t="shared" si="100"/>
        <v>-1.4892916743679605</v>
      </c>
      <c r="H389" s="14">
        <f t="shared" si="101"/>
        <v>1.4501344974483974</v>
      </c>
      <c r="I389" s="14">
        <f t="shared" si="102"/>
        <v>5.8594154982769373</v>
      </c>
      <c r="J389" s="14">
        <f t="shared" si="95"/>
        <v>-5.7543569124001088</v>
      </c>
      <c r="K389" s="14">
        <f t="shared" si="103"/>
        <v>-44.481714538864253</v>
      </c>
      <c r="L389" s="14">
        <f t="shared" si="104"/>
        <v>8.2125132241436845</v>
      </c>
      <c r="M389" s="14">
        <f t="shared" si="97"/>
        <v>13.527426325717094</v>
      </c>
      <c r="N389" s="14">
        <f t="shared" si="105"/>
        <v>6.0934054274004668</v>
      </c>
      <c r="O389" s="14">
        <f t="shared" si="96"/>
        <v>6.0934054274004668</v>
      </c>
      <c r="P389" s="14">
        <f t="shared" si="106"/>
        <v>1</v>
      </c>
    </row>
    <row r="390" spans="1:16" x14ac:dyDescent="0.25">
      <c r="A390" s="14">
        <f t="shared" si="98"/>
        <v>1.829999999999983</v>
      </c>
      <c r="B390" s="14">
        <f t="shared" si="91"/>
        <v>18.419814240326229</v>
      </c>
      <c r="C390" s="14">
        <f t="shared" si="92"/>
        <v>10.898887639963128</v>
      </c>
      <c r="D390" s="14">
        <f t="shared" si="93"/>
        <v>10.898887639963128</v>
      </c>
      <c r="E390" s="14">
        <f t="shared" si="99"/>
        <v>1</v>
      </c>
      <c r="F390" s="14">
        <f t="shared" si="94"/>
        <v>-2.0908065771587818</v>
      </c>
      <c r="G390" s="14">
        <f t="shared" si="100"/>
        <v>-1.4917363452259058</v>
      </c>
      <c r="H390" s="14">
        <f t="shared" si="101"/>
        <v>1.4649896994253842</v>
      </c>
      <c r="I390" s="14">
        <f t="shared" si="102"/>
        <v>5.8519568165508078</v>
      </c>
      <c r="J390" s="14">
        <f t="shared" si="95"/>
        <v>-5.7960319639029816</v>
      </c>
      <c r="K390" s="14">
        <f t="shared" si="103"/>
        <v>-44.724911015465977</v>
      </c>
      <c r="L390" s="14">
        <f t="shared" si="104"/>
        <v>8.2364667855434543</v>
      </c>
      <c r="M390" s="14">
        <f t="shared" si="97"/>
        <v>13.556686109799848</v>
      </c>
      <c r="N390" s="14">
        <f t="shared" si="105"/>
        <v>6.064425267580952</v>
      </c>
      <c r="O390" s="14">
        <f t="shared" si="96"/>
        <v>6.064425267580952</v>
      </c>
      <c r="P390" s="14">
        <f t="shared" si="106"/>
        <v>1</v>
      </c>
    </row>
    <row r="391" spans="1:16" x14ac:dyDescent="0.25">
      <c r="A391" s="14">
        <f t="shared" si="98"/>
        <v>1.8349999999999829</v>
      </c>
      <c r="B391" s="14">
        <f t="shared" si="91"/>
        <v>18.470141601638595</v>
      </c>
      <c r="C391" s="14">
        <f t="shared" si="92"/>
        <v>10.88370852149308</v>
      </c>
      <c r="D391" s="14">
        <f t="shared" si="93"/>
        <v>10.88370852149308</v>
      </c>
      <c r="E391" s="14">
        <f t="shared" si="99"/>
        <v>1</v>
      </c>
      <c r="F391" s="14">
        <f t="shared" si="94"/>
        <v>-2.1030209383901761</v>
      </c>
      <c r="G391" s="14">
        <f t="shared" si="100"/>
        <v>-1.4941828864486155</v>
      </c>
      <c r="H391" s="14">
        <f t="shared" si="101"/>
        <v>1.4799035675176884</v>
      </c>
      <c r="I391" s="14">
        <f t="shared" si="102"/>
        <v>5.8444859021185644</v>
      </c>
      <c r="J391" s="14">
        <f t="shared" si="95"/>
        <v>-5.8376324460653928</v>
      </c>
      <c r="K391" s="14">
        <f t="shared" si="103"/>
        <v>-44.966386741670277</v>
      </c>
      <c r="L391" s="14">
        <f t="shared" si="104"/>
        <v>8.260506524143544</v>
      </c>
      <c r="M391" s="14">
        <f t="shared" si="97"/>
        <v>13.585908539310442</v>
      </c>
      <c r="N391" s="14">
        <f t="shared" si="105"/>
        <v>6.0352371053506246</v>
      </c>
      <c r="O391" s="14">
        <f t="shared" si="96"/>
        <v>6.0352371053506246</v>
      </c>
      <c r="P391" s="14">
        <f t="shared" si="106"/>
        <v>1</v>
      </c>
    </row>
    <row r="392" spans="1:16" x14ac:dyDescent="0.25">
      <c r="A392" s="14">
        <f t="shared" si="98"/>
        <v>1.8399999999999828</v>
      </c>
      <c r="B392" s="14">
        <f t="shared" si="91"/>
        <v>18.520468962950961</v>
      </c>
      <c r="C392" s="14">
        <f t="shared" si="92"/>
        <v>10.868284403023036</v>
      </c>
      <c r="D392" s="14">
        <f t="shared" si="93"/>
        <v>10.868284403023036</v>
      </c>
      <c r="E392" s="14">
        <f t="shared" si="99"/>
        <v>1</v>
      </c>
      <c r="F392" s="14">
        <f t="shared" si="94"/>
        <v>-2.1153150090979596</v>
      </c>
      <c r="G392" s="14">
        <f t="shared" si="100"/>
        <v>-1.4966308316661761</v>
      </c>
      <c r="H392" s="14">
        <f t="shared" si="101"/>
        <v>1.4948758280945313</v>
      </c>
      <c r="I392" s="14">
        <f t="shared" si="102"/>
        <v>5.8370027479602333</v>
      </c>
      <c r="J392" s="14">
        <f t="shared" si="95"/>
        <v>-5.8791580669249202</v>
      </c>
      <c r="K392" s="14">
        <f t="shared" si="103"/>
        <v>-45.206152124067259</v>
      </c>
      <c r="L392" s="14">
        <f t="shared" si="104"/>
        <v>8.2846303873850449</v>
      </c>
      <c r="M392" s="14">
        <f t="shared" si="97"/>
        <v>13.615093553050242</v>
      </c>
      <c r="N392" s="14">
        <f t="shared" si="105"/>
        <v>6.0058413150160002</v>
      </c>
      <c r="O392" s="14">
        <f t="shared" si="96"/>
        <v>6.0058413150160002</v>
      </c>
      <c r="P392" s="14">
        <f t="shared" si="106"/>
        <v>1</v>
      </c>
    </row>
    <row r="393" spans="1:16" x14ac:dyDescent="0.25">
      <c r="A393" s="14">
        <f t="shared" si="98"/>
        <v>1.8449999999999827</v>
      </c>
      <c r="B393" s="14">
        <f t="shared" si="91"/>
        <v>18.570796324263327</v>
      </c>
      <c r="C393" s="14">
        <f t="shared" si="92"/>
        <v>10.852615284552989</v>
      </c>
      <c r="D393" s="14">
        <f t="shared" si="93"/>
        <v>10.852615284552989</v>
      </c>
      <c r="E393" s="14">
        <f t="shared" si="99"/>
        <v>1</v>
      </c>
      <c r="F393" s="14">
        <f t="shared" si="94"/>
        <v>-2.1276881203230942</v>
      </c>
      <c r="G393" s="14">
        <f t="shared" si="100"/>
        <v>-1.4990797204470423</v>
      </c>
      <c r="H393" s="14">
        <f t="shared" si="101"/>
        <v>1.5099061987780695</v>
      </c>
      <c r="I393" s="14">
        <f t="shared" si="102"/>
        <v>5.8295073493579981</v>
      </c>
      <c r="J393" s="14">
        <f t="shared" si="95"/>
        <v>-5.9206085359310299</v>
      </c>
      <c r="K393" s="14">
        <f t="shared" si="103"/>
        <v>-45.444217654041402</v>
      </c>
      <c r="L393" s="14">
        <f t="shared" si="104"/>
        <v>8.3088363428315439</v>
      </c>
      <c r="M393" s="14">
        <f t="shared" si="97"/>
        <v>13.644241089797031</v>
      </c>
      <c r="N393" s="14">
        <f t="shared" si="105"/>
        <v>5.976238272336345</v>
      </c>
      <c r="O393" s="14">
        <f t="shared" si="96"/>
        <v>5.976238272336345</v>
      </c>
      <c r="P393" s="14">
        <f t="shared" si="106"/>
        <v>1</v>
      </c>
    </row>
    <row r="394" spans="1:16" x14ac:dyDescent="0.25">
      <c r="A394" s="14">
        <f t="shared" si="98"/>
        <v>1.8499999999999825</v>
      </c>
      <c r="B394" s="14">
        <f t="shared" si="91"/>
        <v>18.621123685575693</v>
      </c>
      <c r="C394" s="14">
        <f t="shared" si="92"/>
        <v>10.836701166082946</v>
      </c>
      <c r="D394" s="14">
        <f t="shared" si="93"/>
        <v>10.836701166082946</v>
      </c>
      <c r="E394" s="14">
        <f t="shared" si="99"/>
        <v>1</v>
      </c>
      <c r="F394" s="14">
        <f t="shared" si="94"/>
        <v>-2.1401396025307062</v>
      </c>
      <c r="G394" s="14">
        <f t="shared" si="100"/>
        <v>-1.5015290982796288</v>
      </c>
      <c r="H394" s="14">
        <f t="shared" si="101"/>
        <v>1.5249943886256938</v>
      </c>
      <c r="I394" s="14">
        <f t="shared" si="102"/>
        <v>5.8219997038665996</v>
      </c>
      <c r="J394" s="14">
        <f t="shared" si="95"/>
        <v>-5.9619835639879017</v>
      </c>
      <c r="K394" s="14">
        <f t="shared" si="103"/>
        <v>-45.680593901536604</v>
      </c>
      <c r="L394" s="14">
        <f t="shared" si="104"/>
        <v>8.3331223781416206</v>
      </c>
      <c r="M394" s="14">
        <f t="shared" si="97"/>
        <v>13.673351088316364</v>
      </c>
      <c r="N394" s="14">
        <f t="shared" si="105"/>
        <v>5.9464283545164056</v>
      </c>
      <c r="O394" s="14">
        <f t="shared" si="96"/>
        <v>5.9464283545164056</v>
      </c>
      <c r="P394" s="14">
        <f t="shared" si="106"/>
        <v>1</v>
      </c>
    </row>
    <row r="395" spans="1:16" x14ac:dyDescent="0.25">
      <c r="A395" s="14">
        <f t="shared" si="98"/>
        <v>1.8549999999999824</v>
      </c>
      <c r="B395" s="14">
        <f t="shared" si="91"/>
        <v>18.671451046888059</v>
      </c>
      <c r="C395" s="14">
        <f t="shared" si="92"/>
        <v>10.820542047612904</v>
      </c>
      <c r="D395" s="14">
        <f t="shared" si="93"/>
        <v>10.820542047612904</v>
      </c>
      <c r="E395" s="14">
        <f t="shared" si="99"/>
        <v>1</v>
      </c>
      <c r="F395" s="14">
        <f t="shared" si="94"/>
        <v>-2.1526687856416244</v>
      </c>
      <c r="G395" s="14">
        <f t="shared" si="100"/>
        <v>-1.5039785165525641</v>
      </c>
      <c r="H395" s="14">
        <f t="shared" si="101"/>
        <v>1.5401400983105837</v>
      </c>
      <c r="I395" s="14">
        <f t="shared" si="102"/>
        <v>5.814479811283837</v>
      </c>
      <c r="J395" s="14">
        <f t="shared" si="95"/>
        <v>-6.0032828634963487</v>
      </c>
      <c r="K395" s="14">
        <f t="shared" si="103"/>
        <v>-45.915291508997697</v>
      </c>
      <c r="L395" s="14">
        <f t="shared" si="104"/>
        <v>8.3574865010346411</v>
      </c>
      <c r="M395" s="14">
        <f t="shared" si="97"/>
        <v>13.702423487372783</v>
      </c>
      <c r="N395" s="14">
        <f t="shared" si="105"/>
        <v>5.9164119401989241</v>
      </c>
      <c r="O395" s="14">
        <f t="shared" si="96"/>
        <v>5.9164119401989241</v>
      </c>
      <c r="P395" s="14">
        <f t="shared" si="106"/>
        <v>1</v>
      </c>
    </row>
    <row r="396" spans="1:16" x14ac:dyDescent="0.25">
      <c r="A396" s="14">
        <f t="shared" si="98"/>
        <v>1.8599999999999823</v>
      </c>
      <c r="B396" s="14">
        <f t="shared" si="91"/>
        <v>18.721778408200425</v>
      </c>
      <c r="C396" s="14">
        <f t="shared" si="92"/>
        <v>10.804137929142854</v>
      </c>
      <c r="D396" s="14">
        <f t="shared" si="93"/>
        <v>10.804137929142854</v>
      </c>
      <c r="E396" s="14">
        <f t="shared" si="99"/>
        <v>1</v>
      </c>
      <c r="F396" s="14">
        <f t="shared" si="94"/>
        <v>-2.1652749990642639</v>
      </c>
      <c r="G396" s="14">
        <f t="shared" si="100"/>
        <v>-1.5064275325336367</v>
      </c>
      <c r="H396" s="14">
        <f t="shared" si="101"/>
        <v>1.5553430203004632</v>
      </c>
      <c r="I396" s="14">
        <f t="shared" si="102"/>
        <v>5.8069476736211687</v>
      </c>
      <c r="J396" s="14">
        <f t="shared" si="95"/>
        <v>-6.0445061483948468</v>
      </c>
      <c r="K396" s="14">
        <f t="shared" si="103"/>
        <v>-46.148321185486424</v>
      </c>
      <c r="L396" s="14">
        <f t="shared" si="104"/>
        <v>8.3819267392501953</v>
      </c>
      <c r="M396" s="14">
        <f t="shared" si="97"/>
        <v>13.731458225740889</v>
      </c>
      <c r="N396" s="14">
        <f t="shared" si="105"/>
        <v>5.88618940945695</v>
      </c>
      <c r="O396" s="14">
        <f t="shared" si="96"/>
        <v>5.88618940945695</v>
      </c>
      <c r="P396" s="14">
        <f t="shared" si="106"/>
        <v>1</v>
      </c>
    </row>
    <row r="397" spans="1:16" x14ac:dyDescent="0.25">
      <c r="A397" s="14">
        <f t="shared" si="98"/>
        <v>1.8649999999999822</v>
      </c>
      <c r="B397" s="14">
        <f t="shared" si="91"/>
        <v>18.772105769512791</v>
      </c>
      <c r="C397" s="14">
        <f t="shared" si="92"/>
        <v>10.787488810672812</v>
      </c>
      <c r="D397" s="14">
        <f t="shared" si="93"/>
        <v>10.787488810672812</v>
      </c>
      <c r="E397" s="14">
        <f t="shared" si="99"/>
        <v>1</v>
      </c>
      <c r="F397" s="14">
        <f t="shared" si="94"/>
        <v>-2.1779575717268798</v>
      </c>
      <c r="G397" s="14">
        <f t="shared" si="100"/>
        <v>-1.5088757093475118</v>
      </c>
      <c r="H397" s="14">
        <f t="shared" si="101"/>
        <v>1.5706028390345821</v>
      </c>
      <c r="I397" s="14">
        <f t="shared" si="102"/>
        <v>5.7994032950744314</v>
      </c>
      <c r="J397" s="14">
        <f t="shared" si="95"/>
        <v>-6.0856531341996742</v>
      </c>
      <c r="K397" s="14">
        <f t="shared" si="103"/>
        <v>-46.379693700969355</v>
      </c>
      <c r="L397" s="14">
        <f t="shared" si="104"/>
        <v>8.4064411405013999</v>
      </c>
      <c r="M397" s="14">
        <f t="shared" si="97"/>
        <v>13.760455242216262</v>
      </c>
      <c r="N397" s="14">
        <f t="shared" si="105"/>
        <v>5.8557611437859514</v>
      </c>
      <c r="O397" s="14">
        <f t="shared" si="96"/>
        <v>5.8557611437859514</v>
      </c>
      <c r="P397" s="14">
        <f t="shared" si="106"/>
        <v>1</v>
      </c>
    </row>
    <row r="398" spans="1:16" x14ac:dyDescent="0.25">
      <c r="A398" s="14">
        <f t="shared" si="98"/>
        <v>1.8699999999999821</v>
      </c>
      <c r="B398" s="14">
        <f t="shared" si="91"/>
        <v>18.822433130825157</v>
      </c>
      <c r="C398" s="14">
        <f t="shared" si="92"/>
        <v>10.770594692202764</v>
      </c>
      <c r="D398" s="14">
        <f t="shared" si="93"/>
        <v>10.770594692202764</v>
      </c>
      <c r="E398" s="14">
        <f t="shared" si="99"/>
        <v>1</v>
      </c>
      <c r="F398" s="14">
        <f t="shared" si="94"/>
        <v>-2.1907158321101488</v>
      </c>
      <c r="G398" s="14">
        <f t="shared" si="100"/>
        <v>-1.5113226159522652</v>
      </c>
      <c r="H398" s="14">
        <f t="shared" si="101"/>
        <v>1.5859192310988801</v>
      </c>
      <c r="I398" s="14">
        <f t="shared" si="102"/>
        <v>5.7918466819946701</v>
      </c>
      <c r="J398" s="14">
        <f t="shared" si="95"/>
        <v>-6.12672353804418</v>
      </c>
      <c r="K398" s="14">
        <f t="shared" si="103"/>
        <v>-46.609419880775484</v>
      </c>
      <c r="L398" s="14">
        <f t="shared" si="104"/>
        <v>8.4310277724223681</v>
      </c>
      <c r="M398" s="14">
        <f t="shared" si="97"/>
        <v>13.789414475626234</v>
      </c>
      <c r="N398" s="14">
        <f t="shared" si="105"/>
        <v>5.8251275260957307</v>
      </c>
      <c r="O398" s="14">
        <f t="shared" si="96"/>
        <v>5.8251275260957307</v>
      </c>
      <c r="P398" s="14">
        <f t="shared" si="106"/>
        <v>1</v>
      </c>
    </row>
    <row r="399" spans="1:16" x14ac:dyDescent="0.25">
      <c r="A399" s="14">
        <f t="shared" si="98"/>
        <v>1.874999999999982</v>
      </c>
      <c r="B399" s="14">
        <f t="shared" si="91"/>
        <v>18.872760492137523</v>
      </c>
      <c r="C399" s="14">
        <f t="shared" si="92"/>
        <v>10.753455573732722</v>
      </c>
      <c r="D399" s="14">
        <f t="shared" si="93"/>
        <v>10.753455573732722</v>
      </c>
      <c r="E399" s="14">
        <f t="shared" si="99"/>
        <v>1</v>
      </c>
      <c r="F399" s="14">
        <f t="shared" si="94"/>
        <v>-2.2035491082800758</v>
      </c>
      <c r="G399" s="14">
        <f t="shared" si="100"/>
        <v>-1.5137678271147916</v>
      </c>
      <c r="H399" s="14">
        <f t="shared" si="101"/>
        <v>1.6012918653993342</v>
      </c>
      <c r="I399" s="14">
        <f t="shared" si="102"/>
        <v>5.7842778428590957</v>
      </c>
      <c r="J399" s="14">
        <f t="shared" si="95"/>
        <v>-6.1677170787171836</v>
      </c>
      <c r="K399" s="14">
        <f t="shared" si="103"/>
        <v>-46.837510600220995</v>
      </c>
      <c r="L399" s="14">
        <f t="shared" si="104"/>
        <v>8.4556847225100764</v>
      </c>
      <c r="M399" s="14">
        <f t="shared" si="97"/>
        <v>13.818335864840529</v>
      </c>
      <c r="N399" s="14">
        <f t="shared" si="105"/>
        <v>5.7942889407021445</v>
      </c>
      <c r="O399" s="14">
        <f t="shared" si="96"/>
        <v>5.7942889407021445</v>
      </c>
      <c r="P399" s="14">
        <f t="shared" si="106"/>
        <v>1</v>
      </c>
    </row>
    <row r="400" spans="1:16" x14ac:dyDescent="0.25">
      <c r="A400" s="14">
        <f t="shared" si="98"/>
        <v>1.8799999999999819</v>
      </c>
      <c r="B400" s="14">
        <f t="shared" si="91"/>
        <v>18.923087853449889</v>
      </c>
      <c r="C400" s="14">
        <f t="shared" si="92"/>
        <v>10.736071455262675</v>
      </c>
      <c r="D400" s="14">
        <f t="shared" si="93"/>
        <v>10.736071455262675</v>
      </c>
      <c r="E400" s="14">
        <f t="shared" si="99"/>
        <v>1</v>
      </c>
      <c r="F400" s="14">
        <f t="shared" si="94"/>
        <v>-2.2164567279211993</v>
      </c>
      <c r="G400" s="14">
        <f t="shared" si="100"/>
        <v>-1.5162109233851331</v>
      </c>
      <c r="H400" s="14">
        <f t="shared" si="101"/>
        <v>1.6167204033334741</v>
      </c>
      <c r="I400" s="14">
        <f t="shared" si="102"/>
        <v>5.7766967882421705</v>
      </c>
      <c r="J400" s="14">
        <f t="shared" si="95"/>
        <v>-6.2086334767005162</v>
      </c>
      <c r="K400" s="14">
        <f t="shared" si="103"/>
        <v>-47.063976779398715</v>
      </c>
      <c r="L400" s="14">
        <f t="shared" si="104"/>
        <v>8.4804100980609274</v>
      </c>
      <c r="M400" s="14">
        <f t="shared" si="97"/>
        <v>13.84721934878174</v>
      </c>
      <c r="N400" s="14">
        <f t="shared" si="105"/>
        <v>5.7632457733186415</v>
      </c>
      <c r="O400" s="14">
        <f t="shared" si="96"/>
        <v>5.7632457733186415</v>
      </c>
      <c r="P400" s="14">
        <f t="shared" si="106"/>
        <v>1</v>
      </c>
    </row>
    <row r="401" spans="1:16" x14ac:dyDescent="0.25">
      <c r="A401" s="14">
        <f t="shared" si="98"/>
        <v>1.8849999999999818</v>
      </c>
      <c r="B401" s="14">
        <f t="shared" si="91"/>
        <v>18.973415214762255</v>
      </c>
      <c r="C401" s="14">
        <f t="shared" si="92"/>
        <v>10.718442336792631</v>
      </c>
      <c r="D401" s="14">
        <f t="shared" si="93"/>
        <v>10.718442336792631</v>
      </c>
      <c r="E401" s="14">
        <f t="shared" si="99"/>
        <v>1</v>
      </c>
      <c r="F401" s="14">
        <f t="shared" si="94"/>
        <v>-2.2294380183701059</v>
      </c>
      <c r="G401" s="14">
        <f t="shared" si="100"/>
        <v>-1.5186514910697957</v>
      </c>
      <c r="H401" s="14">
        <f t="shared" si="101"/>
        <v>1.6322044989600757</v>
      </c>
      <c r="I401" s="14">
        <f t="shared" si="102"/>
        <v>5.7691035307868219</v>
      </c>
      <c r="J401" s="14">
        <f t="shared" si="95"/>
        <v>-6.2494724542057156</v>
      </c>
      <c r="K401" s="14">
        <f t="shared" si="103"/>
        <v>-47.288829378129456</v>
      </c>
      <c r="L401" s="14">
        <f t="shared" si="104"/>
        <v>8.5052020261022001</v>
      </c>
      <c r="M401" s="14">
        <f t="shared" si="97"/>
        <v>13.876064866435675</v>
      </c>
      <c r="N401" s="14">
        <f t="shared" si="105"/>
        <v>5.7319984110476128</v>
      </c>
      <c r="O401" s="14">
        <f t="shared" si="96"/>
        <v>5.7319984110476128</v>
      </c>
      <c r="P401" s="14">
        <f t="shared" si="106"/>
        <v>1</v>
      </c>
    </row>
    <row r="402" spans="1:16" x14ac:dyDescent="0.25">
      <c r="A402" s="14">
        <f t="shared" si="98"/>
        <v>1.8899999999999817</v>
      </c>
      <c r="B402" s="14">
        <f t="shared" si="91"/>
        <v>19.023742576074621</v>
      </c>
      <c r="C402" s="14">
        <f t="shared" si="92"/>
        <v>10.700568218322587</v>
      </c>
      <c r="D402" s="14">
        <f t="shared" si="93"/>
        <v>10.700568218322587</v>
      </c>
      <c r="E402" s="14">
        <f t="shared" si="99"/>
        <v>1</v>
      </c>
      <c r="F402" s="14">
        <f t="shared" si="94"/>
        <v>-2.242492306649202</v>
      </c>
      <c r="G402" s="14">
        <f t="shared" si="100"/>
        <v>-1.5210891222040843</v>
      </c>
      <c r="H402" s="14">
        <f t="shared" si="101"/>
        <v>1.6477437991669903</v>
      </c>
      <c r="I402" s="14">
        <f t="shared" si="102"/>
        <v>5.7614980851758011</v>
      </c>
      <c r="J402" s="14">
        <f t="shared" si="95"/>
        <v>-6.2902337352098803</v>
      </c>
      <c r="K402" s="14">
        <f t="shared" si="103"/>
        <v>-47.512079391072817</v>
      </c>
      <c r="L402" s="14">
        <f t="shared" si="104"/>
        <v>8.5300586533186777</v>
      </c>
      <c r="M402" s="14">
        <f t="shared" si="97"/>
        <v>13.904872356861553</v>
      </c>
      <c r="N402" s="14">
        <f t="shared" si="105"/>
        <v>5.7005472423715631</v>
      </c>
      <c r="O402" s="14">
        <f t="shared" si="96"/>
        <v>5.7005472423715631</v>
      </c>
      <c r="P402" s="14">
        <f t="shared" si="106"/>
        <v>1</v>
      </c>
    </row>
    <row r="403" spans="1:16" x14ac:dyDescent="0.25">
      <c r="A403" s="14">
        <f t="shared" si="98"/>
        <v>1.8949999999999816</v>
      </c>
      <c r="B403" s="14">
        <f t="shared" si="91"/>
        <v>19.074069937386987</v>
      </c>
      <c r="C403" s="14">
        <f t="shared" si="92"/>
        <v>10.682449099852541</v>
      </c>
      <c r="D403" s="14">
        <f t="shared" si="93"/>
        <v>10.682449099852541</v>
      </c>
      <c r="E403" s="14">
        <f t="shared" si="99"/>
        <v>1</v>
      </c>
      <c r="F403" s="14">
        <f t="shared" si="94"/>
        <v>-2.2556189195007623</v>
      </c>
      <c r="G403" s="14">
        <f t="shared" si="100"/>
        <v>-1.5235234145235177</v>
      </c>
      <c r="H403" s="14">
        <f t="shared" si="101"/>
        <v>1.6633379438371469</v>
      </c>
      <c r="I403" s="14">
        <f t="shared" si="102"/>
        <v>5.7538804681031834</v>
      </c>
      <c r="J403" s="14">
        <f t="shared" si="95"/>
        <v>-6.3309170454906942</v>
      </c>
      <c r="K403" s="14">
        <f t="shared" si="103"/>
        <v>-47.733737842994373</v>
      </c>
      <c r="L403" s="14">
        <f t="shared" si="104"/>
        <v>8.554978145974653</v>
      </c>
      <c r="M403" s="14">
        <f t="shared" si="97"/>
        <v>13.933641759202068</v>
      </c>
      <c r="N403" s="14">
        <f t="shared" si="105"/>
        <v>5.6688926571441094</v>
      </c>
      <c r="O403" s="14">
        <f t="shared" si="96"/>
        <v>5.6688926571441094</v>
      </c>
      <c r="P403" s="14">
        <f t="shared" si="106"/>
        <v>1</v>
      </c>
    </row>
    <row r="404" spans="1:16" x14ac:dyDescent="0.25">
      <c r="A404" s="14">
        <f t="shared" si="98"/>
        <v>1.8999999999999815</v>
      </c>
      <c r="B404" s="14">
        <f t="shared" si="91"/>
        <v>19.124397298699353</v>
      </c>
      <c r="C404" s="14">
        <f t="shared" si="92"/>
        <v>10.664084981382498</v>
      </c>
      <c r="D404" s="14">
        <f t="shared" si="93"/>
        <v>10.664084981382498</v>
      </c>
      <c r="E404" s="14">
        <f t="shared" si="99"/>
        <v>1</v>
      </c>
      <c r="F404" s="14">
        <f t="shared" si="94"/>
        <v>-2.2688171834212212</v>
      </c>
      <c r="G404" s="14">
        <f t="shared" si="100"/>
        <v>-1.5259539714343673</v>
      </c>
      <c r="H404" s="14">
        <f t="shared" si="101"/>
        <v>1.6789865660126901</v>
      </c>
      <c r="I404" s="14">
        <f t="shared" si="102"/>
        <v>5.746250698246012</v>
      </c>
      <c r="J404" s="14">
        <f t="shared" si="95"/>
        <v>-6.3715221126606307</v>
      </c>
      <c r="K404" s="14">
        <f t="shared" si="103"/>
        <v>-47.953815784186858</v>
      </c>
      <c r="L404" s="14">
        <f t="shared" si="104"/>
        <v>8.5799586898315638</v>
      </c>
      <c r="M404" s="14">
        <f t="shared" si="97"/>
        <v>13.962373012693298</v>
      </c>
      <c r="N404" s="14">
        <f t="shared" si="105"/>
        <v>5.6370350465808059</v>
      </c>
      <c r="O404" s="14">
        <f t="shared" si="96"/>
        <v>5.6370350465808059</v>
      </c>
      <c r="P404" s="14">
        <f t="shared" si="106"/>
        <v>1</v>
      </c>
    </row>
    <row r="405" spans="1:16" x14ac:dyDescent="0.25">
      <c r="A405" s="14">
        <f t="shared" si="98"/>
        <v>1.9049999999999814</v>
      </c>
      <c r="B405" s="14">
        <f t="shared" si="91"/>
        <v>19.174724660011719</v>
      </c>
      <c r="C405" s="14">
        <f t="shared" si="92"/>
        <v>10.645475862912452</v>
      </c>
      <c r="D405" s="14">
        <f t="shared" si="93"/>
        <v>10.645475862912452</v>
      </c>
      <c r="E405" s="14">
        <f t="shared" si="99"/>
        <v>1</v>
      </c>
      <c r="F405" s="14">
        <f t="shared" si="94"/>
        <v>-2.2820864246957013</v>
      </c>
      <c r="G405" s="14">
        <f t="shared" si="100"/>
        <v>-1.5283804019833638</v>
      </c>
      <c r="H405" s="14">
        <f t="shared" si="101"/>
        <v>1.6946892920572729</v>
      </c>
      <c r="I405" s="14">
        <f t="shared" si="102"/>
        <v>5.738608796236095</v>
      </c>
      <c r="J405" s="14">
        <f t="shared" si="95"/>
        <v>-6.4120486662003442</v>
      </c>
      <c r="K405" s="14">
        <f t="shared" si="103"/>
        <v>-48.172324286042212</v>
      </c>
      <c r="L405" s="14">
        <f t="shared" si="104"/>
        <v>8.6049984900614547</v>
      </c>
      <c r="M405" s="14">
        <f t="shared" si="97"/>
        <v>13.991066056674478</v>
      </c>
      <c r="N405" s="14">
        <f t="shared" si="105"/>
        <v>5.6049748032498039</v>
      </c>
      <c r="O405" s="14">
        <f t="shared" si="96"/>
        <v>5.6049748032498039</v>
      </c>
      <c r="P405" s="14">
        <f t="shared" si="106"/>
        <v>1</v>
      </c>
    </row>
    <row r="406" spans="1:16" x14ac:dyDescent="0.25">
      <c r="A406" s="14">
        <f t="shared" si="98"/>
        <v>1.9099999999999813</v>
      </c>
      <c r="B406" s="14">
        <f t="shared" si="91"/>
        <v>19.225052021324085</v>
      </c>
      <c r="C406" s="14">
        <f t="shared" si="92"/>
        <v>10.626621744442406</v>
      </c>
      <c r="D406" s="14">
        <f t="shared" si="93"/>
        <v>10.626621744442406</v>
      </c>
      <c r="E406" s="14">
        <f t="shared" si="99"/>
        <v>1</v>
      </c>
      <c r="F406" s="14">
        <f t="shared" si="94"/>
        <v>-2.2954259694327575</v>
      </c>
      <c r="G406" s="14">
        <f t="shared" si="100"/>
        <v>-1.5308023208266144</v>
      </c>
      <c r="H406" s="14">
        <f t="shared" si="101"/>
        <v>1.7104457418164907</v>
      </c>
      <c r="I406" s="14">
        <f t="shared" si="102"/>
        <v>5.7309547846319617</v>
      </c>
      <c r="J406" s="14">
        <f t="shared" si="95"/>
        <v>-6.4524964374912619</v>
      </c>
      <c r="K406" s="14">
        <f t="shared" si="103"/>
        <v>-48.389274436771693</v>
      </c>
      <c r="L406" s="14">
        <f t="shared" si="104"/>
        <v>8.6300957711565065</v>
      </c>
      <c r="M406" s="14">
        <f t="shared" si="97"/>
        <v>14.019720830597638</v>
      </c>
      <c r="N406" s="14">
        <f t="shared" si="105"/>
        <v>5.5727123210623475</v>
      </c>
      <c r="O406" s="14">
        <f t="shared" si="96"/>
        <v>5.5727123210623475</v>
      </c>
      <c r="P406" s="14">
        <f t="shared" si="106"/>
        <v>1</v>
      </c>
    </row>
    <row r="407" spans="1:16" x14ac:dyDescent="0.25">
      <c r="A407" s="14">
        <f t="shared" si="98"/>
        <v>1.9149999999999812</v>
      </c>
      <c r="B407" s="14">
        <f t="shared" si="91"/>
        <v>19.275379382636451</v>
      </c>
      <c r="C407" s="14">
        <f t="shared" si="92"/>
        <v>10.607522625972361</v>
      </c>
      <c r="D407" s="14">
        <f t="shared" si="93"/>
        <v>10.607522625972361</v>
      </c>
      <c r="E407" s="14">
        <f t="shared" si="99"/>
        <v>1</v>
      </c>
      <c r="F407" s="14">
        <f t="shared" si="94"/>
        <v>-2.3088351435993357</v>
      </c>
      <c r="G407" s="14">
        <f t="shared" si="100"/>
        <v>-1.5332193481977845</v>
      </c>
      <c r="H407" s="14">
        <f t="shared" si="101"/>
        <v>1.7262555287764685</v>
      </c>
      <c r="I407" s="14">
        <f t="shared" si="102"/>
        <v>5.7232886878909728</v>
      </c>
      <c r="J407" s="14">
        <f t="shared" si="95"/>
        <v>-6.4928651598473799</v>
      </c>
      <c r="K407" s="14">
        <f t="shared" si="103"/>
        <v>-48.604677337271369</v>
      </c>
      <c r="L407" s="14">
        <f t="shared" si="104"/>
        <v>8.6552487768348243</v>
      </c>
      <c r="M407" s="14">
        <f t="shared" si="97"/>
        <v>14.048337274037094</v>
      </c>
      <c r="N407" s="14">
        <f t="shared" si="105"/>
        <v>5.540247995263111</v>
      </c>
      <c r="O407" s="14">
        <f t="shared" si="96"/>
        <v>5.540247995263111</v>
      </c>
      <c r="P407" s="14">
        <f t="shared" si="106"/>
        <v>1</v>
      </c>
    </row>
    <row r="408" spans="1:16" x14ac:dyDescent="0.25">
      <c r="A408" s="14">
        <f t="shared" si="98"/>
        <v>1.9199999999999811</v>
      </c>
      <c r="B408" s="14">
        <f t="shared" ref="B408:B471" si="107">IF(E408=0,B407,$B$19*A408)</f>
        <v>19.325706743948817</v>
      </c>
      <c r="C408" s="14">
        <f t="shared" si="92"/>
        <v>10.588178507502317</v>
      </c>
      <c r="D408" s="14">
        <f t="shared" si="93"/>
        <v>10.588178507502317</v>
      </c>
      <c r="E408" s="14">
        <f t="shared" si="99"/>
        <v>1</v>
      </c>
      <c r="F408" s="14">
        <f t="shared" si="94"/>
        <v>-2.3223132730559222</v>
      </c>
      <c r="G408" s="14">
        <f t="shared" si="100"/>
        <v>-1.5356311098755688</v>
      </c>
      <c r="H408" s="14">
        <f t="shared" si="101"/>
        <v>1.7421182602205967</v>
      </c>
      <c r="I408" s="14">
        <f t="shared" si="102"/>
        <v>5.7156105323415947</v>
      </c>
      <c r="J408" s="14">
        <f t="shared" si="95"/>
        <v>-6.5331545685462773</v>
      </c>
      <c r="K408" s="14">
        <f t="shared" si="103"/>
        <v>-48.818544097129823</v>
      </c>
      <c r="L408" s="14">
        <f t="shared" si="104"/>
        <v>8.6804557699426859</v>
      </c>
      <c r="M408" s="14">
        <f t="shared" si="97"/>
        <v>14.076915326698801</v>
      </c>
      <c r="N408" s="14">
        <f t="shared" si="105"/>
        <v>5.5075822224203792</v>
      </c>
      <c r="O408" s="14">
        <f t="shared" si="96"/>
        <v>5.5075822224203792</v>
      </c>
      <c r="P408" s="14">
        <f t="shared" si="106"/>
        <v>1</v>
      </c>
    </row>
    <row r="409" spans="1:16" x14ac:dyDescent="0.25">
      <c r="A409" s="14">
        <f t="shared" si="98"/>
        <v>1.9249999999999809</v>
      </c>
      <c r="B409" s="14">
        <f t="shared" si="107"/>
        <v>19.376034105261184</v>
      </c>
      <c r="C409" s="14">
        <f t="shared" ref="C409:C472" si="108">$B$20*A409+0.5*$B$16*A409^2+$B$17</f>
        <v>10.568589389032272</v>
      </c>
      <c r="D409" s="14">
        <f t="shared" ref="D409:D472" si="109">IF(E409=1,C409,$B$18)</f>
        <v>10.568589389032272</v>
      </c>
      <c r="E409" s="14">
        <f t="shared" si="99"/>
        <v>1</v>
      </c>
      <c r="F409" s="14">
        <f t="shared" ref="F409:F472" si="110">-$E$13*L408^2</f>
        <v>-2.3358596835918695</v>
      </c>
      <c r="G409" s="14">
        <f t="shared" si="100"/>
        <v>-1.5380372371505031</v>
      </c>
      <c r="H409" s="14">
        <f t="shared" si="101"/>
        <v>1.7580335373844138</v>
      </c>
      <c r="I409" s="14">
        <f t="shared" si="102"/>
        <v>5.7079203461558423</v>
      </c>
      <c r="J409" s="14">
        <f t="shared" ref="J409:J472" si="111">J408+(H409+$B$16)*$A$22</f>
        <v>-6.5733644008593552</v>
      </c>
      <c r="K409" s="14">
        <f t="shared" si="103"/>
        <v>-49.030885830775262</v>
      </c>
      <c r="L409" s="14">
        <f t="shared" si="104"/>
        <v>8.7057150323534547</v>
      </c>
      <c r="M409" s="14">
        <f t="shared" si="97"/>
        <v>14.10545492842958</v>
      </c>
      <c r="N409" s="14">
        <f t="shared" si="105"/>
        <v>5.4747154004160823</v>
      </c>
      <c r="O409" s="14">
        <f t="shared" ref="O409:O472" si="112">IF(P409=1,N409,$B$18)</f>
        <v>5.4747154004160823</v>
      </c>
      <c r="P409" s="14">
        <f t="shared" si="106"/>
        <v>1</v>
      </c>
    </row>
    <row r="410" spans="1:16" x14ac:dyDescent="0.25">
      <c r="A410" s="14">
        <f t="shared" si="98"/>
        <v>1.9299999999999808</v>
      </c>
      <c r="B410" s="14">
        <f t="shared" si="107"/>
        <v>19.42636146657355</v>
      </c>
      <c r="C410" s="14">
        <f t="shared" si="108"/>
        <v>10.548755270562225</v>
      </c>
      <c r="D410" s="14">
        <f t="shared" si="109"/>
        <v>10.548755270562225</v>
      </c>
      <c r="E410" s="14">
        <f t="shared" si="99"/>
        <v>1</v>
      </c>
      <c r="F410" s="14">
        <f t="shared" si="110"/>
        <v>-2.3494737009608926</v>
      </c>
      <c r="G410" s="14">
        <f t="shared" si="100"/>
        <v>-1.5404373667911568</v>
      </c>
      <c r="H410" s="14">
        <f t="shared" si="101"/>
        <v>1.7740009556086491</v>
      </c>
      <c r="I410" s="14">
        <f t="shared" si="102"/>
        <v>5.7002181593218868</v>
      </c>
      <c r="J410" s="14">
        <f t="shared" si="111"/>
        <v>-6.613494396081312</v>
      </c>
      <c r="K410" s="14">
        <f t="shared" si="103"/>
        <v>-49.241713653759241</v>
      </c>
      <c r="L410" s="14">
        <f t="shared" si="104"/>
        <v>8.7310248648633415</v>
      </c>
      <c r="M410" s="14">
        <f t="shared" ref="M410:M473" si="113">IF(P410=0,M409,M409+I410*$A$22)</f>
        <v>14.13395601922619</v>
      </c>
      <c r="N410" s="14">
        <f t="shared" si="105"/>
        <v>5.4416479284356756</v>
      </c>
      <c r="O410" s="14">
        <f t="shared" si="112"/>
        <v>5.4416479284356756</v>
      </c>
      <c r="P410" s="14">
        <f t="shared" si="106"/>
        <v>1</v>
      </c>
    </row>
    <row r="411" spans="1:16" x14ac:dyDescent="0.25">
      <c r="A411" s="14">
        <f t="shared" si="98"/>
        <v>1.9349999999999807</v>
      </c>
      <c r="B411" s="14">
        <f t="shared" si="107"/>
        <v>19.476688827885916</v>
      </c>
      <c r="C411" s="14">
        <f t="shared" si="108"/>
        <v>10.528676152092181</v>
      </c>
      <c r="D411" s="14">
        <f t="shared" si="109"/>
        <v>10.528676152092181</v>
      </c>
      <c r="E411" s="14">
        <f t="shared" si="99"/>
        <v>1</v>
      </c>
      <c r="F411" s="14">
        <f t="shared" si="110"/>
        <v>-2.3631546509167198</v>
      </c>
      <c r="G411" s="14">
        <f t="shared" si="100"/>
        <v>-1.5428311410097331</v>
      </c>
      <c r="H411" s="14">
        <f t="shared" si="101"/>
        <v>1.79002010449043</v>
      </c>
      <c r="I411" s="14">
        <f t="shared" si="102"/>
        <v>5.6925040036168379</v>
      </c>
      <c r="J411" s="14">
        <f t="shared" si="111"/>
        <v>-6.6535442955588602</v>
      </c>
      <c r="K411" s="14">
        <f t="shared" si="103"/>
        <v>-49.451038679173742</v>
      </c>
      <c r="L411" s="14">
        <f t="shared" si="104"/>
        <v>8.7563835870842013</v>
      </c>
      <c r="M411" s="14">
        <f t="shared" si="113"/>
        <v>14.162418539244275</v>
      </c>
      <c r="N411" s="14">
        <f t="shared" si="105"/>
        <v>5.4083802069578812</v>
      </c>
      <c r="O411" s="14">
        <f t="shared" si="112"/>
        <v>5.4083802069578812</v>
      </c>
      <c r="P411" s="14">
        <f t="shared" si="106"/>
        <v>1</v>
      </c>
    </row>
    <row r="412" spans="1:16" x14ac:dyDescent="0.25">
      <c r="A412" s="14">
        <f t="shared" si="98"/>
        <v>1.9399999999999806</v>
      </c>
      <c r="B412" s="14">
        <f t="shared" si="107"/>
        <v>19.527016189198282</v>
      </c>
      <c r="C412" s="14">
        <f t="shared" si="108"/>
        <v>10.508352033622135</v>
      </c>
      <c r="D412" s="14">
        <f t="shared" si="109"/>
        <v>10.508352033622135</v>
      </c>
      <c r="E412" s="14">
        <f t="shared" si="99"/>
        <v>1</v>
      </c>
      <c r="F412" s="14">
        <f t="shared" si="110"/>
        <v>-2.3769018592488851</v>
      </c>
      <c r="G412" s="14">
        <f t="shared" si="100"/>
        <v>-1.545218207427129</v>
      </c>
      <c r="H412" s="14">
        <f t="shared" si="101"/>
        <v>1.8060905680326489</v>
      </c>
      <c r="I412" s="14">
        <f t="shared" si="102"/>
        <v>5.684777912579702</v>
      </c>
      <c r="J412" s="14">
        <f t="shared" si="111"/>
        <v>-6.6935138427186969</v>
      </c>
      <c r="K412" s="14">
        <f t="shared" si="103"/>
        <v>-49.658872014199055</v>
      </c>
      <c r="L412" s="14">
        <f t="shared" si="104"/>
        <v>8.7817895373335411</v>
      </c>
      <c r="M412" s="14">
        <f t="shared" si="113"/>
        <v>14.190842428807173</v>
      </c>
      <c r="N412" s="14">
        <f t="shared" si="105"/>
        <v>5.3749126377442877</v>
      </c>
      <c r="O412" s="14">
        <f t="shared" si="112"/>
        <v>5.3749126377442877</v>
      </c>
      <c r="P412" s="14">
        <f t="shared" si="106"/>
        <v>1</v>
      </c>
    </row>
    <row r="413" spans="1:16" x14ac:dyDescent="0.25">
      <c r="A413" s="14">
        <f t="shared" si="98"/>
        <v>1.9449999999999805</v>
      </c>
      <c r="B413" s="14">
        <f t="shared" si="107"/>
        <v>19.577343550510648</v>
      </c>
      <c r="C413" s="14">
        <f t="shared" si="108"/>
        <v>10.487782915152092</v>
      </c>
      <c r="D413" s="14">
        <f t="shared" si="109"/>
        <v>10.487782915152092</v>
      </c>
      <c r="E413" s="14">
        <f t="shared" si="99"/>
        <v>1</v>
      </c>
      <c r="F413" s="14">
        <f t="shared" si="110"/>
        <v>-2.3907146518186466</v>
      </c>
      <c r="G413" s="14">
        <f t="shared" si="100"/>
        <v>-1.5475982190374744</v>
      </c>
      <c r="H413" s="14">
        <f t="shared" si="101"/>
        <v>1.8222119247915127</v>
      </c>
      <c r="I413" s="14">
        <f t="shared" si="102"/>
        <v>5.6770399214845142</v>
      </c>
      <c r="J413" s="14">
        <f t="shared" si="111"/>
        <v>-6.7334027830947392</v>
      </c>
      <c r="K413" s="14">
        <f t="shared" si="103"/>
        <v>-49.865224756779213</v>
      </c>
      <c r="L413" s="14">
        <f t="shared" si="104"/>
        <v>8.8072410725219097</v>
      </c>
      <c r="M413" s="14">
        <f t="shared" si="113"/>
        <v>14.219227628414595</v>
      </c>
      <c r="N413" s="14">
        <f t="shared" si="105"/>
        <v>5.3412456238288142</v>
      </c>
      <c r="O413" s="14">
        <f t="shared" si="112"/>
        <v>5.3412456238288142</v>
      </c>
      <c r="P413" s="14">
        <f t="shared" si="106"/>
        <v>1</v>
      </c>
    </row>
    <row r="414" spans="1:16" x14ac:dyDescent="0.25">
      <c r="A414" s="14">
        <f t="shared" si="98"/>
        <v>1.9499999999999804</v>
      </c>
      <c r="B414" s="14">
        <f t="shared" si="107"/>
        <v>19.627670911823014</v>
      </c>
      <c r="C414" s="14">
        <f t="shared" si="108"/>
        <v>10.466968796682043</v>
      </c>
      <c r="D414" s="14">
        <f t="shared" si="109"/>
        <v>10.466968796682043</v>
      </c>
      <c r="E414" s="14">
        <f t="shared" si="99"/>
        <v>1</v>
      </c>
      <c r="F414" s="14">
        <f t="shared" si="110"/>
        <v>-2.4045923545950232</v>
      </c>
      <c r="G414" s="14">
        <f t="shared" si="100"/>
        <v>-1.5499708341721941</v>
      </c>
      <c r="H414" s="14">
        <f t="shared" si="101"/>
        <v>1.8383837480222649</v>
      </c>
      <c r="I414" s="14">
        <f t="shared" si="102"/>
        <v>5.6692900673136535</v>
      </c>
      <c r="J414" s="14">
        <f t="shared" si="111"/>
        <v>-6.7732108643546276</v>
      </c>
      <c r="K414" s="14">
        <f t="shared" si="103"/>
        <v>-50.070107992422294</v>
      </c>
      <c r="L414" s="14">
        <f t="shared" si="104"/>
        <v>8.832736568037836</v>
      </c>
      <c r="M414" s="14">
        <f t="shared" si="113"/>
        <v>14.247574078751164</v>
      </c>
      <c r="N414" s="14">
        <f t="shared" si="105"/>
        <v>5.3073795695070407</v>
      </c>
      <c r="O414" s="14">
        <f t="shared" si="112"/>
        <v>5.3073795695070407</v>
      </c>
      <c r="P414" s="14">
        <f t="shared" si="106"/>
        <v>1</v>
      </c>
    </row>
    <row r="415" spans="1:16" x14ac:dyDescent="0.25">
      <c r="A415" s="14">
        <f t="shared" si="98"/>
        <v>1.9549999999999803</v>
      </c>
      <c r="B415" s="14">
        <f t="shared" si="107"/>
        <v>19.67799827313538</v>
      </c>
      <c r="C415" s="14">
        <f t="shared" si="108"/>
        <v>10.445909678212001</v>
      </c>
      <c r="D415" s="14">
        <f t="shared" si="109"/>
        <v>10.445909678212001</v>
      </c>
      <c r="E415" s="14">
        <f t="shared" si="99"/>
        <v>1</v>
      </c>
      <c r="F415" s="14">
        <f t="shared" si="110"/>
        <v>-2.4185342936909371</v>
      </c>
      <c r="G415" s="14">
        <f t="shared" si="100"/>
        <v>-1.5523357164636247</v>
      </c>
      <c r="H415" s="14">
        <f t="shared" si="101"/>
        <v>1.8546056058231046</v>
      </c>
      <c r="I415" s="14">
        <f t="shared" si="102"/>
        <v>5.6615283887313357</v>
      </c>
      <c r="J415" s="14">
        <f t="shared" si="111"/>
        <v>-6.8129378363255118</v>
      </c>
      <c r="K415" s="14">
        <f t="shared" si="103"/>
        <v>-50.273532791122463</v>
      </c>
      <c r="L415" s="14">
        <f t="shared" si="104"/>
        <v>8.8582744176304775</v>
      </c>
      <c r="M415" s="14">
        <f t="shared" si="113"/>
        <v>14.275881720694821</v>
      </c>
      <c r="N415" s="14">
        <f t="shared" si="105"/>
        <v>5.2733148803254135</v>
      </c>
      <c r="O415" s="14">
        <f t="shared" si="112"/>
        <v>5.2733148803254135</v>
      </c>
      <c r="P415" s="14">
        <f t="shared" si="106"/>
        <v>1</v>
      </c>
    </row>
    <row r="416" spans="1:16" x14ac:dyDescent="0.25">
      <c r="A416" s="14">
        <f t="shared" si="98"/>
        <v>1.9599999999999802</v>
      </c>
      <c r="B416" s="14">
        <f t="shared" si="107"/>
        <v>19.728325634447746</v>
      </c>
      <c r="C416" s="14">
        <f t="shared" si="108"/>
        <v>10.424605559741959</v>
      </c>
      <c r="D416" s="14">
        <f t="shared" si="109"/>
        <v>10.424605559741959</v>
      </c>
      <c r="E416" s="14">
        <f t="shared" si="99"/>
        <v>1</v>
      </c>
      <c r="F416" s="14">
        <f t="shared" si="110"/>
        <v>-2.4325397953994439</v>
      </c>
      <c r="G416" s="14">
        <f t="shared" si="100"/>
        <v>-1.5546925348082121</v>
      </c>
      <c r="H416" s="14">
        <f t="shared" si="101"/>
        <v>1.8708770612772994</v>
      </c>
      <c r="I416" s="14">
        <f t="shared" si="102"/>
        <v>5.653754926057295</v>
      </c>
      <c r="J416" s="14">
        <f t="shared" si="111"/>
        <v>-6.8525834510191252</v>
      </c>
      <c r="K416" s="14">
        <f t="shared" si="103"/>
        <v>-50.475510204401132</v>
      </c>
      <c r="L416" s="14">
        <f t="shared" si="104"/>
        <v>8.8838530332901335</v>
      </c>
      <c r="M416" s="14">
        <f t="shared" si="113"/>
        <v>14.304150495325107</v>
      </c>
      <c r="N416" s="14">
        <f t="shared" si="105"/>
        <v>5.2390519630703176</v>
      </c>
      <c r="O416" s="14">
        <f t="shared" si="112"/>
        <v>5.2390519630703176</v>
      </c>
      <c r="P416" s="14">
        <f t="shared" si="106"/>
        <v>1</v>
      </c>
    </row>
    <row r="417" spans="1:16" x14ac:dyDescent="0.25">
      <c r="A417" s="14">
        <f t="shared" si="98"/>
        <v>1.9649999999999801</v>
      </c>
      <c r="B417" s="14">
        <f t="shared" si="107"/>
        <v>19.778652995760112</v>
      </c>
      <c r="C417" s="14">
        <f t="shared" si="108"/>
        <v>10.403056441271911</v>
      </c>
      <c r="D417" s="14">
        <f t="shared" si="109"/>
        <v>10.403056441271911</v>
      </c>
      <c r="E417" s="14">
        <f t="shared" si="99"/>
        <v>1</v>
      </c>
      <c r="F417" s="14">
        <f t="shared" si="110"/>
        <v>-2.4466081862300473</v>
      </c>
      <c r="G417" s="14">
        <f t="shared" si="100"/>
        <v>-1.5570409633293267</v>
      </c>
      <c r="H417" s="14">
        <f t="shared" si="101"/>
        <v>1.8871976725935109</v>
      </c>
      <c r="I417" s="14">
        <f t="shared" si="102"/>
        <v>5.6459697212406486</v>
      </c>
      <c r="J417" s="14">
        <f t="shared" si="111"/>
        <v>-6.8921474626561574</v>
      </c>
      <c r="K417" s="14">
        <f t="shared" si="103"/>
        <v>-50.676051262464043</v>
      </c>
      <c r="L417" s="14">
        <f t="shared" si="104"/>
        <v>8.9094708451267692</v>
      </c>
      <c r="M417" s="14">
        <f t="shared" si="113"/>
        <v>14.332380343931311</v>
      </c>
      <c r="N417" s="14">
        <f t="shared" si="105"/>
        <v>5.2045912257570368</v>
      </c>
      <c r="O417" s="14">
        <f t="shared" si="112"/>
        <v>5.2045912257570368</v>
      </c>
      <c r="P417" s="14">
        <f t="shared" si="106"/>
        <v>1</v>
      </c>
    </row>
    <row r="418" spans="1:16" x14ac:dyDescent="0.25">
      <c r="A418" s="14">
        <f t="shared" si="98"/>
        <v>1.96999999999998</v>
      </c>
      <c r="B418" s="14">
        <f t="shared" si="107"/>
        <v>19.828980357072478</v>
      </c>
      <c r="C418" s="14">
        <f t="shared" si="108"/>
        <v>10.38126232280187</v>
      </c>
      <c r="D418" s="14">
        <f t="shared" si="109"/>
        <v>10.38126232280187</v>
      </c>
      <c r="E418" s="14">
        <f t="shared" si="99"/>
        <v>1</v>
      </c>
      <c r="F418" s="14">
        <f t="shared" si="110"/>
        <v>-2.4607387929450812</v>
      </c>
      <c r="G418" s="14">
        <f t="shared" si="100"/>
        <v>-1.5593806813397242</v>
      </c>
      <c r="H418" s="14">
        <f t="shared" si="101"/>
        <v>1.9035669932443335</v>
      </c>
      <c r="I418" s="14">
        <f t="shared" si="102"/>
        <v>5.6381728178339499</v>
      </c>
      <c r="J418" s="14">
        <f t="shared" si="111"/>
        <v>-6.9316296276899356</v>
      </c>
      <c r="K418" s="14">
        <f t="shared" si="103"/>
        <v>-50.875166971471721</v>
      </c>
      <c r="L418" s="14">
        <f t="shared" si="104"/>
        <v>8.9351263012467008</v>
      </c>
      <c r="M418" s="14">
        <f t="shared" si="113"/>
        <v>14.360571208020481</v>
      </c>
      <c r="N418" s="14">
        <f t="shared" si="105"/>
        <v>5.1699330776185874</v>
      </c>
      <c r="O418" s="14">
        <f t="shared" si="112"/>
        <v>5.1699330776185874</v>
      </c>
      <c r="P418" s="14">
        <f t="shared" si="106"/>
        <v>1</v>
      </c>
    </row>
    <row r="419" spans="1:16" x14ac:dyDescent="0.25">
      <c r="A419" s="14">
        <f t="shared" si="98"/>
        <v>1.9749999999999799</v>
      </c>
      <c r="B419" s="14">
        <f t="shared" si="107"/>
        <v>19.879307718384844</v>
      </c>
      <c r="C419" s="14">
        <f t="shared" si="108"/>
        <v>10.359223204331819</v>
      </c>
      <c r="D419" s="14">
        <f t="shared" si="109"/>
        <v>10.359223204331819</v>
      </c>
      <c r="E419" s="14">
        <f t="shared" si="99"/>
        <v>1</v>
      </c>
      <c r="F419" s="14">
        <f t="shared" si="110"/>
        <v>-2.474930942596147</v>
      </c>
      <c r="G419" s="14">
        <f t="shared" si="100"/>
        <v>-1.5617113733036727</v>
      </c>
      <c r="H419" s="14">
        <f t="shared" si="101"/>
        <v>1.9199845721030702</v>
      </c>
      <c r="I419" s="14">
        <f t="shared" si="102"/>
        <v>5.6303642609674318</v>
      </c>
      <c r="J419" s="14">
        <f t="shared" si="111"/>
        <v>-6.9710297048294203</v>
      </c>
      <c r="K419" s="14">
        <f t="shared" si="103"/>
        <v>-51.072868310920221</v>
      </c>
      <c r="L419" s="14">
        <f t="shared" si="104"/>
        <v>8.9608178676275685</v>
      </c>
      <c r="M419" s="14">
        <f t="shared" si="113"/>
        <v>14.388723029325318</v>
      </c>
      <c r="N419" s="14">
        <f t="shared" si="105"/>
        <v>5.1350779290944404</v>
      </c>
      <c r="O419" s="14">
        <f t="shared" si="112"/>
        <v>5.1350779290944404</v>
      </c>
      <c r="P419" s="14">
        <f t="shared" si="106"/>
        <v>1</v>
      </c>
    </row>
    <row r="420" spans="1:16" x14ac:dyDescent="0.25">
      <c r="A420" s="14">
        <f t="shared" si="98"/>
        <v>1.9799999999999798</v>
      </c>
      <c r="B420" s="14">
        <f t="shared" si="107"/>
        <v>19.92963507969721</v>
      </c>
      <c r="C420" s="14">
        <f t="shared" si="108"/>
        <v>10.336939085861779</v>
      </c>
      <c r="D420" s="14">
        <f t="shared" si="109"/>
        <v>10.336939085861779</v>
      </c>
      <c r="E420" s="14">
        <f t="shared" si="99"/>
        <v>1</v>
      </c>
      <c r="F420" s="14">
        <f t="shared" si="110"/>
        <v>-2.4891839625605976</v>
      </c>
      <c r="G420" s="14">
        <f t="shared" si="100"/>
        <v>-1.5640327287987879</v>
      </c>
      <c r="H420" s="14">
        <f t="shared" si="101"/>
        <v>1.9364499535787378</v>
      </c>
      <c r="I420" s="14">
        <f t="shared" si="102"/>
        <v>5.6225440973234377</v>
      </c>
      <c r="J420" s="14">
        <f t="shared" si="111"/>
        <v>-7.0103474550615266</v>
      </c>
      <c r="K420" s="14">
        <f t="shared" si="103"/>
        <v>-51.269166231129546</v>
      </c>
      <c r="L420" s="14">
        <f t="shared" si="104"/>
        <v>8.9865440279917532</v>
      </c>
      <c r="M420" s="14">
        <f t="shared" si="113"/>
        <v>14.416835749811936</v>
      </c>
      <c r="N420" s="14">
        <f t="shared" si="105"/>
        <v>5.1000261918191327</v>
      </c>
      <c r="O420" s="14">
        <f t="shared" si="112"/>
        <v>5.1000261918191327</v>
      </c>
      <c r="P420" s="14">
        <f t="shared" si="106"/>
        <v>1</v>
      </c>
    </row>
    <row r="421" spans="1:16" x14ac:dyDescent="0.25">
      <c r="A421" s="14">
        <f t="shared" si="98"/>
        <v>1.9849999999999797</v>
      </c>
      <c r="B421" s="14">
        <f t="shared" si="107"/>
        <v>19.979962441009576</v>
      </c>
      <c r="C421" s="14">
        <f t="shared" si="108"/>
        <v>10.314409967391732</v>
      </c>
      <c r="D421" s="14">
        <f t="shared" si="109"/>
        <v>10.314409967391732</v>
      </c>
      <c r="E421" s="14">
        <f t="shared" si="99"/>
        <v>1</v>
      </c>
      <c r="F421" s="14">
        <f t="shared" si="110"/>
        <v>-2.5034971805780613</v>
      </c>
      <c r="G421" s="14">
        <f t="shared" si="100"/>
        <v>-1.5663444424775887</v>
      </c>
      <c r="H421" s="14">
        <f t="shared" si="101"/>
        <v>1.9529626777493403</v>
      </c>
      <c r="I421" s="14">
        <f t="shared" si="102"/>
        <v>5.6147123751110497</v>
      </c>
      <c r="J421" s="14">
        <f t="shared" si="111"/>
        <v>-7.0495826416727798</v>
      </c>
      <c r="K421" s="14">
        <f t="shared" si="103"/>
        <v>-51.464071650836885</v>
      </c>
      <c r="L421" s="14">
        <f t="shared" si="104"/>
        <v>9.012303283678337</v>
      </c>
      <c r="M421" s="14">
        <f t="shared" si="113"/>
        <v>14.444909311687491</v>
      </c>
      <c r="N421" s="14">
        <f t="shared" si="105"/>
        <v>5.0647782786107687</v>
      </c>
      <c r="O421" s="14">
        <f t="shared" si="112"/>
        <v>5.0647782786107687</v>
      </c>
      <c r="P421" s="14">
        <f t="shared" si="106"/>
        <v>1</v>
      </c>
    </row>
    <row r="422" spans="1:16" x14ac:dyDescent="0.25">
      <c r="A422" s="14">
        <f t="shared" si="98"/>
        <v>1.9899999999999796</v>
      </c>
      <c r="B422" s="14">
        <f t="shared" si="107"/>
        <v>20.030289802321942</v>
      </c>
      <c r="C422" s="14">
        <f t="shared" si="108"/>
        <v>10.29163584892169</v>
      </c>
      <c r="D422" s="14">
        <f t="shared" si="109"/>
        <v>10.29163584892169</v>
      </c>
      <c r="E422" s="14">
        <f t="shared" si="99"/>
        <v>1</v>
      </c>
      <c r="F422" s="14">
        <f t="shared" si="110"/>
        <v>-2.5178699247869791</v>
      </c>
      <c r="G422" s="14">
        <f t="shared" si="100"/>
        <v>-1.5686462140288038</v>
      </c>
      <c r="H422" s="14">
        <f t="shared" si="101"/>
        <v>1.9695222804933912</v>
      </c>
      <c r="I422" s="14">
        <f t="shared" si="102"/>
        <v>5.606869144040906</v>
      </c>
      <c r="J422" s="14">
        <f t="shared" si="111"/>
        <v>-7.0887350302703132</v>
      </c>
      <c r="K422" s="14">
        <f t="shared" si="103"/>
        <v>-51.657595454891855</v>
      </c>
      <c r="L422" s="14">
        <f t="shared" si="104"/>
        <v>9.038094153513752</v>
      </c>
      <c r="M422" s="14">
        <f t="shared" si="113"/>
        <v>14.472943657407695</v>
      </c>
      <c r="N422" s="14">
        <f t="shared" si="105"/>
        <v>5.0293346034594171</v>
      </c>
      <c r="O422" s="14">
        <f t="shared" si="112"/>
        <v>5.0293346034594171</v>
      </c>
      <c r="P422" s="14">
        <f t="shared" si="106"/>
        <v>1</v>
      </c>
    </row>
    <row r="423" spans="1:16" x14ac:dyDescent="0.25">
      <c r="A423" s="14">
        <f t="shared" si="98"/>
        <v>1.9949999999999795</v>
      </c>
      <c r="B423" s="14">
        <f t="shared" si="107"/>
        <v>20.080617163634308</v>
      </c>
      <c r="C423" s="14">
        <f t="shared" si="108"/>
        <v>10.268616730451644</v>
      </c>
      <c r="D423" s="14">
        <f t="shared" si="109"/>
        <v>10.268616730451644</v>
      </c>
      <c r="E423" s="14">
        <f t="shared" si="99"/>
        <v>1</v>
      </c>
      <c r="F423" s="14">
        <f t="shared" si="110"/>
        <v>-2.5323015237611637</v>
      </c>
      <c r="G423" s="14">
        <f t="shared" si="100"/>
        <v>-1.5709377481384561</v>
      </c>
      <c r="H423" s="14">
        <f t="shared" si="101"/>
        <v>1.9861282936197218</v>
      </c>
      <c r="I423" s="14">
        <f t="shared" si="102"/>
        <v>5.5990144553002139</v>
      </c>
      <c r="J423" s="14">
        <f t="shared" si="111"/>
        <v>-7.1278043888022147</v>
      </c>
      <c r="K423" s="14">
        <f t="shared" si="103"/>
        <v>-51.849748492051226</v>
      </c>
      <c r="L423" s="14">
        <f t="shared" si="104"/>
        <v>9.0639151736812309</v>
      </c>
      <c r="M423" s="14">
        <f t="shared" si="113"/>
        <v>14.500938729684197</v>
      </c>
      <c r="N423" s="14">
        <f t="shared" si="105"/>
        <v>4.9936955815154063</v>
      </c>
      <c r="O423" s="14">
        <f t="shared" si="112"/>
        <v>4.9936955815154063</v>
      </c>
      <c r="P423" s="14">
        <f t="shared" si="106"/>
        <v>1</v>
      </c>
    </row>
    <row r="424" spans="1:16" x14ac:dyDescent="0.25">
      <c r="A424" s="14">
        <f t="shared" si="98"/>
        <v>1.9999999999999793</v>
      </c>
      <c r="B424" s="14">
        <f t="shared" si="107"/>
        <v>20.130944524946674</v>
      </c>
      <c r="C424" s="14">
        <f t="shared" si="108"/>
        <v>10.245352611981598</v>
      </c>
      <c r="D424" s="14">
        <f t="shared" si="109"/>
        <v>10.245352611981598</v>
      </c>
      <c r="E424" s="14">
        <f t="shared" si="99"/>
        <v>1</v>
      </c>
      <c r="F424" s="14">
        <f t="shared" si="110"/>
        <v>-2.5467913065463543</v>
      </c>
      <c r="G424" s="14">
        <f t="shared" si="100"/>
        <v>-1.5732187544507408</v>
      </c>
      <c r="H424" s="14">
        <f t="shared" si="101"/>
        <v>2.0027802449955781</v>
      </c>
      <c r="I424" s="14">
        <f t="shared" si="102"/>
        <v>5.59114836152796</v>
      </c>
      <c r="J424" s="14">
        <f t="shared" si="111"/>
        <v>-7.166790487577237</v>
      </c>
      <c r="K424" s="14">
        <f t="shared" si="103"/>
        <v>-52.040541572870232</v>
      </c>
      <c r="L424" s="14">
        <f t="shared" si="104"/>
        <v>9.0897648975891752</v>
      </c>
      <c r="M424" s="14">
        <f t="shared" si="113"/>
        <v>14.528894471491837</v>
      </c>
      <c r="N424" s="14">
        <f t="shared" si="105"/>
        <v>4.9578616290775201</v>
      </c>
      <c r="O424" s="14">
        <f t="shared" si="112"/>
        <v>4.9578616290775201</v>
      </c>
      <c r="P424" s="14">
        <f t="shared" si="106"/>
        <v>1</v>
      </c>
    </row>
    <row r="425" spans="1:16" x14ac:dyDescent="0.25">
      <c r="A425" s="14">
        <f t="shared" si="98"/>
        <v>2.0049999999999795</v>
      </c>
      <c r="B425" s="14">
        <f t="shared" si="107"/>
        <v>20.181271886259044</v>
      </c>
      <c r="C425" s="14">
        <f t="shared" si="108"/>
        <v>10.221843493511553</v>
      </c>
      <c r="D425" s="14">
        <f t="shared" si="109"/>
        <v>10.221843493511553</v>
      </c>
      <c r="E425" s="14">
        <f t="shared" si="99"/>
        <v>1</v>
      </c>
      <c r="F425" s="14">
        <f t="shared" si="110"/>
        <v>-2.5613386026967748</v>
      </c>
      <c r="G425" s="14">
        <f t="shared" si="100"/>
        <v>-1.5754889475287324</v>
      </c>
      <c r="H425" s="14">
        <f t="shared" si="101"/>
        <v>2.019477658673023</v>
      </c>
      <c r="I425" s="14">
        <f t="shared" si="102"/>
        <v>5.5832709167903163</v>
      </c>
      <c r="J425" s="14">
        <f t="shared" si="111"/>
        <v>-7.2056930992838719</v>
      </c>
      <c r="K425" s="14">
        <f t="shared" si="103"/>
        <v>-52.229985467688046</v>
      </c>
      <c r="L425" s="14">
        <f t="shared" si="104"/>
        <v>9.115641895738543</v>
      </c>
      <c r="M425" s="14">
        <f t="shared" si="113"/>
        <v>14.556810826075788</v>
      </c>
      <c r="N425" s="14">
        <f t="shared" si="105"/>
        <v>4.921833163581101</v>
      </c>
      <c r="O425" s="14">
        <f t="shared" si="112"/>
        <v>4.921833163581101</v>
      </c>
      <c r="P425" s="14">
        <f t="shared" si="106"/>
        <v>1</v>
      </c>
    </row>
    <row r="426" spans="1:16" x14ac:dyDescent="0.25">
      <c r="A426" s="14">
        <f t="shared" si="98"/>
        <v>2.0099999999999794</v>
      </c>
      <c r="B426" s="14">
        <f t="shared" si="107"/>
        <v>20.23159924757141</v>
      </c>
      <c r="C426" s="14">
        <f t="shared" si="108"/>
        <v>10.198089375041505</v>
      </c>
      <c r="D426" s="14">
        <f t="shared" si="109"/>
        <v>10.198089375041505</v>
      </c>
      <c r="E426" s="14">
        <f t="shared" si="99"/>
        <v>1</v>
      </c>
      <c r="F426" s="14">
        <f t="shared" si="110"/>
        <v>-2.5759427423116574</v>
      </c>
      <c r="G426" s="14">
        <f t="shared" si="100"/>
        <v>-1.577748046814923</v>
      </c>
      <c r="H426" s="14">
        <f t="shared" si="101"/>
        <v>2.0362200550136516</v>
      </c>
      <c r="I426" s="14">
        <f t="shared" si="102"/>
        <v>5.5753821765562419</v>
      </c>
      <c r="J426" s="14">
        <f t="shared" si="111"/>
        <v>-7.2445119990088038</v>
      </c>
      <c r="K426" s="14">
        <f t="shared" si="103"/>
        <v>-52.418090904704606</v>
      </c>
      <c r="L426" s="14">
        <f t="shared" si="104"/>
        <v>9.1415447555893721</v>
      </c>
      <c r="M426" s="14">
        <f t="shared" si="113"/>
        <v>14.584687736958569</v>
      </c>
      <c r="N426" s="14">
        <f t="shared" si="105"/>
        <v>4.8856106035860574</v>
      </c>
      <c r="O426" s="14">
        <f t="shared" si="112"/>
        <v>4.8856106035860574</v>
      </c>
      <c r="P426" s="14">
        <f t="shared" si="106"/>
        <v>1</v>
      </c>
    </row>
    <row r="427" spans="1:16" x14ac:dyDescent="0.25">
      <c r="A427" s="14">
        <f t="shared" si="98"/>
        <v>2.0149999999999793</v>
      </c>
      <c r="B427" s="14">
        <f t="shared" si="107"/>
        <v>20.281926608883776</v>
      </c>
      <c r="C427" s="14">
        <f t="shared" si="108"/>
        <v>10.174090256571464</v>
      </c>
      <c r="D427" s="14">
        <f t="shared" si="109"/>
        <v>10.174090256571464</v>
      </c>
      <c r="E427" s="14">
        <f t="shared" si="99"/>
        <v>1</v>
      </c>
      <c r="F427" s="14">
        <f t="shared" si="110"/>
        <v>-2.5906030560717501</v>
      </c>
      <c r="G427" s="14">
        <f t="shared" si="100"/>
        <v>-1.5799957765916295</v>
      </c>
      <c r="H427" s="14">
        <f t="shared" si="101"/>
        <v>2.0530069508116395</v>
      </c>
      <c r="I427" s="14">
        <f t="shared" si="102"/>
        <v>5.567482197673284</v>
      </c>
      <c r="J427" s="14">
        <f t="shared" si="111"/>
        <v>-7.2832469642547455</v>
      </c>
      <c r="K427" s="14">
        <f t="shared" si="103"/>
        <v>-52.604868568146422</v>
      </c>
      <c r="L427" s="14">
        <f t="shared" si="104"/>
        <v>9.1674720814265314</v>
      </c>
      <c r="M427" s="14">
        <f t="shared" si="113"/>
        <v>14.612525147946936</v>
      </c>
      <c r="N427" s="14">
        <f t="shared" si="105"/>
        <v>4.8491943687647838</v>
      </c>
      <c r="O427" s="14">
        <f t="shared" si="112"/>
        <v>4.8491943687647838</v>
      </c>
      <c r="P427" s="14">
        <f t="shared" si="106"/>
        <v>1</v>
      </c>
    </row>
    <row r="428" spans="1:16" x14ac:dyDescent="0.25">
      <c r="A428" s="14">
        <f t="shared" si="98"/>
        <v>2.0199999999999791</v>
      </c>
      <c r="B428" s="14">
        <f t="shared" si="107"/>
        <v>20.332253970196142</v>
      </c>
      <c r="C428" s="14">
        <f t="shared" si="108"/>
        <v>10.14984613810142</v>
      </c>
      <c r="D428" s="14">
        <f t="shared" si="109"/>
        <v>10.14984613810142</v>
      </c>
      <c r="E428" s="14">
        <f t="shared" si="99"/>
        <v>1</v>
      </c>
      <c r="F428" s="14">
        <f t="shared" si="110"/>
        <v>-2.6053188752757821</v>
      </c>
      <c r="G428" s="14">
        <f t="shared" si="100"/>
        <v>-1.5822318659412806</v>
      </c>
      <c r="H428" s="14">
        <f t="shared" si="101"/>
        <v>2.0698378594151379</v>
      </c>
      <c r="I428" s="14">
        <f t="shared" si="102"/>
        <v>5.5595710383435772</v>
      </c>
      <c r="J428" s="14">
        <f t="shared" si="111"/>
        <v>-7.3218977749576695</v>
      </c>
      <c r="K428" s="14">
        <f t="shared" si="103"/>
        <v>-52.790329096518676</v>
      </c>
      <c r="L428" s="14">
        <f t="shared" si="104"/>
        <v>9.1934224942248122</v>
      </c>
      <c r="M428" s="14">
        <f t="shared" si="113"/>
        <v>14.640323003138654</v>
      </c>
      <c r="N428" s="14">
        <f t="shared" si="105"/>
        <v>4.8125848798899957</v>
      </c>
      <c r="O428" s="14">
        <f t="shared" si="112"/>
        <v>4.8125848798899957</v>
      </c>
      <c r="P428" s="14">
        <f t="shared" si="106"/>
        <v>1</v>
      </c>
    </row>
    <row r="429" spans="1:16" x14ac:dyDescent="0.25">
      <c r="A429" s="14">
        <f t="shared" si="98"/>
        <v>2.024999999999979</v>
      </c>
      <c r="B429" s="14">
        <f t="shared" si="107"/>
        <v>20.382581331508508</v>
      </c>
      <c r="C429" s="14">
        <f t="shared" si="108"/>
        <v>10.125357019631377</v>
      </c>
      <c r="D429" s="14">
        <f t="shared" si="109"/>
        <v>10.125357019631377</v>
      </c>
      <c r="E429" s="14">
        <f t="shared" si="99"/>
        <v>1</v>
      </c>
      <c r="F429" s="14">
        <f t="shared" si="110"/>
        <v>-2.6200895318768818</v>
      </c>
      <c r="G429" s="14">
        <f t="shared" si="100"/>
        <v>-1.5844560487066079</v>
      </c>
      <c r="H429" s="14">
        <f t="shared" si="101"/>
        <v>2.0867122908460236</v>
      </c>
      <c r="I429" s="14">
        <f t="shared" si="102"/>
        <v>5.5516487581000442</v>
      </c>
      <c r="J429" s="14">
        <f t="shared" si="111"/>
        <v>-7.3604642135034393</v>
      </c>
      <c r="K429" s="14">
        <f t="shared" si="103"/>
        <v>-52.974483080941305</v>
      </c>
      <c r="L429" s="14">
        <f t="shared" si="104"/>
        <v>9.2193946315134259</v>
      </c>
      <c r="M429" s="14">
        <f t="shared" si="113"/>
        <v>14.668081246929155</v>
      </c>
      <c r="N429" s="14">
        <f t="shared" si="105"/>
        <v>4.7757825588224785</v>
      </c>
      <c r="O429" s="14">
        <f t="shared" si="112"/>
        <v>4.7757825588224785</v>
      </c>
      <c r="P429" s="14">
        <f t="shared" si="106"/>
        <v>1</v>
      </c>
    </row>
    <row r="430" spans="1:16" x14ac:dyDescent="0.25">
      <c r="A430" s="14">
        <f t="shared" si="98"/>
        <v>2.0299999999999789</v>
      </c>
      <c r="B430" s="14">
        <f t="shared" si="107"/>
        <v>20.432908692820874</v>
      </c>
      <c r="C430" s="14">
        <f t="shared" si="108"/>
        <v>10.10062290116133</v>
      </c>
      <c r="D430" s="14">
        <f t="shared" si="109"/>
        <v>10.10062290116133</v>
      </c>
      <c r="E430" s="14">
        <f t="shared" si="99"/>
        <v>1</v>
      </c>
      <c r="F430" s="14">
        <f t="shared" si="110"/>
        <v>-2.6349143585189361</v>
      </c>
      <c r="G430" s="14">
        <f t="shared" si="100"/>
        <v>-1.5866680634507477</v>
      </c>
      <c r="H430" s="14">
        <f t="shared" si="101"/>
        <v>2.1036297519180294</v>
      </c>
      <c r="I430" s="14">
        <f t="shared" si="102"/>
        <v>5.5437154177827903</v>
      </c>
      <c r="J430" s="14">
        <f t="shared" si="111"/>
        <v>-7.398946064743849</v>
      </c>
      <c r="K430" s="14">
        <f t="shared" si="103"/>
        <v>-53.157341063566442</v>
      </c>
      <c r="L430" s="14">
        <f t="shared" si="104"/>
        <v>9.2453871472400273</v>
      </c>
      <c r="M430" s="14">
        <f t="shared" si="113"/>
        <v>14.695799824018069</v>
      </c>
      <c r="N430" s="14">
        <f t="shared" si="105"/>
        <v>4.7387878284987597</v>
      </c>
      <c r="O430" s="14">
        <f t="shared" si="112"/>
        <v>4.7387878284987597</v>
      </c>
      <c r="P430" s="14">
        <f t="shared" si="106"/>
        <v>1</v>
      </c>
    </row>
    <row r="431" spans="1:16" x14ac:dyDescent="0.25">
      <c r="A431" s="14">
        <f t="shared" si="98"/>
        <v>2.0349999999999788</v>
      </c>
      <c r="B431" s="14">
        <f t="shared" si="107"/>
        <v>20.48323605413324</v>
      </c>
      <c r="C431" s="14">
        <f t="shared" si="108"/>
        <v>10.075643782691284</v>
      </c>
      <c r="D431" s="14">
        <f t="shared" si="109"/>
        <v>10.075643782691284</v>
      </c>
      <c r="E431" s="14">
        <f t="shared" si="99"/>
        <v>1</v>
      </c>
      <c r="F431" s="14">
        <f t="shared" si="110"/>
        <v>-2.6497926885728837</v>
      </c>
      <c r="G431" s="14">
        <f t="shared" si="100"/>
        <v>-1.588867653417287</v>
      </c>
      <c r="H431" s="14">
        <f t="shared" si="101"/>
        <v>2.1205897463532533</v>
      </c>
      <c r="I431" s="14">
        <f t="shared" si="102"/>
        <v>5.5357710795157038</v>
      </c>
      <c r="J431" s="14">
        <f t="shared" si="111"/>
        <v>-7.4373431160120829</v>
      </c>
      <c r="K431" s="14">
        <f t="shared" si="103"/>
        <v>-53.338913536074998</v>
      </c>
      <c r="L431" s="14">
        <f t="shared" si="104"/>
        <v>9.2713987116343333</v>
      </c>
      <c r="M431" s="14">
        <f t="shared" si="113"/>
        <v>14.723478679415647</v>
      </c>
      <c r="N431" s="14">
        <f t="shared" si="105"/>
        <v>4.7016011129186994</v>
      </c>
      <c r="O431" s="14">
        <f t="shared" si="112"/>
        <v>4.7016011129186994</v>
      </c>
      <c r="P431" s="14">
        <f t="shared" si="106"/>
        <v>1</v>
      </c>
    </row>
    <row r="432" spans="1:16" x14ac:dyDescent="0.25">
      <c r="A432" s="14">
        <f t="shared" si="98"/>
        <v>2.0399999999999787</v>
      </c>
      <c r="B432" s="14">
        <f t="shared" si="107"/>
        <v>20.533563415445606</v>
      </c>
      <c r="C432" s="14">
        <f t="shared" si="108"/>
        <v>10.050419664221241</v>
      </c>
      <c r="D432" s="14">
        <f t="shared" si="109"/>
        <v>10.050419664221241</v>
      </c>
      <c r="E432" s="14">
        <f t="shared" si="99"/>
        <v>1</v>
      </c>
      <c r="F432" s="14">
        <f t="shared" si="110"/>
        <v>-2.6647238561729383</v>
      </c>
      <c r="G432" s="14">
        <f t="shared" si="100"/>
        <v>-1.5910545664902593</v>
      </c>
      <c r="H432" s="14">
        <f t="shared" si="101"/>
        <v>2.1375917748970843</v>
      </c>
      <c r="I432" s="14">
        <f t="shared" si="102"/>
        <v>5.5278158066832521</v>
      </c>
      <c r="J432" s="14">
        <f t="shared" si="111"/>
        <v>-7.4756551571375978</v>
      </c>
      <c r="K432" s="14">
        <f t="shared" si="103"/>
        <v>-53.519210938249898</v>
      </c>
      <c r="L432" s="14">
        <f t="shared" si="104"/>
        <v>9.2974280110714052</v>
      </c>
      <c r="M432" s="14">
        <f t="shared" si="113"/>
        <v>14.751117758449064</v>
      </c>
      <c r="N432" s="14">
        <f t="shared" si="105"/>
        <v>4.6642228371330114</v>
      </c>
      <c r="O432" s="14">
        <f t="shared" si="112"/>
        <v>4.6642228371330114</v>
      </c>
      <c r="P432" s="14">
        <f t="shared" si="106"/>
        <v>1</v>
      </c>
    </row>
    <row r="433" spans="1:16" x14ac:dyDescent="0.25">
      <c r="A433" s="14">
        <f t="shared" si="98"/>
        <v>2.0449999999999786</v>
      </c>
      <c r="B433" s="14">
        <f t="shared" si="107"/>
        <v>20.583890776757972</v>
      </c>
      <c r="C433" s="14">
        <f t="shared" si="108"/>
        <v>10.024950545751196</v>
      </c>
      <c r="D433" s="14">
        <f t="shared" si="109"/>
        <v>10.024950545751196</v>
      </c>
      <c r="E433" s="14">
        <f t="shared" si="99"/>
        <v>1</v>
      </c>
      <c r="F433" s="14">
        <f t="shared" si="110"/>
        <v>-2.679707196252711</v>
      </c>
      <c r="G433" s="14">
        <f t="shared" si="100"/>
        <v>-1.5932285551541046</v>
      </c>
      <c r="H433" s="14">
        <f t="shared" si="101"/>
        <v>2.1546353354315273</v>
      </c>
      <c r="I433" s="14">
        <f t="shared" si="102"/>
        <v>5.5198496639074817</v>
      </c>
      <c r="J433" s="14">
        <f t="shared" si="111"/>
        <v>-7.5138819804604404</v>
      </c>
      <c r="K433" s="14">
        <f t="shared" si="103"/>
        <v>-53.69824365662376</v>
      </c>
      <c r="L433" s="14">
        <f t="shared" si="104"/>
        <v>9.3234737479347061</v>
      </c>
      <c r="M433" s="14">
        <f t="shared" si="113"/>
        <v>14.778717006768602</v>
      </c>
      <c r="N433" s="14">
        <f t="shared" si="105"/>
        <v>4.6266534272307096</v>
      </c>
      <c r="O433" s="14">
        <f t="shared" si="112"/>
        <v>4.6266534272307096</v>
      </c>
      <c r="P433" s="14">
        <f t="shared" si="106"/>
        <v>1</v>
      </c>
    </row>
    <row r="434" spans="1:16" x14ac:dyDescent="0.25">
      <c r="A434" s="14">
        <f t="shared" si="98"/>
        <v>2.0499999999999785</v>
      </c>
      <c r="B434" s="14">
        <f t="shared" si="107"/>
        <v>20.634218138070338</v>
      </c>
      <c r="C434" s="14">
        <f t="shared" si="108"/>
        <v>9.9992364272811507</v>
      </c>
      <c r="D434" s="14">
        <f t="shared" si="109"/>
        <v>9.9992364272811507</v>
      </c>
      <c r="E434" s="14">
        <f t="shared" si="99"/>
        <v>1</v>
      </c>
      <c r="F434" s="14">
        <f t="shared" si="110"/>
        <v>-2.6947420445812567</v>
      </c>
      <c r="G434" s="14">
        <f t="shared" si="100"/>
        <v>-1.5953893764536158</v>
      </c>
      <c r="H434" s="14">
        <f t="shared" si="101"/>
        <v>2.1717199230869793</v>
      </c>
      <c r="I434" s="14">
        <f t="shared" si="102"/>
        <v>5.5118727170252138</v>
      </c>
      <c r="J434" s="14">
        <f t="shared" si="111"/>
        <v>-7.5520233808450055</v>
      </c>
      <c r="K434" s="14">
        <f t="shared" si="103"/>
        <v>-53.876022023198665</v>
      </c>
      <c r="L434" s="14">
        <f t="shared" si="104"/>
        <v>9.3495346404789874</v>
      </c>
      <c r="M434" s="14">
        <f t="shared" si="113"/>
        <v>14.806276370353729</v>
      </c>
      <c r="N434" s="14">
        <f t="shared" si="105"/>
        <v>4.5888933103264842</v>
      </c>
      <c r="O434" s="14">
        <f t="shared" si="112"/>
        <v>4.5888933103264842</v>
      </c>
      <c r="P434" s="14">
        <f t="shared" si="106"/>
        <v>1</v>
      </c>
    </row>
    <row r="435" spans="1:16" x14ac:dyDescent="0.25">
      <c r="A435" s="14">
        <f t="shared" si="98"/>
        <v>2.0549999999999784</v>
      </c>
      <c r="B435" s="14">
        <f t="shared" si="107"/>
        <v>20.684545499382704</v>
      </c>
      <c r="C435" s="14">
        <f t="shared" si="108"/>
        <v>9.9732773088111095</v>
      </c>
      <c r="D435" s="14">
        <f t="shared" si="109"/>
        <v>9.9732773088111095</v>
      </c>
      <c r="E435" s="14">
        <f t="shared" si="99"/>
        <v>1</v>
      </c>
      <c r="F435" s="14">
        <f t="shared" si="110"/>
        <v>-2.7098277377990132</v>
      </c>
      <c r="G435" s="14">
        <f t="shared" si="100"/>
        <v>-1.5975367919538868</v>
      </c>
      <c r="H435" s="14">
        <f t="shared" si="101"/>
        <v>2.1888450303524465</v>
      </c>
      <c r="I435" s="14">
        <f t="shared" si="102"/>
        <v>5.5038850330654441</v>
      </c>
      <c r="J435" s="14">
        <f t="shared" si="111"/>
        <v>-7.5900791556932434</v>
      </c>
      <c r="K435" s="14">
        <f t="shared" si="103"/>
        <v>-54.052556314235908</v>
      </c>
      <c r="L435" s="14">
        <f t="shared" si="104"/>
        <v>9.3756094226930582</v>
      </c>
      <c r="M435" s="14">
        <f t="shared" si="113"/>
        <v>14.833795795519055</v>
      </c>
      <c r="N435" s="14">
        <f t="shared" si="105"/>
        <v>4.5509429145480178</v>
      </c>
      <c r="O435" s="14">
        <f t="shared" si="112"/>
        <v>4.5509429145480178</v>
      </c>
      <c r="P435" s="14">
        <f t="shared" si="106"/>
        <v>1</v>
      </c>
    </row>
    <row r="436" spans="1:16" x14ac:dyDescent="0.25">
      <c r="A436" s="14">
        <f t="shared" si="98"/>
        <v>2.0599999999999783</v>
      </c>
      <c r="B436" s="14">
        <f t="shared" si="107"/>
        <v>20.73487286069507</v>
      </c>
      <c r="C436" s="14">
        <f t="shared" si="108"/>
        <v>9.9470731903410581</v>
      </c>
      <c r="D436" s="14">
        <f t="shared" si="109"/>
        <v>9.9470731903410581</v>
      </c>
      <c r="E436" s="14">
        <f t="shared" si="99"/>
        <v>1</v>
      </c>
      <c r="F436" s="14">
        <f t="shared" si="110"/>
        <v>-2.7249636134536166</v>
      </c>
      <c r="G436" s="14">
        <f t="shared" si="100"/>
        <v>-1.5996705677002576</v>
      </c>
      <c r="H436" s="14">
        <f t="shared" si="101"/>
        <v>2.206010147184216</v>
      </c>
      <c r="I436" s="14">
        <f t="shared" si="102"/>
        <v>5.4958866802269428</v>
      </c>
      <c r="J436" s="14">
        <f t="shared" si="111"/>
        <v>-7.6280491049573227</v>
      </c>
      <c r="K436" s="14">
        <f t="shared" si="103"/>
        <v>-54.227856749113414</v>
      </c>
      <c r="L436" s="14">
        <f t="shared" si="104"/>
        <v>9.4016968441625544</v>
      </c>
      <c r="M436" s="14">
        <f t="shared" si="113"/>
        <v>14.86127522892019</v>
      </c>
      <c r="N436" s="14">
        <f t="shared" si="105"/>
        <v>4.5128026690232312</v>
      </c>
      <c r="O436" s="14">
        <f t="shared" si="112"/>
        <v>4.5128026690232312</v>
      </c>
      <c r="P436" s="14">
        <f t="shared" si="106"/>
        <v>1</v>
      </c>
    </row>
    <row r="437" spans="1:16" x14ac:dyDescent="0.25">
      <c r="A437" s="14">
        <f t="shared" si="98"/>
        <v>2.0649999999999782</v>
      </c>
      <c r="B437" s="14">
        <f t="shared" si="107"/>
        <v>20.785200222007436</v>
      </c>
      <c r="C437" s="14">
        <f t="shared" si="108"/>
        <v>9.9206240718710177</v>
      </c>
      <c r="D437" s="14">
        <f t="shared" si="109"/>
        <v>9.9206240718710177</v>
      </c>
      <c r="E437" s="14">
        <f t="shared" si="99"/>
        <v>1</v>
      </c>
      <c r="F437" s="14">
        <f t="shared" si="110"/>
        <v>-2.7401490100356201</v>
      </c>
      <c r="G437" s="14">
        <f t="shared" si="100"/>
        <v>-1.6017904741783044</v>
      </c>
      <c r="H437" s="14">
        <f t="shared" si="101"/>
        <v>2.223214761113022</v>
      </c>
      <c r="I437" s="14">
        <f t="shared" si="102"/>
        <v>5.4878777278560511</v>
      </c>
      <c r="J437" s="14">
        <f t="shared" si="111"/>
        <v>-7.6659330311517575</v>
      </c>
      <c r="K437" s="14">
        <f t="shared" si="103"/>
        <v>-54.401933489248876</v>
      </c>
      <c r="L437" s="14">
        <f t="shared" si="104"/>
        <v>9.4277956699327152</v>
      </c>
      <c r="M437" s="14">
        <f t="shared" si="113"/>
        <v>14.88871461755947</v>
      </c>
      <c r="N437" s="14">
        <f t="shared" si="105"/>
        <v>4.4744730038674723</v>
      </c>
      <c r="O437" s="14">
        <f t="shared" si="112"/>
        <v>4.4744730038674723</v>
      </c>
      <c r="P437" s="14">
        <f t="shared" si="106"/>
        <v>1</v>
      </c>
    </row>
    <row r="438" spans="1:16" x14ac:dyDescent="0.25">
      <c r="A438" s="14">
        <f t="shared" si="98"/>
        <v>2.0699999999999781</v>
      </c>
      <c r="B438" s="14">
        <f t="shared" si="107"/>
        <v>20.835527583319806</v>
      </c>
      <c r="C438" s="14">
        <f t="shared" si="108"/>
        <v>9.8939299534009741</v>
      </c>
      <c r="D438" s="14">
        <f t="shared" si="109"/>
        <v>9.8939299534009741</v>
      </c>
      <c r="E438" s="14">
        <f t="shared" si="99"/>
        <v>1</v>
      </c>
      <c r="F438" s="14">
        <f t="shared" si="110"/>
        <v>-2.7553832670140634</v>
      </c>
      <c r="G438" s="14">
        <f t="shared" si="100"/>
        <v>-1.6038962862738453</v>
      </c>
      <c r="H438" s="14">
        <f t="shared" si="101"/>
        <v>2.2404583573496879</v>
      </c>
      <c r="I438" s="14">
        <f t="shared" si="102"/>
        <v>5.4798582464246817</v>
      </c>
      <c r="J438" s="14">
        <f t="shared" si="111"/>
        <v>-7.7037307393650094</v>
      </c>
      <c r="K438" s="14">
        <f t="shared" si="103"/>
        <v>-54.574796637086344</v>
      </c>
      <c r="L438" s="14">
        <f t="shared" si="104"/>
        <v>9.4539046803712772</v>
      </c>
      <c r="M438" s="14">
        <f t="shared" si="113"/>
        <v>14.916113908791594</v>
      </c>
      <c r="N438" s="14">
        <f t="shared" si="105"/>
        <v>4.4359543501706469</v>
      </c>
      <c r="O438" s="14">
        <f t="shared" si="112"/>
        <v>4.4359543501706469</v>
      </c>
      <c r="P438" s="14">
        <f t="shared" si="106"/>
        <v>1</v>
      </c>
    </row>
    <row r="439" spans="1:16" x14ac:dyDescent="0.25">
      <c r="A439" s="14">
        <f t="shared" si="98"/>
        <v>2.074999999999978</v>
      </c>
      <c r="B439" s="14">
        <f t="shared" si="107"/>
        <v>20.885854944632172</v>
      </c>
      <c r="C439" s="14">
        <f t="shared" si="108"/>
        <v>9.8669908349309274</v>
      </c>
      <c r="D439" s="14">
        <f t="shared" si="109"/>
        <v>9.8669908349309274</v>
      </c>
      <c r="E439" s="14">
        <f t="shared" si="99"/>
        <v>1</v>
      </c>
      <c r="F439" s="14">
        <f t="shared" si="110"/>
        <v>-2.770665724871924</v>
      </c>
      <c r="G439" s="14">
        <f t="shared" si="100"/>
        <v>-1.6059877832330083</v>
      </c>
      <c r="H439" s="14">
        <f t="shared" si="101"/>
        <v>2.2577404188892913</v>
      </c>
      <c r="I439" s="14">
        <f t="shared" si="102"/>
        <v>5.4718283075085168</v>
      </c>
      <c r="J439" s="14">
        <f t="shared" si="111"/>
        <v>-7.7414420372705628</v>
      </c>
      <c r="K439" s="14">
        <f t="shared" si="103"/>
        <v>-54.746456235144301</v>
      </c>
      <c r="L439" s="14">
        <f t="shared" si="104"/>
        <v>9.4800226710315059</v>
      </c>
      <c r="M439" s="14">
        <f t="shared" si="113"/>
        <v>14.943473050329137</v>
      </c>
      <c r="N439" s="14">
        <f t="shared" si="105"/>
        <v>4.3972471399842945</v>
      </c>
      <c r="O439" s="14">
        <f t="shared" si="112"/>
        <v>4.3972471399842945</v>
      </c>
      <c r="P439" s="14">
        <f t="shared" si="106"/>
        <v>1</v>
      </c>
    </row>
    <row r="440" spans="1:16" x14ac:dyDescent="0.25">
      <c r="A440" s="14">
        <f t="shared" si="98"/>
        <v>2.0799999999999779</v>
      </c>
      <c r="B440" s="14">
        <f t="shared" si="107"/>
        <v>20.936182305944538</v>
      </c>
      <c r="C440" s="14">
        <f t="shared" si="108"/>
        <v>9.8398067164608811</v>
      </c>
      <c r="D440" s="14">
        <f t="shared" si="109"/>
        <v>9.8398067164608811</v>
      </c>
      <c r="E440" s="14">
        <f t="shared" si="99"/>
        <v>1</v>
      </c>
      <c r="F440" s="14">
        <f t="shared" si="110"/>
        <v>-2.7859957251414111</v>
      </c>
      <c r="G440" s="14">
        <f t="shared" si="100"/>
        <v>-1.6080647486223534</v>
      </c>
      <c r="H440" s="14">
        <f t="shared" si="101"/>
        <v>2.2750604266138392</v>
      </c>
      <c r="I440" s="14">
        <f t="shared" si="102"/>
        <v>5.4637879837654051</v>
      </c>
      <c r="J440" s="14">
        <f t="shared" si="111"/>
        <v>-7.7790667351374934</v>
      </c>
      <c r="K440" s="14">
        <f t="shared" si="103"/>
        <v>-54.916922265123382</v>
      </c>
      <c r="L440" s="14">
        <f t="shared" si="104"/>
        <v>9.5061484525154523</v>
      </c>
      <c r="M440" s="14">
        <f t="shared" si="113"/>
        <v>14.970791990247964</v>
      </c>
      <c r="N440" s="14">
        <f t="shared" si="105"/>
        <v>4.3583518063086073</v>
      </c>
      <c r="O440" s="14">
        <f t="shared" si="112"/>
        <v>4.3583518063086073</v>
      </c>
      <c r="P440" s="14">
        <f t="shared" si="106"/>
        <v>1</v>
      </c>
    </row>
    <row r="441" spans="1:16" x14ac:dyDescent="0.25">
      <c r="A441" s="14">
        <f t="shared" si="98"/>
        <v>2.0849999999999778</v>
      </c>
      <c r="B441" s="14">
        <f t="shared" si="107"/>
        <v>20.986509667256904</v>
      </c>
      <c r="C441" s="14">
        <f t="shared" si="108"/>
        <v>9.8123775979908388</v>
      </c>
      <c r="D441" s="14">
        <f t="shared" si="109"/>
        <v>9.8123775979908388</v>
      </c>
      <c r="E441" s="14">
        <f t="shared" si="99"/>
        <v>1</v>
      </c>
      <c r="F441" s="14">
        <f t="shared" si="110"/>
        <v>-2.8013726104391194</v>
      </c>
      <c r="G441" s="14">
        <f t="shared" si="100"/>
        <v>-1.6101269702890646</v>
      </c>
      <c r="H441" s="14">
        <f t="shared" si="101"/>
        <v>2.2924178593934927</v>
      </c>
      <c r="I441" s="14">
        <f t="shared" si="102"/>
        <v>5.45573734891396</v>
      </c>
      <c r="J441" s="14">
        <f t="shared" si="111"/>
        <v>-7.8166046458405258</v>
      </c>
      <c r="K441" s="14">
        <f t="shared" si="103"/>
        <v>-55.086204647071455</v>
      </c>
      <c r="L441" s="14">
        <f t="shared" si="104"/>
        <v>9.5322808503374699</v>
      </c>
      <c r="M441" s="14">
        <f t="shared" si="113"/>
        <v>14.998070676992533</v>
      </c>
      <c r="N441" s="14">
        <f t="shared" si="105"/>
        <v>4.319268783079405</v>
      </c>
      <c r="O441" s="14">
        <f t="shared" si="112"/>
        <v>4.319268783079405</v>
      </c>
      <c r="P441" s="14">
        <f t="shared" si="106"/>
        <v>1</v>
      </c>
    </row>
    <row r="442" spans="1:16" x14ac:dyDescent="0.25">
      <c r="A442" s="14">
        <f t="shared" si="98"/>
        <v>2.0899999999999777</v>
      </c>
      <c r="B442" s="14">
        <f t="shared" si="107"/>
        <v>21.03683702856927</v>
      </c>
      <c r="C442" s="14">
        <f t="shared" si="108"/>
        <v>9.7847034795207932</v>
      </c>
      <c r="D442" s="14">
        <f t="shared" si="109"/>
        <v>9.7847034795207932</v>
      </c>
      <c r="E442" s="14">
        <f t="shared" si="99"/>
        <v>1</v>
      </c>
      <c r="F442" s="14">
        <f t="shared" si="110"/>
        <v>-2.8167957245010236</v>
      </c>
      <c r="G442" s="14">
        <f t="shared" si="100"/>
        <v>-1.6121742403212274</v>
      </c>
      <c r="H442" s="14">
        <f t="shared" si="101"/>
        <v>2.3098121941863408</v>
      </c>
      <c r="I442" s="14">
        <f t="shared" si="102"/>
        <v>5.4476764777123536</v>
      </c>
      <c r="J442" s="14">
        <f t="shared" si="111"/>
        <v>-7.8540555848695943</v>
      </c>
      <c r="K442" s="14">
        <f t="shared" si="103"/>
        <v>-55.254313238604524</v>
      </c>
      <c r="L442" s="14">
        <f t="shared" si="104"/>
        <v>9.5584187047880338</v>
      </c>
      <c r="M442" s="14">
        <f t="shared" si="113"/>
        <v>15.025309059381096</v>
      </c>
      <c r="N442" s="14">
        <f t="shared" si="105"/>
        <v>4.2799985051550573</v>
      </c>
      <c r="O442" s="14">
        <f t="shared" si="112"/>
        <v>4.2799985051550573</v>
      </c>
      <c r="P442" s="14">
        <f t="shared" si="106"/>
        <v>1</v>
      </c>
    </row>
    <row r="443" spans="1:16" x14ac:dyDescent="0.25">
      <c r="A443" s="14">
        <f t="shared" si="98"/>
        <v>2.0949999999999775</v>
      </c>
      <c r="B443" s="14">
        <f t="shared" si="107"/>
        <v>21.087164389881636</v>
      </c>
      <c r="C443" s="14">
        <f t="shared" si="108"/>
        <v>9.7567843610507481</v>
      </c>
      <c r="D443" s="14">
        <f t="shared" si="109"/>
        <v>9.7567843610507481</v>
      </c>
      <c r="E443" s="14">
        <f t="shared" si="99"/>
        <v>1</v>
      </c>
      <c r="F443" s="14">
        <f t="shared" si="110"/>
        <v>-2.8322644122172944</v>
      </c>
      <c r="G443" s="14">
        <f t="shared" si="100"/>
        <v>-1.6142063550081867</v>
      </c>
      <c r="H443" s="14">
        <f t="shared" si="101"/>
        <v>2.3272429061367359</v>
      </c>
      <c r="I443" s="14">
        <f t="shared" si="102"/>
        <v>5.4396054459373131</v>
      </c>
      <c r="J443" s="14">
        <f t="shared" si="111"/>
        <v>-7.8914193703389106</v>
      </c>
      <c r="K443" s="14">
        <f t="shared" si="103"/>
        <v>-55.421257834181297</v>
      </c>
      <c r="L443" s="14">
        <f t="shared" si="104"/>
        <v>9.5845608707979437</v>
      </c>
      <c r="M443" s="14">
        <f t="shared" si="113"/>
        <v>15.052507086610783</v>
      </c>
      <c r="N443" s="14">
        <f t="shared" si="105"/>
        <v>4.240541408303363</v>
      </c>
      <c r="O443" s="14">
        <f t="shared" si="112"/>
        <v>4.240541408303363</v>
      </c>
      <c r="P443" s="14">
        <f t="shared" si="106"/>
        <v>1</v>
      </c>
    </row>
    <row r="444" spans="1:16" x14ac:dyDescent="0.25">
      <c r="A444" s="14">
        <f t="shared" si="98"/>
        <v>2.0999999999999774</v>
      </c>
      <c r="B444" s="14">
        <f t="shared" si="107"/>
        <v>21.137491751194002</v>
      </c>
      <c r="C444" s="14">
        <f t="shared" si="108"/>
        <v>9.7286202425807069</v>
      </c>
      <c r="D444" s="14">
        <f t="shared" si="109"/>
        <v>9.7286202425807069</v>
      </c>
      <c r="E444" s="14">
        <f t="shared" si="99"/>
        <v>1</v>
      </c>
      <c r="F444" s="14">
        <f t="shared" si="110"/>
        <v>-2.8477780196669618</v>
      </c>
      <c r="G444" s="14">
        <f t="shared" si="100"/>
        <v>-1.6162231148010151</v>
      </c>
      <c r="H444" s="14">
        <f t="shared" si="101"/>
        <v>2.344709468672225</v>
      </c>
      <c r="I444" s="14">
        <f t="shared" si="102"/>
        <v>5.4315243303633078</v>
      </c>
      <c r="J444" s="14">
        <f t="shared" si="111"/>
        <v>-7.9286958229955493</v>
      </c>
      <c r="K444" s="14">
        <f t="shared" si="103"/>
        <v>-55.587048164429852</v>
      </c>
      <c r="L444" s="14">
        <f t="shared" si="104"/>
        <v>9.6107062178029175</v>
      </c>
      <c r="M444" s="14">
        <f t="shared" si="113"/>
        <v>15.0796647082626</v>
      </c>
      <c r="N444" s="14">
        <f t="shared" si="105"/>
        <v>4.2008979291883852</v>
      </c>
      <c r="O444" s="14">
        <f t="shared" si="112"/>
        <v>4.2008979291883852</v>
      </c>
      <c r="P444" s="14">
        <f t="shared" si="106"/>
        <v>1</v>
      </c>
    </row>
    <row r="445" spans="1:16" x14ac:dyDescent="0.25">
      <c r="A445" s="14">
        <f t="shared" si="98"/>
        <v>2.1049999999999773</v>
      </c>
      <c r="B445" s="14">
        <f t="shared" si="107"/>
        <v>21.187819112506368</v>
      </c>
      <c r="C445" s="14">
        <f t="shared" si="108"/>
        <v>9.700211124110659</v>
      </c>
      <c r="D445" s="14">
        <f t="shared" si="109"/>
        <v>9.700211124110659</v>
      </c>
      <c r="E445" s="14">
        <f t="shared" si="99"/>
        <v>1</v>
      </c>
      <c r="F445" s="14">
        <f t="shared" si="110"/>
        <v>-2.8633358941523857</v>
      </c>
      <c r="G445" s="14">
        <f t="shared" si="100"/>
        <v>-1.6182243242730852</v>
      </c>
      <c r="H445" s="14">
        <f t="shared" si="101"/>
        <v>2.3622113535990721</v>
      </c>
      <c r="I445" s="14">
        <f t="shared" si="102"/>
        <v>5.4234332087419421</v>
      </c>
      <c r="J445" s="14">
        <f t="shared" si="111"/>
        <v>-7.9658847662275543</v>
      </c>
      <c r="K445" s="14">
        <f t="shared" si="103"/>
        <v>-55.751693895524411</v>
      </c>
      <c r="L445" s="14">
        <f t="shared" si="104"/>
        <v>9.6368536296086358</v>
      </c>
      <c r="M445" s="14">
        <f t="shared" si="113"/>
        <v>15.106781874306309</v>
      </c>
      <c r="N445" s="14">
        <f t="shared" si="105"/>
        <v>4.1610685053572478</v>
      </c>
      <c r="O445" s="14">
        <f t="shared" si="112"/>
        <v>4.1610685053572478</v>
      </c>
      <c r="P445" s="14">
        <f t="shared" si="106"/>
        <v>1</v>
      </c>
    </row>
    <row r="446" spans="1:16" x14ac:dyDescent="0.25">
      <c r="A446" s="14">
        <f t="shared" si="98"/>
        <v>2.1099999999999772</v>
      </c>
      <c r="B446" s="14">
        <f t="shared" si="107"/>
        <v>21.238146473818734</v>
      </c>
      <c r="C446" s="14">
        <f t="shared" si="108"/>
        <v>9.6715570056406186</v>
      </c>
      <c r="D446" s="14">
        <f t="shared" si="109"/>
        <v>9.6715570056406186</v>
      </c>
      <c r="E446" s="14">
        <f t="shared" si="99"/>
        <v>1</v>
      </c>
      <c r="F446" s="14">
        <f t="shared" si="110"/>
        <v>-2.8789373842335348</v>
      </c>
      <c r="G446" s="14">
        <f t="shared" si="100"/>
        <v>-1.6202097920807483</v>
      </c>
      <c r="H446" s="14">
        <f t="shared" si="101"/>
        <v>2.3797480311963879</v>
      </c>
      <c r="I446" s="14">
        <f t="shared" si="102"/>
        <v>5.4153321597815385</v>
      </c>
      <c r="J446" s="14">
        <f t="shared" si="111"/>
        <v>-8.0029860260715715</v>
      </c>
      <c r="K446" s="14">
        <f t="shared" si="103"/>
        <v>-55.915204628610653</v>
      </c>
      <c r="L446" s="14">
        <f t="shared" si="104"/>
        <v>9.6630020042562883</v>
      </c>
      <c r="M446" s="14">
        <f t="shared" si="113"/>
        <v>15.133858535105217</v>
      </c>
      <c r="N446" s="14">
        <f t="shared" si="105"/>
        <v>4.12105357522689</v>
      </c>
      <c r="O446" s="14">
        <f t="shared" si="112"/>
        <v>4.12105357522689</v>
      </c>
      <c r="P446" s="14">
        <f t="shared" si="106"/>
        <v>1</v>
      </c>
    </row>
    <row r="447" spans="1:16" x14ac:dyDescent="0.25">
      <c r="A447" s="14">
        <f t="shared" si="98"/>
        <v>2.1149999999999771</v>
      </c>
      <c r="B447" s="14">
        <f t="shared" si="107"/>
        <v>21.2884738351311</v>
      </c>
      <c r="C447" s="14">
        <f t="shared" si="108"/>
        <v>9.6426578871705679</v>
      </c>
      <c r="D447" s="14">
        <f t="shared" si="109"/>
        <v>9.6426578871705679</v>
      </c>
      <c r="E447" s="14">
        <f t="shared" si="99"/>
        <v>1</v>
      </c>
      <c r="F447" s="14">
        <f t="shared" si="110"/>
        <v>-2.8945818397620924</v>
      </c>
      <c r="G447" s="14">
        <f t="shared" si="100"/>
        <v>-1.6221793309241588</v>
      </c>
      <c r="H447" s="14">
        <f t="shared" si="101"/>
        <v>2.3973189703089046</v>
      </c>
      <c r="I447" s="14">
        <f t="shared" si="102"/>
        <v>5.4072212631269174</v>
      </c>
      <c r="J447" s="14">
        <f t="shared" si="111"/>
        <v>-8.0399994312200267</v>
      </c>
      <c r="K447" s="14">
        <f t="shared" si="103"/>
        <v>-56.077589899277825</v>
      </c>
      <c r="L447" s="14">
        <f t="shared" si="104"/>
        <v>9.689150253888636</v>
      </c>
      <c r="M447" s="14">
        <f t="shared" si="113"/>
        <v>15.160894641420851</v>
      </c>
      <c r="N447" s="14">
        <f t="shared" si="105"/>
        <v>4.0808535780707897</v>
      </c>
      <c r="O447" s="14">
        <f t="shared" si="112"/>
        <v>4.0808535780707897</v>
      </c>
      <c r="P447" s="14">
        <f t="shared" si="106"/>
        <v>1</v>
      </c>
    </row>
    <row r="448" spans="1:16" x14ac:dyDescent="0.25">
      <c r="A448" s="14">
        <f t="shared" si="98"/>
        <v>2.119999999999977</v>
      </c>
      <c r="B448" s="14">
        <f t="shared" si="107"/>
        <v>21.338801196443466</v>
      </c>
      <c r="C448" s="14">
        <f t="shared" si="108"/>
        <v>9.6135137687005248</v>
      </c>
      <c r="D448" s="14">
        <f t="shared" si="109"/>
        <v>9.6135137687005248</v>
      </c>
      <c r="E448" s="14">
        <f t="shared" si="99"/>
        <v>1</v>
      </c>
      <c r="F448" s="14">
        <f t="shared" si="110"/>
        <v>-2.9102686119153369</v>
      </c>
      <c r="G448" s="14">
        <f t="shared" si="100"/>
        <v>-1.6241327575082041</v>
      </c>
      <c r="H448" s="14">
        <f t="shared" si="101"/>
        <v>2.414923638438371</v>
      </c>
      <c r="I448" s="14">
        <f t="shared" si="102"/>
        <v>5.3991005993393761</v>
      </c>
      <c r="J448" s="14">
        <f t="shared" si="111"/>
        <v>-8.0769248130278353</v>
      </c>
      <c r="K448" s="14">
        <f t="shared" si="103"/>
        <v>-56.238859177075959</v>
      </c>
      <c r="L448" s="14">
        <f t="shared" si="104"/>
        <v>9.7152973046166498</v>
      </c>
      <c r="M448" s="14">
        <f t="shared" si="113"/>
        <v>15.187890144417548</v>
      </c>
      <c r="N448" s="14">
        <f t="shared" si="105"/>
        <v>4.0404689540056502</v>
      </c>
      <c r="O448" s="14">
        <f t="shared" si="112"/>
        <v>4.0404689540056502</v>
      </c>
      <c r="P448" s="14">
        <f t="shared" si="106"/>
        <v>1</v>
      </c>
    </row>
    <row r="449" spans="1:16" x14ac:dyDescent="0.25">
      <c r="A449" s="14">
        <f t="shared" ref="A449:A512" si="114">A448+$A$22</f>
        <v>2.1249999999999769</v>
      </c>
      <c r="B449" s="14">
        <f t="shared" si="107"/>
        <v>21.389128557755832</v>
      </c>
      <c r="C449" s="14">
        <f t="shared" si="108"/>
        <v>9.584124650230482</v>
      </c>
      <c r="D449" s="14">
        <f t="shared" si="109"/>
        <v>9.584124650230482</v>
      </c>
      <c r="E449" s="14">
        <f t="shared" ref="E449:E512" si="115">IF(AND(C450-C449&lt;0,C449&lt;$B$18),0,1)</f>
        <v>1</v>
      </c>
      <c r="F449" s="14">
        <f t="shared" si="110"/>
        <v>-2.9259970532298376</v>
      </c>
      <c r="G449" s="14">
        <f t="shared" ref="G449:G512" si="116">$F449*COS(PI()/180*$K448)</f>
        <v>-1.626069892503595</v>
      </c>
      <c r="H449" s="14">
        <f t="shared" ref="H449:H512" si="117">$F449*SIN(PI()/180*$K448)</f>
        <v>2.4325615018336206</v>
      </c>
      <c r="I449" s="14">
        <f t="shared" ref="I449:I512" si="118">I448+G449*$A$22</f>
        <v>5.3909702498768581</v>
      </c>
      <c r="J449" s="14">
        <f t="shared" si="111"/>
        <v>-8.1137620055186677</v>
      </c>
      <c r="K449" s="14">
        <f t="shared" ref="K449:K512" si="119">180/PI()*ATAN(J449/I449)</f>
        <v>-56.399021865076712</v>
      </c>
      <c r="L449" s="14">
        <f t="shared" ref="L449:L512" si="120">SQRT(I449^2+J449^2)</f>
        <v>9.7414420963867379</v>
      </c>
      <c r="M449" s="14">
        <f t="shared" si="113"/>
        <v>15.214844995666931</v>
      </c>
      <c r="N449" s="14">
        <f t="shared" ref="N449:N512" si="121">N448+J449*$A$22</f>
        <v>3.9999001439780568</v>
      </c>
      <c r="O449" s="14">
        <f t="shared" si="112"/>
        <v>3.9999001439780568</v>
      </c>
      <c r="P449" s="14">
        <f t="shared" ref="P449:P512" si="122">IF(AND(N450-N449&lt;0,N449&lt;$B$18),0,1)</f>
        <v>1</v>
      </c>
    </row>
    <row r="450" spans="1:16" x14ac:dyDescent="0.25">
      <c r="A450" s="14">
        <f t="shared" si="114"/>
        <v>2.1299999999999768</v>
      </c>
      <c r="B450" s="14">
        <f t="shared" si="107"/>
        <v>21.439455919068198</v>
      </c>
      <c r="C450" s="14">
        <f t="shared" si="108"/>
        <v>9.5544905317604361</v>
      </c>
      <c r="D450" s="14">
        <f t="shared" si="109"/>
        <v>9.5544905317604361</v>
      </c>
      <c r="E450" s="14">
        <f t="shared" si="115"/>
        <v>1</v>
      </c>
      <c r="F450" s="14">
        <f t="shared" si="110"/>
        <v>-2.941766517634925</v>
      </c>
      <c r="G450" s="14">
        <f t="shared" si="116"/>
        <v>-1.6279905605080875</v>
      </c>
      <c r="H450" s="14">
        <f t="shared" si="117"/>
        <v>2.4502320255793077</v>
      </c>
      <c r="I450" s="14">
        <f t="shared" si="118"/>
        <v>5.3828302970743174</v>
      </c>
      <c r="J450" s="14">
        <f t="shared" si="111"/>
        <v>-8.1505108453907713</v>
      </c>
      <c r="K450" s="14">
        <f t="shared" si="119"/>
        <v>-56.558087299476149</v>
      </c>
      <c r="L450" s="14">
        <f t="shared" si="120"/>
        <v>9.7675835828486139</v>
      </c>
      <c r="M450" s="14">
        <f t="shared" si="113"/>
        <v>15.241759147152303</v>
      </c>
      <c r="N450" s="14">
        <f t="shared" si="121"/>
        <v>3.9591475897511028</v>
      </c>
      <c r="O450" s="14">
        <f t="shared" si="112"/>
        <v>3.9591475897511028</v>
      </c>
      <c r="P450" s="14">
        <f t="shared" si="122"/>
        <v>1</v>
      </c>
    </row>
    <row r="451" spans="1:16" x14ac:dyDescent="0.25">
      <c r="A451" s="14">
        <f t="shared" si="114"/>
        <v>2.1349999999999767</v>
      </c>
      <c r="B451" s="14">
        <f t="shared" si="107"/>
        <v>21.489783280380564</v>
      </c>
      <c r="C451" s="14">
        <f t="shared" si="108"/>
        <v>9.5246114132903941</v>
      </c>
      <c r="D451" s="14">
        <f t="shared" si="109"/>
        <v>9.5246114132903941</v>
      </c>
      <c r="E451" s="14">
        <f t="shared" si="115"/>
        <v>1</v>
      </c>
      <c r="F451" s="14">
        <f t="shared" si="110"/>
        <v>-2.9575763604859464</v>
      </c>
      <c r="G451" s="14">
        <f t="shared" si="116"/>
        <v>-1.6298945900078601</v>
      </c>
      <c r="H451" s="14">
        <f t="shared" si="117"/>
        <v>2.4679346736833221</v>
      </c>
      <c r="I451" s="14">
        <f t="shared" si="118"/>
        <v>5.3746808241242778</v>
      </c>
      <c r="J451" s="14">
        <f t="shared" si="111"/>
        <v>-8.1871711720223548</v>
      </c>
      <c r="K451" s="14">
        <f t="shared" si="119"/>
        <v>-56.716064749238022</v>
      </c>
      <c r="L451" s="14">
        <f t="shared" si="120"/>
        <v>9.7937207312238144</v>
      </c>
      <c r="M451" s="14">
        <f t="shared" si="113"/>
        <v>15.268632551272924</v>
      </c>
      <c r="N451" s="14">
        <f t="shared" si="121"/>
        <v>3.918211733890991</v>
      </c>
      <c r="O451" s="14">
        <f t="shared" si="112"/>
        <v>3.918211733890991</v>
      </c>
      <c r="P451" s="14">
        <f t="shared" si="122"/>
        <v>1</v>
      </c>
    </row>
    <row r="452" spans="1:16" x14ac:dyDescent="0.25">
      <c r="A452" s="14">
        <f t="shared" si="114"/>
        <v>2.1399999999999766</v>
      </c>
      <c r="B452" s="14">
        <f t="shared" si="107"/>
        <v>21.54011064169293</v>
      </c>
      <c r="C452" s="14">
        <f t="shared" si="108"/>
        <v>9.4944872948203489</v>
      </c>
      <c r="D452" s="14">
        <f t="shared" si="109"/>
        <v>9.4944872948203489</v>
      </c>
      <c r="E452" s="14">
        <f t="shared" si="115"/>
        <v>1</v>
      </c>
      <c r="F452" s="14">
        <f t="shared" si="110"/>
        <v>-2.973425938597297</v>
      </c>
      <c r="G452" s="14">
        <f t="shared" si="116"/>
        <v>-1.631781813339048</v>
      </c>
      <c r="H452" s="14">
        <f t="shared" si="117"/>
        <v>2.4856689091629125</v>
      </c>
      <c r="I452" s="14">
        <f t="shared" si="118"/>
        <v>5.3665219150575822</v>
      </c>
      <c r="J452" s="14">
        <f t="shared" si="111"/>
        <v>-8.2237428274765403</v>
      </c>
      <c r="K452" s="14">
        <f t="shared" si="119"/>
        <v>-56.872963415776034</v>
      </c>
      <c r="L452" s="14">
        <f t="shared" si="120"/>
        <v>9.8198525221749193</v>
      </c>
      <c r="M452" s="14">
        <f t="shared" si="113"/>
        <v>15.295465160848213</v>
      </c>
      <c r="N452" s="14">
        <f t="shared" si="121"/>
        <v>3.8770930197536084</v>
      </c>
      <c r="O452" s="14">
        <f t="shared" si="112"/>
        <v>3.8770930197536084</v>
      </c>
      <c r="P452" s="14">
        <f t="shared" si="122"/>
        <v>1</v>
      </c>
    </row>
    <row r="453" spans="1:16" x14ac:dyDescent="0.25">
      <c r="A453" s="14">
        <f t="shared" si="114"/>
        <v>2.1449999999999765</v>
      </c>
      <c r="B453" s="14">
        <f t="shared" si="107"/>
        <v>21.590438003005296</v>
      </c>
      <c r="C453" s="14">
        <f t="shared" si="108"/>
        <v>9.4641181763503042</v>
      </c>
      <c r="D453" s="14">
        <f t="shared" si="109"/>
        <v>9.4641181763503042</v>
      </c>
      <c r="E453" s="14">
        <f t="shared" si="115"/>
        <v>1</v>
      </c>
      <c r="F453" s="14">
        <f t="shared" si="110"/>
        <v>-2.9893146102752186</v>
      </c>
      <c r="G453" s="14">
        <f t="shared" si="116"/>
        <v>-1.6336520666494401</v>
      </c>
      <c r="H453" s="14">
        <f t="shared" si="117"/>
        <v>2.5034341941295151</v>
      </c>
      <c r="I453" s="14">
        <f t="shared" si="118"/>
        <v>5.3583536547243353</v>
      </c>
      <c r="J453" s="14">
        <f t="shared" si="111"/>
        <v>-8.2602256565058934</v>
      </c>
      <c r="K453" s="14">
        <f t="shared" si="119"/>
        <v>-57.028792432673697</v>
      </c>
      <c r="L453" s="14">
        <f t="shared" si="120"/>
        <v>9.8459779496754845</v>
      </c>
      <c r="M453" s="14">
        <f t="shared" si="113"/>
        <v>15.322256929121835</v>
      </c>
      <c r="N453" s="14">
        <f t="shared" si="121"/>
        <v>3.8357918914710791</v>
      </c>
      <c r="O453" s="14">
        <f t="shared" si="112"/>
        <v>3.8357918914710791</v>
      </c>
      <c r="P453" s="14">
        <f t="shared" si="122"/>
        <v>1</v>
      </c>
    </row>
    <row r="454" spans="1:16" x14ac:dyDescent="0.25">
      <c r="A454" s="14">
        <f t="shared" si="114"/>
        <v>2.1499999999999764</v>
      </c>
      <c r="B454" s="14">
        <f t="shared" si="107"/>
        <v>21.640765364317662</v>
      </c>
      <c r="C454" s="14">
        <f t="shared" si="108"/>
        <v>9.4335040578802634</v>
      </c>
      <c r="D454" s="14">
        <f t="shared" si="109"/>
        <v>9.4335040578802634</v>
      </c>
      <c r="E454" s="14">
        <f t="shared" si="115"/>
        <v>1</v>
      </c>
      <c r="F454" s="14">
        <f t="shared" si="110"/>
        <v>-3.0052417353503715</v>
      </c>
      <c r="G454" s="14">
        <f t="shared" si="116"/>
        <v>-1.6355051898603443</v>
      </c>
      <c r="H454" s="14">
        <f t="shared" si="117"/>
        <v>2.5212299898723227</v>
      </c>
      <c r="I454" s="14">
        <f t="shared" si="118"/>
        <v>5.3501761287750336</v>
      </c>
      <c r="J454" s="14">
        <f t="shared" si="111"/>
        <v>-8.2966195065565316</v>
      </c>
      <c r="K454" s="14">
        <f t="shared" si="119"/>
        <v>-57.183560865440299</v>
      </c>
      <c r="L454" s="14">
        <f t="shared" si="120"/>
        <v>9.8720960208807007</v>
      </c>
      <c r="M454" s="14">
        <f t="shared" si="113"/>
        <v>15.349007809765711</v>
      </c>
      <c r="N454" s="14">
        <f t="shared" si="121"/>
        <v>3.7943087939382965</v>
      </c>
      <c r="O454" s="14">
        <f t="shared" si="112"/>
        <v>3.7943087939382965</v>
      </c>
      <c r="P454" s="14">
        <f t="shared" si="122"/>
        <v>1</v>
      </c>
    </row>
    <row r="455" spans="1:16" x14ac:dyDescent="0.25">
      <c r="A455" s="14">
        <f t="shared" si="114"/>
        <v>2.1549999999999763</v>
      </c>
      <c r="B455" s="14">
        <f t="shared" si="107"/>
        <v>21.691092725630028</v>
      </c>
      <c r="C455" s="14">
        <f t="shared" si="108"/>
        <v>9.4026449394102158</v>
      </c>
      <c r="D455" s="14">
        <f t="shared" si="109"/>
        <v>9.4026449394102158</v>
      </c>
      <c r="E455" s="14">
        <f t="shared" si="115"/>
        <v>1</v>
      </c>
      <c r="F455" s="14">
        <f t="shared" si="110"/>
        <v>-3.0212066752101454</v>
      </c>
      <c r="G455" s="14">
        <f t="shared" si="116"/>
        <v>-1.6373410266286186</v>
      </c>
      <c r="H455" s="14">
        <f t="shared" si="117"/>
        <v>2.5390557569405763</v>
      </c>
      <c r="I455" s="14">
        <f t="shared" si="118"/>
        <v>5.3419894236418903</v>
      </c>
      <c r="J455" s="14">
        <f t="shared" si="111"/>
        <v>-8.3329242277718283</v>
      </c>
      <c r="K455" s="14">
        <f t="shared" si="119"/>
        <v>-57.337277711301738</v>
      </c>
      <c r="L455" s="14">
        <f t="shared" si="120"/>
        <v>9.8982057559988395</v>
      </c>
      <c r="M455" s="14">
        <f t="shared" si="113"/>
        <v>15.375717756883921</v>
      </c>
      <c r="N455" s="14">
        <f t="shared" si="121"/>
        <v>3.7526441727994375</v>
      </c>
      <c r="O455" s="14">
        <f t="shared" si="112"/>
        <v>3.7526441727994375</v>
      </c>
      <c r="P455" s="14">
        <f t="shared" si="122"/>
        <v>1</v>
      </c>
    </row>
    <row r="456" spans="1:16" x14ac:dyDescent="0.25">
      <c r="A456" s="14">
        <f t="shared" si="114"/>
        <v>2.1599999999999762</v>
      </c>
      <c r="B456" s="14">
        <f t="shared" si="107"/>
        <v>21.741420086942394</v>
      </c>
      <c r="C456" s="14">
        <f t="shared" si="108"/>
        <v>9.3715408209401687</v>
      </c>
      <c r="D456" s="14">
        <f t="shared" si="109"/>
        <v>9.3715408209401687</v>
      </c>
      <c r="E456" s="14">
        <f t="shared" si="115"/>
        <v>1</v>
      </c>
      <c r="F456" s="14">
        <f t="shared" si="110"/>
        <v>-3.0372087928307452</v>
      </c>
      <c r="G456" s="14">
        <f t="shared" si="116"/>
        <v>-1.6391594243088896</v>
      </c>
      <c r="H456" s="14">
        <f t="shared" si="117"/>
        <v>2.5569109552246325</v>
      </c>
      <c r="I456" s="14">
        <f t="shared" si="118"/>
        <v>5.3337936265203458</v>
      </c>
      <c r="J456" s="14">
        <f t="shared" si="111"/>
        <v>-8.3691396729957059</v>
      </c>
      <c r="K456" s="14">
        <f t="shared" si="119"/>
        <v>-57.489951899024746</v>
      </c>
      <c r="L456" s="14">
        <f t="shared" si="120"/>
        <v>9.9243061881634702</v>
      </c>
      <c r="M456" s="14">
        <f t="shared" si="113"/>
        <v>15.402386725016523</v>
      </c>
      <c r="N456" s="14">
        <f t="shared" si="121"/>
        <v>3.7107984744344589</v>
      </c>
      <c r="O456" s="14">
        <f t="shared" si="112"/>
        <v>3.7107984744344589</v>
      </c>
      <c r="P456" s="14">
        <f t="shared" si="122"/>
        <v>1</v>
      </c>
    </row>
    <row r="457" spans="1:16" x14ac:dyDescent="0.25">
      <c r="A457" s="14">
        <f t="shared" si="114"/>
        <v>2.1649999999999761</v>
      </c>
      <c r="B457" s="14">
        <f t="shared" si="107"/>
        <v>21.79174744825476</v>
      </c>
      <c r="C457" s="14">
        <f t="shared" si="108"/>
        <v>9.3401917024701291</v>
      </c>
      <c r="D457" s="14">
        <f t="shared" si="109"/>
        <v>9.3401917024701291</v>
      </c>
      <c r="E457" s="14">
        <f t="shared" si="115"/>
        <v>1</v>
      </c>
      <c r="F457" s="14">
        <f t="shared" si="110"/>
        <v>-3.0532474528090123</v>
      </c>
      <c r="G457" s="14">
        <f t="shared" si="116"/>
        <v>-1.6409602339159455</v>
      </c>
      <c r="H457" s="14">
        <f t="shared" si="117"/>
        <v>2.5747950440357865</v>
      </c>
      <c r="I457" s="14">
        <f t="shared" si="118"/>
        <v>5.3255888253507662</v>
      </c>
      <c r="J457" s="14">
        <f t="shared" si="111"/>
        <v>-8.4052656977755262</v>
      </c>
      <c r="K457" s="14">
        <f t="shared" si="119"/>
        <v>-57.641592288773396</v>
      </c>
      <c r="L457" s="14">
        <f t="shared" si="120"/>
        <v>9.9503963633064814</v>
      </c>
      <c r="M457" s="14">
        <f t="shared" si="113"/>
        <v>15.429014669143276</v>
      </c>
      <c r="N457" s="14">
        <f t="shared" si="121"/>
        <v>3.6687721459455811</v>
      </c>
      <c r="O457" s="14">
        <f t="shared" si="112"/>
        <v>3.6687721459455811</v>
      </c>
      <c r="P457" s="14">
        <f t="shared" si="122"/>
        <v>1</v>
      </c>
    </row>
    <row r="458" spans="1:16" x14ac:dyDescent="0.25">
      <c r="A458" s="14">
        <f t="shared" si="114"/>
        <v>2.1699999999999759</v>
      </c>
      <c r="B458" s="14">
        <f t="shared" si="107"/>
        <v>21.842074809567126</v>
      </c>
      <c r="C458" s="14">
        <f t="shared" si="108"/>
        <v>9.3085975840000827</v>
      </c>
      <c r="D458" s="14">
        <f t="shared" si="109"/>
        <v>9.3085975840000827</v>
      </c>
      <c r="E458" s="14">
        <f t="shared" si="115"/>
        <v>1</v>
      </c>
      <c r="F458" s="14">
        <f t="shared" si="110"/>
        <v>-3.0693220213939885</v>
      </c>
      <c r="G458" s="14">
        <f t="shared" si="116"/>
        <v>-1.6427433100873128</v>
      </c>
      <c r="H458" s="14">
        <f t="shared" si="117"/>
        <v>2.5927074821848799</v>
      </c>
      <c r="I458" s="14">
        <f t="shared" si="118"/>
        <v>5.3173751088003298</v>
      </c>
      <c r="J458" s="14">
        <f t="shared" si="111"/>
        <v>-8.4413021603646019</v>
      </c>
      <c r="K458" s="14">
        <f t="shared" si="119"/>
        <v>-57.792207671996479</v>
      </c>
      <c r="L458" s="14">
        <f t="shared" si="120"/>
        <v>9.976475340031941</v>
      </c>
      <c r="M458" s="14">
        <f t="shared" si="113"/>
        <v>15.455601544687278</v>
      </c>
      <c r="N458" s="14">
        <f t="shared" si="121"/>
        <v>3.6265656351437583</v>
      </c>
      <c r="O458" s="14">
        <f t="shared" si="112"/>
        <v>3.6265656351437583</v>
      </c>
      <c r="P458" s="14">
        <f t="shared" si="122"/>
        <v>1</v>
      </c>
    </row>
    <row r="459" spans="1:16" x14ac:dyDescent="0.25">
      <c r="A459" s="14">
        <f t="shared" si="114"/>
        <v>2.1749999999999758</v>
      </c>
      <c r="B459" s="14">
        <f t="shared" si="107"/>
        <v>21.892402170879492</v>
      </c>
      <c r="C459" s="14">
        <f t="shared" si="108"/>
        <v>9.2767584655300368</v>
      </c>
      <c r="D459" s="14">
        <f t="shared" si="109"/>
        <v>9.2767584655300368</v>
      </c>
      <c r="E459" s="14">
        <f t="shared" si="115"/>
        <v>1</v>
      </c>
      <c r="F459" s="14">
        <f t="shared" si="110"/>
        <v>-3.0854318665182285</v>
      </c>
      <c r="G459" s="14">
        <f t="shared" si="116"/>
        <v>-1.6445085110460309</v>
      </c>
      <c r="H459" s="14">
        <f t="shared" si="117"/>
        <v>2.61064772805971</v>
      </c>
      <c r="I459" s="14">
        <f t="shared" si="118"/>
        <v>5.3091525662450998</v>
      </c>
      <c r="J459" s="14">
        <f t="shared" si="111"/>
        <v>-8.4772489217243034</v>
      </c>
      <c r="K459" s="14">
        <f t="shared" si="119"/>
        <v>-57.941806771344652</v>
      </c>
      <c r="L459" s="14">
        <f t="shared" si="120"/>
        <v>10.00254218949077</v>
      </c>
      <c r="M459" s="14">
        <f t="shared" si="113"/>
        <v>15.482147307518504</v>
      </c>
      <c r="N459" s="14">
        <f t="shared" si="121"/>
        <v>3.5841793905351369</v>
      </c>
      <c r="O459" s="14">
        <f t="shared" si="112"/>
        <v>3.5841793905351369</v>
      </c>
      <c r="P459" s="14">
        <f t="shared" si="122"/>
        <v>1</v>
      </c>
    </row>
    <row r="460" spans="1:16" x14ac:dyDescent="0.25">
      <c r="A460" s="14">
        <f t="shared" si="114"/>
        <v>2.1799999999999757</v>
      </c>
      <c r="B460" s="14">
        <f t="shared" si="107"/>
        <v>21.942729532191859</v>
      </c>
      <c r="C460" s="14">
        <f t="shared" si="108"/>
        <v>9.2446743470599912</v>
      </c>
      <c r="D460" s="14">
        <f t="shared" si="109"/>
        <v>9.2446743470599912</v>
      </c>
      <c r="E460" s="14">
        <f t="shared" si="115"/>
        <v>1</v>
      </c>
      <c r="F460" s="14">
        <f t="shared" si="110"/>
        <v>-3.1015763578288267</v>
      </c>
      <c r="G460" s="14">
        <f t="shared" si="116"/>
        <v>-1.6462556985636037</v>
      </c>
      <c r="H460" s="14">
        <f t="shared" si="117"/>
        <v>2.628615239701237</v>
      </c>
      <c r="I460" s="14">
        <f t="shared" si="118"/>
        <v>5.3009212877522813</v>
      </c>
      <c r="J460" s="14">
        <f t="shared" si="111"/>
        <v>-8.5131058455257964</v>
      </c>
      <c r="K460" s="14">
        <f t="shared" si="119"/>
        <v>-58.090398240616054</v>
      </c>
      <c r="L460" s="14">
        <f t="shared" si="120"/>
        <v>10.028595995256305</v>
      </c>
      <c r="M460" s="14">
        <f t="shared" si="113"/>
        <v>15.508651913957266</v>
      </c>
      <c r="N460" s="14">
        <f t="shared" si="121"/>
        <v>3.5416138613075079</v>
      </c>
      <c r="O460" s="14">
        <f t="shared" si="112"/>
        <v>3.5416138613075079</v>
      </c>
      <c r="P460" s="14">
        <f t="shared" si="122"/>
        <v>1</v>
      </c>
    </row>
    <row r="461" spans="1:16" x14ac:dyDescent="0.25">
      <c r="A461" s="14">
        <f t="shared" si="114"/>
        <v>2.1849999999999756</v>
      </c>
      <c r="B461" s="14">
        <f t="shared" si="107"/>
        <v>21.993056893504225</v>
      </c>
      <c r="C461" s="14">
        <f t="shared" si="108"/>
        <v>9.2123452285899496</v>
      </c>
      <c r="D461" s="14">
        <f t="shared" si="109"/>
        <v>9.2123452285899496</v>
      </c>
      <c r="E461" s="14">
        <f t="shared" si="115"/>
        <v>1</v>
      </c>
      <c r="F461" s="14">
        <f t="shared" si="110"/>
        <v>-3.1177548667181947</v>
      </c>
      <c r="G461" s="14">
        <f t="shared" si="116"/>
        <v>-1.6479847379231642</v>
      </c>
      <c r="H461" s="14">
        <f t="shared" si="117"/>
        <v>2.6466094748786242</v>
      </c>
      <c r="I461" s="14">
        <f t="shared" si="118"/>
        <v>5.2926813640626653</v>
      </c>
      <c r="J461" s="14">
        <f t="shared" si="111"/>
        <v>-8.5488727981514039</v>
      </c>
      <c r="K461" s="14">
        <f t="shared" si="119"/>
        <v>-58.237990664729494</v>
      </c>
      <c r="L461" s="14">
        <f t="shared" si="120"/>
        <v>10.054635853200715</v>
      </c>
      <c r="M461" s="14">
        <f t="shared" si="113"/>
        <v>15.53511532077758</v>
      </c>
      <c r="N461" s="14">
        <f t="shared" si="121"/>
        <v>3.4988694973167509</v>
      </c>
      <c r="O461" s="14">
        <f t="shared" si="112"/>
        <v>3.4988694973167509</v>
      </c>
      <c r="P461" s="14">
        <f t="shared" si="122"/>
        <v>1</v>
      </c>
    </row>
    <row r="462" spans="1:16" x14ac:dyDescent="0.25">
      <c r="A462" s="14">
        <f t="shared" si="114"/>
        <v>2.1899999999999755</v>
      </c>
      <c r="B462" s="14">
        <f t="shared" si="107"/>
        <v>22.043384254816591</v>
      </c>
      <c r="C462" s="14">
        <f t="shared" si="108"/>
        <v>9.1797711101199049</v>
      </c>
      <c r="D462" s="14">
        <f t="shared" si="109"/>
        <v>9.1797711101199049</v>
      </c>
      <c r="E462" s="14">
        <f t="shared" si="115"/>
        <v>1</v>
      </c>
      <c r="F462" s="14">
        <f t="shared" si="110"/>
        <v>-3.1339667663545474</v>
      </c>
      <c r="G462" s="14">
        <f t="shared" si="116"/>
        <v>-1.6496954978828244</v>
      </c>
      <c r="H462" s="14">
        <f t="shared" si="117"/>
        <v>2.6646298911631083</v>
      </c>
      <c r="I462" s="14">
        <f t="shared" si="118"/>
        <v>5.2844328865732511</v>
      </c>
      <c r="J462" s="14">
        <f t="shared" si="111"/>
        <v>-8.5845496486955888</v>
      </c>
      <c r="K462" s="14">
        <f t="shared" si="119"/>
        <v>-58.384592559723714</v>
      </c>
      <c r="L462" s="14">
        <f t="shared" si="120"/>
        <v>10.080660871372297</v>
      </c>
      <c r="M462" s="14">
        <f t="shared" si="113"/>
        <v>15.561537485210446</v>
      </c>
      <c r="N462" s="14">
        <f t="shared" si="121"/>
        <v>3.4559467490732731</v>
      </c>
      <c r="O462" s="14">
        <f t="shared" si="112"/>
        <v>3.4559467490732731</v>
      </c>
      <c r="P462" s="14">
        <f t="shared" si="122"/>
        <v>1</v>
      </c>
    </row>
    <row r="463" spans="1:16" x14ac:dyDescent="0.25">
      <c r="A463" s="14">
        <f t="shared" si="114"/>
        <v>2.1949999999999754</v>
      </c>
      <c r="B463" s="14">
        <f t="shared" si="107"/>
        <v>22.093711616128957</v>
      </c>
      <c r="C463" s="14">
        <f t="shared" si="108"/>
        <v>9.146951991649857</v>
      </c>
      <c r="D463" s="14">
        <f t="shared" si="109"/>
        <v>9.146951991649857</v>
      </c>
      <c r="E463" s="14">
        <f t="shared" si="115"/>
        <v>1</v>
      </c>
      <c r="F463" s="14">
        <f t="shared" si="110"/>
        <v>-3.1502114317121106</v>
      </c>
      <c r="G463" s="14">
        <f t="shared" si="116"/>
        <v>-1.6513878506392299</v>
      </c>
      <c r="H463" s="14">
        <f t="shared" si="117"/>
        <v>2.6826759460007112</v>
      </c>
      <c r="I463" s="14">
        <f t="shared" si="118"/>
        <v>5.2761759473200547</v>
      </c>
      <c r="J463" s="14">
        <f t="shared" si="111"/>
        <v>-8.6201362689655845</v>
      </c>
      <c r="K463" s="14">
        <f t="shared" si="119"/>
        <v>-58.530212372781982</v>
      </c>
      <c r="L463" s="14">
        <f t="shared" si="120"/>
        <v>10.106670169873684</v>
      </c>
      <c r="M463" s="14">
        <f t="shared" si="113"/>
        <v>15.587918364947045</v>
      </c>
      <c r="N463" s="14">
        <f t="shared" si="121"/>
        <v>3.4128460677284451</v>
      </c>
      <c r="O463" s="14">
        <f t="shared" si="112"/>
        <v>3.4128460677284451</v>
      </c>
      <c r="P463" s="14">
        <f t="shared" si="122"/>
        <v>1</v>
      </c>
    </row>
    <row r="464" spans="1:16" x14ac:dyDescent="0.25">
      <c r="A464" s="14">
        <f t="shared" si="114"/>
        <v>2.1999999999999753</v>
      </c>
      <c r="B464" s="14">
        <f t="shared" si="107"/>
        <v>22.144038977441323</v>
      </c>
      <c r="C464" s="14">
        <f t="shared" si="108"/>
        <v>9.1138878731798165</v>
      </c>
      <c r="D464" s="14">
        <f t="shared" si="109"/>
        <v>9.1138878731798165</v>
      </c>
      <c r="E464" s="14">
        <f t="shared" si="115"/>
        <v>1</v>
      </c>
      <c r="F464" s="14">
        <f t="shared" si="110"/>
        <v>-3.1664882396010516</v>
      </c>
      <c r="G464" s="14">
        <f t="shared" si="116"/>
        <v>-1.6530616717913231</v>
      </c>
      <c r="H464" s="14">
        <f t="shared" si="117"/>
        <v>2.7007470967838221</v>
      </c>
      <c r="I464" s="14">
        <f t="shared" si="118"/>
        <v>5.2679106389610979</v>
      </c>
      <c r="J464" s="14">
        <f t="shared" si="111"/>
        <v>-8.6556325334816648</v>
      </c>
      <c r="K464" s="14">
        <f t="shared" si="119"/>
        <v>-58.674858482280904</v>
      </c>
      <c r="L464" s="14">
        <f t="shared" si="120"/>
        <v>10.132662880740963</v>
      </c>
      <c r="M464" s="14">
        <f t="shared" si="113"/>
        <v>15.614257918141851</v>
      </c>
      <c r="N464" s="14">
        <f t="shared" si="121"/>
        <v>3.3695679050610368</v>
      </c>
      <c r="O464" s="14">
        <f t="shared" si="112"/>
        <v>3.3695679050610368</v>
      </c>
      <c r="P464" s="14">
        <f t="shared" si="122"/>
        <v>1</v>
      </c>
    </row>
    <row r="465" spans="1:16" x14ac:dyDescent="0.25">
      <c r="A465" s="14">
        <f t="shared" si="114"/>
        <v>2.2049999999999752</v>
      </c>
      <c r="B465" s="14">
        <f t="shared" si="107"/>
        <v>22.194366338753689</v>
      </c>
      <c r="C465" s="14">
        <f t="shared" si="108"/>
        <v>9.0805787547097729</v>
      </c>
      <c r="D465" s="14">
        <f t="shared" si="109"/>
        <v>9.0805787547097729</v>
      </c>
      <c r="E465" s="14">
        <f t="shared" si="115"/>
        <v>1</v>
      </c>
      <c r="F465" s="14">
        <f t="shared" si="110"/>
        <v>-3.182796568697118</v>
      </c>
      <c r="G465" s="14">
        <f t="shared" si="116"/>
        <v>-1.6547168403043073</v>
      </c>
      <c r="H465" s="14">
        <f t="shared" si="117"/>
        <v>2.7188428009216494</v>
      </c>
      <c r="I465" s="14">
        <f t="shared" si="118"/>
        <v>5.2596370547595761</v>
      </c>
      <c r="J465" s="14">
        <f t="shared" si="111"/>
        <v>-8.6910383194770571</v>
      </c>
      <c r="K465" s="14">
        <f t="shared" si="119"/>
        <v>-58.81853919786225</v>
      </c>
      <c r="L465" s="14">
        <f t="shared" si="120"/>
        <v>10.158638147823682</v>
      </c>
      <c r="M465" s="14">
        <f t="shared" si="113"/>
        <v>15.64055610341565</v>
      </c>
      <c r="N465" s="14">
        <f t="shared" si="121"/>
        <v>3.3261127134636514</v>
      </c>
      <c r="O465" s="14">
        <f t="shared" si="112"/>
        <v>3.3261127134636514</v>
      </c>
      <c r="P465" s="14">
        <f t="shared" si="122"/>
        <v>1</v>
      </c>
    </row>
    <row r="466" spans="1:16" x14ac:dyDescent="0.25">
      <c r="A466" s="14">
        <f t="shared" si="114"/>
        <v>2.2099999999999751</v>
      </c>
      <c r="B466" s="14">
        <f t="shared" si="107"/>
        <v>22.244693700066055</v>
      </c>
      <c r="C466" s="14">
        <f t="shared" si="108"/>
        <v>9.0470246362397262</v>
      </c>
      <c r="D466" s="14">
        <f t="shared" si="109"/>
        <v>9.0470246362397262</v>
      </c>
      <c r="E466" s="14">
        <f t="shared" si="115"/>
        <v>1</v>
      </c>
      <c r="F466" s="14">
        <f t="shared" si="110"/>
        <v>-3.1991357995709753</v>
      </c>
      <c r="G466" s="14">
        <f t="shared" si="116"/>
        <v>-1.6563532384738162</v>
      </c>
      <c r="H466" s="14">
        <f t="shared" si="117"/>
        <v>2.7369625159095481</v>
      </c>
      <c r="I466" s="14">
        <f t="shared" si="118"/>
        <v>5.2513552885672068</v>
      </c>
      <c r="J466" s="14">
        <f t="shared" si="111"/>
        <v>-8.7263535068975102</v>
      </c>
      <c r="K466" s="14">
        <f t="shared" si="119"/>
        <v>-58.961262760527056</v>
      </c>
      <c r="L466" s="14">
        <f t="shared" si="120"/>
        <v>10.184595126665824</v>
      </c>
      <c r="M466" s="14">
        <f t="shared" si="113"/>
        <v>15.666812879858485</v>
      </c>
      <c r="N466" s="14">
        <f t="shared" si="121"/>
        <v>3.282480945929164</v>
      </c>
      <c r="O466" s="14">
        <f t="shared" si="112"/>
        <v>3.282480945929164</v>
      </c>
      <c r="P466" s="14">
        <f t="shared" si="122"/>
        <v>1</v>
      </c>
    </row>
    <row r="467" spans="1:16" x14ac:dyDescent="0.25">
      <c r="A467" s="14">
        <f t="shared" si="114"/>
        <v>2.214999999999975</v>
      </c>
      <c r="B467" s="14">
        <f t="shared" si="107"/>
        <v>22.295021061378421</v>
      </c>
      <c r="C467" s="14">
        <f t="shared" si="108"/>
        <v>9.0132255177696869</v>
      </c>
      <c r="D467" s="14">
        <f t="shared" si="109"/>
        <v>9.0132255177696869</v>
      </c>
      <c r="E467" s="14">
        <f t="shared" si="115"/>
        <v>1</v>
      </c>
      <c r="F467" s="14">
        <f t="shared" si="110"/>
        <v>-3.2155053147172628</v>
      </c>
      <c r="G467" s="14">
        <f t="shared" si="116"/>
        <v>-1.6579707518903035</v>
      </c>
      <c r="H467" s="14">
        <f t="shared" si="117"/>
        <v>2.75510569939726</v>
      </c>
      <c r="I467" s="14">
        <f t="shared" si="118"/>
        <v>5.2430654348077557</v>
      </c>
      <c r="J467" s="14">
        <f t="shared" si="111"/>
        <v>-8.7615779784005241</v>
      </c>
      <c r="K467" s="14">
        <f t="shared" si="119"/>
        <v>-59.103037342750874</v>
      </c>
      <c r="L467" s="14">
        <f t="shared" si="120"/>
        <v>10.210532984387683</v>
      </c>
      <c r="M467" s="14">
        <f t="shared" si="113"/>
        <v>15.693028207032524</v>
      </c>
      <c r="N467" s="14">
        <f t="shared" si="121"/>
        <v>3.2386730560371615</v>
      </c>
      <c r="O467" s="14">
        <f t="shared" si="112"/>
        <v>3.2386730560371615</v>
      </c>
      <c r="P467" s="14">
        <f t="shared" si="122"/>
        <v>1</v>
      </c>
    </row>
    <row r="468" spans="1:16" x14ac:dyDescent="0.25">
      <c r="A468" s="14">
        <f t="shared" si="114"/>
        <v>2.2199999999999749</v>
      </c>
      <c r="B468" s="14">
        <f t="shared" si="107"/>
        <v>22.345348422690787</v>
      </c>
      <c r="C468" s="14">
        <f t="shared" si="108"/>
        <v>8.9791813992996374</v>
      </c>
      <c r="D468" s="14">
        <f t="shared" si="109"/>
        <v>8.9791813992996374</v>
      </c>
      <c r="E468" s="14">
        <f t="shared" si="115"/>
        <v>1</v>
      </c>
      <c r="F468" s="14">
        <f t="shared" si="110"/>
        <v>-3.2319044985833343</v>
      </c>
      <c r="G468" s="14">
        <f t="shared" si="116"/>
        <v>-1.6595692694036339</v>
      </c>
      <c r="H468" s="14">
        <f t="shared" si="117"/>
        <v>2.7732718092560424</v>
      </c>
      <c r="I468" s="14">
        <f t="shared" si="118"/>
        <v>5.2347675884607376</v>
      </c>
      <c r="J468" s="14">
        <f t="shared" si="111"/>
        <v>-8.7967116193542445</v>
      </c>
      <c r="K468" s="14">
        <f t="shared" si="119"/>
        <v>-59.243871048619361</v>
      </c>
      <c r="L468" s="14">
        <f t="shared" si="120"/>
        <v>10.236450899568709</v>
      </c>
      <c r="M468" s="14">
        <f t="shared" si="113"/>
        <v>15.719202044974828</v>
      </c>
      <c r="N468" s="14">
        <f t="shared" si="121"/>
        <v>3.1946894979403901</v>
      </c>
      <c r="O468" s="14">
        <f t="shared" si="112"/>
        <v>3.1946894979403901</v>
      </c>
      <c r="P468" s="14">
        <f t="shared" si="122"/>
        <v>1</v>
      </c>
    </row>
    <row r="469" spans="1:16" x14ac:dyDescent="0.25">
      <c r="A469" s="14">
        <f t="shared" si="114"/>
        <v>2.2249999999999748</v>
      </c>
      <c r="B469" s="14">
        <f t="shared" si="107"/>
        <v>22.395675784003153</v>
      </c>
      <c r="C469" s="14">
        <f t="shared" si="108"/>
        <v>8.9448922808295954</v>
      </c>
      <c r="D469" s="14">
        <f t="shared" si="109"/>
        <v>8.9448922808295954</v>
      </c>
      <c r="E469" s="14">
        <f t="shared" si="115"/>
        <v>1</v>
      </c>
      <c r="F469" s="14">
        <f t="shared" si="110"/>
        <v>-3.2483327375977118</v>
      </c>
      <c r="G469" s="14">
        <f t="shared" si="116"/>
        <v>-1.6611486830878934</v>
      </c>
      <c r="H469" s="14">
        <f t="shared" si="117"/>
        <v>2.7914603036447434</v>
      </c>
      <c r="I469" s="14">
        <f t="shared" si="118"/>
        <v>5.2264618450452982</v>
      </c>
      <c r="J469" s="14">
        <f t="shared" si="111"/>
        <v>-8.8317543178360207</v>
      </c>
      <c r="K469" s="14">
        <f t="shared" si="119"/>
        <v>-59.383771913983232</v>
      </c>
      <c r="L469" s="14">
        <f t="shared" si="120"/>
        <v>10.262348062131274</v>
      </c>
      <c r="M469" s="14">
        <f t="shared" si="113"/>
        <v>15.745334354200056</v>
      </c>
      <c r="N469" s="14">
        <f t="shared" si="121"/>
        <v>3.1505307263512101</v>
      </c>
      <c r="O469" s="14">
        <f t="shared" si="112"/>
        <v>3.1505307263512101</v>
      </c>
      <c r="P469" s="14">
        <f t="shared" si="122"/>
        <v>1</v>
      </c>
    </row>
    <row r="470" spans="1:16" x14ac:dyDescent="0.25">
      <c r="A470" s="14">
        <f t="shared" si="114"/>
        <v>2.2299999999999747</v>
      </c>
      <c r="B470" s="14">
        <f t="shared" si="107"/>
        <v>22.446003145315519</v>
      </c>
      <c r="C470" s="14">
        <f t="shared" si="108"/>
        <v>8.9103581623595467</v>
      </c>
      <c r="D470" s="14">
        <f t="shared" si="109"/>
        <v>8.9103581623595467</v>
      </c>
      <c r="E470" s="14">
        <f t="shared" si="115"/>
        <v>1</v>
      </c>
      <c r="F470" s="14">
        <f t="shared" si="110"/>
        <v>-3.2647894201982148</v>
      </c>
      <c r="G470" s="14">
        <f t="shared" si="116"/>
        <v>-1.6627088882064136</v>
      </c>
      <c r="H470" s="14">
        <f t="shared" si="117"/>
        <v>2.809670641074784</v>
      </c>
      <c r="I470" s="14">
        <f t="shared" si="118"/>
        <v>5.2181483006042662</v>
      </c>
      <c r="J470" s="14">
        <f t="shared" si="111"/>
        <v>-8.866705964630647</v>
      </c>
      <c r="K470" s="14">
        <f t="shared" si="119"/>
        <v>-59.52274790663175</v>
      </c>
      <c r="L470" s="14">
        <f t="shared" si="120"/>
        <v>10.288223673225417</v>
      </c>
      <c r="M470" s="14">
        <f t="shared" si="113"/>
        <v>15.771425095703076</v>
      </c>
      <c r="N470" s="14">
        <f t="shared" si="121"/>
        <v>3.1061971965280568</v>
      </c>
      <c r="O470" s="14">
        <f t="shared" si="112"/>
        <v>3.1061971965280568</v>
      </c>
      <c r="P470" s="14">
        <f t="shared" si="122"/>
        <v>1</v>
      </c>
    </row>
    <row r="471" spans="1:16" x14ac:dyDescent="0.25">
      <c r="A471" s="14">
        <f t="shared" si="114"/>
        <v>2.2349999999999746</v>
      </c>
      <c r="B471" s="14">
        <f t="shared" si="107"/>
        <v>22.496330506627885</v>
      </c>
      <c r="C471" s="14">
        <f t="shared" si="108"/>
        <v>8.875579043889509</v>
      </c>
      <c r="D471" s="14">
        <f t="shared" si="109"/>
        <v>8.875579043889509</v>
      </c>
      <c r="E471" s="14">
        <f t="shared" si="115"/>
        <v>1</v>
      </c>
      <c r="F471" s="14">
        <f t="shared" si="110"/>
        <v>-3.2812739368597925</v>
      </c>
      <c r="G471" s="14">
        <f t="shared" si="116"/>
        <v>-1.6642497831770116</v>
      </c>
      <c r="H471" s="14">
        <f t="shared" si="117"/>
        <v>2.827902280474103</v>
      </c>
      <c r="I471" s="14">
        <f t="shared" si="118"/>
        <v>5.2098270516883813</v>
      </c>
      <c r="J471" s="14">
        <f t="shared" si="111"/>
        <v>-8.901566453228277</v>
      </c>
      <c r="K471" s="14">
        <f t="shared" si="119"/>
        <v>-59.660806926483886</v>
      </c>
      <c r="L471" s="14">
        <f t="shared" si="120"/>
        <v>10.314076945114531</v>
      </c>
      <c r="M471" s="14">
        <f t="shared" si="113"/>
        <v>15.797474230961518</v>
      </c>
      <c r="N471" s="14">
        <f t="shared" si="121"/>
        <v>3.0616893642619156</v>
      </c>
      <c r="O471" s="14">
        <f t="shared" si="112"/>
        <v>3.0616893642619156</v>
      </c>
      <c r="P471" s="14">
        <f t="shared" si="122"/>
        <v>1</v>
      </c>
    </row>
    <row r="472" spans="1:16" x14ac:dyDescent="0.25">
      <c r="A472" s="14">
        <f t="shared" si="114"/>
        <v>2.2399999999999745</v>
      </c>
      <c r="B472" s="14">
        <f t="shared" ref="B472:B535" si="123">IF(E472=0,B471,$B$19*A472)</f>
        <v>22.546657867940251</v>
      </c>
      <c r="C472" s="14">
        <f t="shared" si="108"/>
        <v>8.8405549254194646</v>
      </c>
      <c r="D472" s="14">
        <f t="shared" si="109"/>
        <v>8.8405549254194646</v>
      </c>
      <c r="E472" s="14">
        <f t="shared" si="115"/>
        <v>1</v>
      </c>
      <c r="F472" s="14">
        <f t="shared" si="110"/>
        <v>-3.2977856801220353</v>
      </c>
      <c r="G472" s="14">
        <f t="shared" si="116"/>
        <v>-1.6657712695374469</v>
      </c>
      <c r="H472" s="14">
        <f t="shared" si="117"/>
        <v>2.8461546812500469</v>
      </c>
      <c r="I472" s="14">
        <f t="shared" si="118"/>
        <v>5.2014981953406938</v>
      </c>
      <c r="J472" s="14">
        <f t="shared" si="111"/>
        <v>-8.9363356798220259</v>
      </c>
      <c r="K472" s="14">
        <f t="shared" si="119"/>
        <v>-59.797956805796368</v>
      </c>
      <c r="L472" s="14">
        <f t="shared" si="120"/>
        <v>10.339907101062016</v>
      </c>
      <c r="M472" s="14">
        <f t="shared" si="113"/>
        <v>15.82348172193822</v>
      </c>
      <c r="N472" s="14">
        <f t="shared" si="121"/>
        <v>3.0170076858628057</v>
      </c>
      <c r="O472" s="14">
        <f t="shared" si="112"/>
        <v>3.0170076858628057</v>
      </c>
      <c r="P472" s="14">
        <f t="shared" si="122"/>
        <v>1</v>
      </c>
    </row>
    <row r="473" spans="1:16" x14ac:dyDescent="0.25">
      <c r="A473" s="14">
        <f t="shared" si="114"/>
        <v>2.2449999999999743</v>
      </c>
      <c r="B473" s="14">
        <f t="shared" si="123"/>
        <v>22.596985229252617</v>
      </c>
      <c r="C473" s="14">
        <f t="shared" ref="C473:C536" si="124">$B$20*A473+0.5*$B$16*A473^2+$B$17</f>
        <v>8.8052858069494171</v>
      </c>
      <c r="D473" s="14">
        <f t="shared" ref="D473:D536" si="125">IF(E473=1,C473,$B$18)</f>
        <v>8.8052858069494171</v>
      </c>
      <c r="E473" s="14">
        <f t="shared" si="115"/>
        <v>1</v>
      </c>
      <c r="F473" s="14">
        <f t="shared" ref="F473:F536" si="126">-$E$13*L472^2</f>
        <v>-3.3143240446163738</v>
      </c>
      <c r="G473" s="14">
        <f t="shared" si="116"/>
        <v>-1.6672732519110998</v>
      </c>
      <c r="H473" s="14">
        <f t="shared" si="117"/>
        <v>2.8644273033512344</v>
      </c>
      <c r="I473" s="14">
        <f t="shared" si="118"/>
        <v>5.1931618290811379</v>
      </c>
      <c r="J473" s="14">
        <f t="shared" ref="J473:J536" si="127">J472+(H473+$B$16)*$A$22</f>
        <v>-8.9710135433052702</v>
      </c>
      <c r="K473" s="14">
        <f t="shared" si="119"/>
        <v>-59.934205309387899</v>
      </c>
      <c r="L473" s="14">
        <f t="shared" si="120"/>
        <v>10.365713375218897</v>
      </c>
      <c r="M473" s="14">
        <f t="shared" si="113"/>
        <v>15.849447531083626</v>
      </c>
      <c r="N473" s="14">
        <f t="shared" si="121"/>
        <v>2.9721526181462794</v>
      </c>
      <c r="O473" s="14">
        <f t="shared" ref="O473:O536" si="128">IF(P473=1,N473,$B$18)</f>
        <v>2.9721526181462794</v>
      </c>
      <c r="P473" s="14">
        <f t="shared" si="122"/>
        <v>1</v>
      </c>
    </row>
    <row r="474" spans="1:16" x14ac:dyDescent="0.25">
      <c r="A474" s="14">
        <f t="shared" si="114"/>
        <v>2.2499999999999742</v>
      </c>
      <c r="B474" s="14">
        <f t="shared" si="123"/>
        <v>22.647312590564987</v>
      </c>
      <c r="C474" s="14">
        <f t="shared" si="124"/>
        <v>8.7697716884793735</v>
      </c>
      <c r="D474" s="14">
        <f t="shared" si="125"/>
        <v>8.7697716884793735</v>
      </c>
      <c r="E474" s="14">
        <f t="shared" si="115"/>
        <v>1</v>
      </c>
      <c r="F474" s="14">
        <f t="shared" si="126"/>
        <v>-3.3308884270929502</v>
      </c>
      <c r="G474" s="14">
        <f t="shared" si="116"/>
        <v>-1.6687556379728601</v>
      </c>
      <c r="H474" s="14">
        <f t="shared" si="117"/>
        <v>2.8827196073283887</v>
      </c>
      <c r="I474" s="14">
        <f t="shared" si="118"/>
        <v>5.1848180508912733</v>
      </c>
      <c r="J474" s="14">
        <f t="shared" si="127"/>
        <v>-9.0055999452686279</v>
      </c>
      <c r="K474" s="14">
        <f t="shared" si="119"/>
        <v>-60.069560134878451</v>
      </c>
      <c r="L474" s="14">
        <f t="shared" si="120"/>
        <v>10.39149501251241</v>
      </c>
      <c r="M474" s="14">
        <f t="shared" ref="M474:M537" si="129">IF(P474=0,M473,M473+I474*$A$22)</f>
        <v>15.875371621338083</v>
      </c>
      <c r="N474" s="14">
        <f t="shared" si="121"/>
        <v>2.9271246184199362</v>
      </c>
      <c r="O474" s="14">
        <f t="shared" si="128"/>
        <v>2.9271246184199362</v>
      </c>
      <c r="P474" s="14">
        <f t="shared" si="122"/>
        <v>1</v>
      </c>
    </row>
    <row r="475" spans="1:16" x14ac:dyDescent="0.25">
      <c r="A475" s="14">
        <f t="shared" si="114"/>
        <v>2.2549999999999741</v>
      </c>
      <c r="B475" s="14">
        <f t="shared" si="123"/>
        <v>22.697639951877353</v>
      </c>
      <c r="C475" s="14">
        <f t="shared" si="124"/>
        <v>8.7340125700093303</v>
      </c>
      <c r="D475" s="14">
        <f t="shared" si="125"/>
        <v>8.7340125700093303</v>
      </c>
      <c r="E475" s="14">
        <f t="shared" si="115"/>
        <v>1</v>
      </c>
      <c r="F475" s="14">
        <f t="shared" si="126"/>
        <v>-3.3474782264471785</v>
      </c>
      <c r="G475" s="14">
        <f t="shared" si="116"/>
        <v>-1.6702183384152498</v>
      </c>
      <c r="H475" s="14">
        <f t="shared" si="117"/>
        <v>2.9010310543941698</v>
      </c>
      <c r="I475" s="14">
        <f t="shared" si="118"/>
        <v>5.176466959199197</v>
      </c>
      <c r="J475" s="14">
        <f t="shared" si="127"/>
        <v>-9.0400947899966564</v>
      </c>
      <c r="K475" s="14">
        <f t="shared" si="119"/>
        <v>-60.204028912943471</v>
      </c>
      <c r="L475" s="14">
        <f t="shared" si="120"/>
        <v>10.417251268535557</v>
      </c>
      <c r="M475" s="14">
        <f t="shared" si="129"/>
        <v>15.901253956134079</v>
      </c>
      <c r="N475" s="14">
        <f t="shared" si="121"/>
        <v>2.881924144469953</v>
      </c>
      <c r="O475" s="14">
        <f t="shared" si="128"/>
        <v>2.881924144469953</v>
      </c>
      <c r="P475" s="14">
        <f t="shared" si="122"/>
        <v>1</v>
      </c>
    </row>
    <row r="476" spans="1:16" x14ac:dyDescent="0.25">
      <c r="A476" s="14">
        <f t="shared" si="114"/>
        <v>2.259999999999974</v>
      </c>
      <c r="B476" s="14">
        <f t="shared" si="123"/>
        <v>22.747967313189719</v>
      </c>
      <c r="C476" s="14">
        <f t="shared" si="124"/>
        <v>8.6980084515392839</v>
      </c>
      <c r="D476" s="14">
        <f t="shared" si="125"/>
        <v>8.6980084515392839</v>
      </c>
      <c r="E476" s="14">
        <f t="shared" si="115"/>
        <v>1</v>
      </c>
      <c r="F476" s="14">
        <f t="shared" si="126"/>
        <v>-3.3640928437459756</v>
      </c>
      <c r="G476" s="14">
        <f t="shared" si="116"/>
        <v>-1.6716612669147572</v>
      </c>
      <c r="H476" s="14">
        <f t="shared" si="117"/>
        <v>2.9193611064820044</v>
      </c>
      <c r="I476" s="14">
        <f t="shared" si="118"/>
        <v>5.168108652864623</v>
      </c>
      <c r="J476" s="14">
        <f t="shared" si="127"/>
        <v>-9.0744979844642462</v>
      </c>
      <c r="K476" s="14">
        <f t="shared" si="119"/>
        <v>-60.337619207581767</v>
      </c>
      <c r="L476" s="14">
        <f t="shared" si="120"/>
        <v>10.442981409437625</v>
      </c>
      <c r="M476" s="14">
        <f t="shared" si="129"/>
        <v>15.927094499398402</v>
      </c>
      <c r="N476" s="14">
        <f t="shared" si="121"/>
        <v>2.8365516545476317</v>
      </c>
      <c r="O476" s="14">
        <f t="shared" si="128"/>
        <v>2.8365516545476317</v>
      </c>
      <c r="P476" s="14">
        <f t="shared" si="122"/>
        <v>1</v>
      </c>
    </row>
    <row r="477" spans="1:16" x14ac:dyDescent="0.25">
      <c r="A477" s="14">
        <f t="shared" si="114"/>
        <v>2.2649999999999739</v>
      </c>
      <c r="B477" s="14">
        <f t="shared" si="123"/>
        <v>22.798294674502085</v>
      </c>
      <c r="C477" s="14">
        <f t="shared" si="124"/>
        <v>8.661759333069238</v>
      </c>
      <c r="D477" s="14">
        <f t="shared" si="125"/>
        <v>8.661759333069238</v>
      </c>
      <c r="E477" s="14">
        <f t="shared" si="115"/>
        <v>1</v>
      </c>
      <c r="F477" s="14">
        <f t="shared" si="126"/>
        <v>-3.3807316822536553</v>
      </c>
      <c r="G477" s="14">
        <f t="shared" si="116"/>
        <v>-1.6730843400983888</v>
      </c>
      <c r="H477" s="14">
        <f t="shared" si="117"/>
        <v>2.9377092263039186</v>
      </c>
      <c r="I477" s="14">
        <f t="shared" si="118"/>
        <v>5.1597432311641311</v>
      </c>
      <c r="J477" s="14">
        <f t="shared" si="127"/>
        <v>-9.1088094383327274</v>
      </c>
      <c r="K477" s="14">
        <f t="shared" si="119"/>
        <v>-60.470338516396566</v>
      </c>
      <c r="L477" s="14">
        <f t="shared" si="120"/>
        <v>10.468684711815685</v>
      </c>
      <c r="M477" s="14">
        <f t="shared" si="129"/>
        <v>15.952893215554223</v>
      </c>
      <c r="N477" s="14">
        <f t="shared" si="121"/>
        <v>2.7910076073559682</v>
      </c>
      <c r="O477" s="14">
        <f t="shared" si="128"/>
        <v>2.7910076073559682</v>
      </c>
      <c r="P477" s="14">
        <f t="shared" si="122"/>
        <v>1</v>
      </c>
    </row>
    <row r="478" spans="1:16" x14ac:dyDescent="0.25">
      <c r="A478" s="14">
        <f t="shared" si="114"/>
        <v>2.2699999999999738</v>
      </c>
      <c r="B478" s="14">
        <f t="shared" si="123"/>
        <v>22.848622035814451</v>
      </c>
      <c r="C478" s="14">
        <f t="shared" si="124"/>
        <v>8.6252652145991995</v>
      </c>
      <c r="D478" s="14">
        <f t="shared" si="125"/>
        <v>8.6252652145991995</v>
      </c>
      <c r="E478" s="14">
        <f t="shared" si="115"/>
        <v>1</v>
      </c>
      <c r="F478" s="14">
        <f t="shared" si="126"/>
        <v>-3.3973941474575069</v>
      </c>
      <c r="G478" s="14">
        <f t="shared" si="116"/>
        <v>-1.6744874775104543</v>
      </c>
      <c r="H478" s="14">
        <f t="shared" si="117"/>
        <v>2.9560748774074037</v>
      </c>
      <c r="I478" s="14">
        <f t="shared" si="118"/>
        <v>5.1513707937765787</v>
      </c>
      <c r="J478" s="14">
        <f t="shared" si="127"/>
        <v>-9.1430290639456899</v>
      </c>
      <c r="K478" s="14">
        <f t="shared" si="119"/>
        <v>-60.6021942708892</v>
      </c>
      <c r="L478" s="14">
        <f t="shared" si="120"/>
        <v>10.494360462607045</v>
      </c>
      <c r="M478" s="14">
        <f t="shared" si="129"/>
        <v>15.978650069523106</v>
      </c>
      <c r="N478" s="14">
        <f t="shared" si="121"/>
        <v>2.7452924620362396</v>
      </c>
      <c r="O478" s="14">
        <f t="shared" si="128"/>
        <v>2.7452924620362396</v>
      </c>
      <c r="P478" s="14">
        <f t="shared" si="122"/>
        <v>1</v>
      </c>
    </row>
    <row r="479" spans="1:16" x14ac:dyDescent="0.25">
      <c r="A479" s="14">
        <f t="shared" si="114"/>
        <v>2.2749999999999737</v>
      </c>
      <c r="B479" s="14">
        <f t="shared" si="123"/>
        <v>22.898949397126817</v>
      </c>
      <c r="C479" s="14">
        <f t="shared" si="124"/>
        <v>8.5885260961291543</v>
      </c>
      <c r="D479" s="14">
        <f t="shared" si="125"/>
        <v>8.5885260961291543</v>
      </c>
      <c r="E479" s="14">
        <f t="shared" si="115"/>
        <v>1</v>
      </c>
      <c r="F479" s="14">
        <f t="shared" si="126"/>
        <v>-3.4140796470930281</v>
      </c>
      <c r="G479" s="14">
        <f t="shared" si="116"/>
        <v>-1.6758706015795652</v>
      </c>
      <c r="H479" s="14">
        <f t="shared" si="117"/>
        <v>2.9744575242313012</v>
      </c>
      <c r="I479" s="14">
        <f t="shared" si="118"/>
        <v>5.1429914407686805</v>
      </c>
      <c r="J479" s="14">
        <f t="shared" si="127"/>
        <v>-9.1771567763245336</v>
      </c>
      <c r="K479" s="14">
        <f t="shared" si="119"/>
        <v>-60.733193836764606</v>
      </c>
      <c r="L479" s="14">
        <f t="shared" si="120"/>
        <v>10.520007958982694</v>
      </c>
      <c r="M479" s="14">
        <f t="shared" si="129"/>
        <v>16.004365026726948</v>
      </c>
      <c r="N479" s="14">
        <f t="shared" si="121"/>
        <v>2.6994066781546171</v>
      </c>
      <c r="O479" s="14">
        <f t="shared" si="128"/>
        <v>2.6994066781546171</v>
      </c>
      <c r="P479" s="14">
        <f t="shared" si="122"/>
        <v>1</v>
      </c>
    </row>
    <row r="480" spans="1:16" x14ac:dyDescent="0.25">
      <c r="A480" s="14">
        <f t="shared" si="114"/>
        <v>2.2799999999999736</v>
      </c>
      <c r="B480" s="14">
        <f t="shared" si="123"/>
        <v>22.949276758439183</v>
      </c>
      <c r="C480" s="14">
        <f t="shared" si="124"/>
        <v>8.551541977659106</v>
      </c>
      <c r="D480" s="14">
        <f t="shared" si="125"/>
        <v>8.551541977659106</v>
      </c>
      <c r="E480" s="14">
        <f t="shared" si="115"/>
        <v>1</v>
      </c>
      <c r="F480" s="14">
        <f t="shared" si="126"/>
        <v>-3.4307875911688357</v>
      </c>
      <c r="G480" s="14">
        <f t="shared" si="116"/>
        <v>-1.6772336375858583</v>
      </c>
      <c r="H480" s="14">
        <f t="shared" si="117"/>
        <v>2.9928566321607475</v>
      </c>
      <c r="I480" s="14">
        <f t="shared" si="118"/>
        <v>5.1346052725807514</v>
      </c>
      <c r="J480" s="14">
        <f t="shared" si="127"/>
        <v>-9.2111924931637308</v>
      </c>
      <c r="K480" s="14">
        <f t="shared" si="119"/>
        <v>-60.863344514248119</v>
      </c>
      <c r="L480" s="14">
        <f t="shared" si="120"/>
        <v>10.545626508241694</v>
      </c>
      <c r="M480" s="14">
        <f t="shared" si="129"/>
        <v>16.03003805308985</v>
      </c>
      <c r="N480" s="14">
        <f t="shared" si="121"/>
        <v>2.6533507156887985</v>
      </c>
      <c r="O480" s="14">
        <f t="shared" si="128"/>
        <v>2.6533507156887985</v>
      </c>
      <c r="P480" s="14">
        <f t="shared" si="122"/>
        <v>1</v>
      </c>
    </row>
    <row r="481" spans="1:16" x14ac:dyDescent="0.25">
      <c r="A481" s="14">
        <f t="shared" si="114"/>
        <v>2.2849999999999735</v>
      </c>
      <c r="B481" s="14">
        <f t="shared" si="123"/>
        <v>22.999604119751549</v>
      </c>
      <c r="C481" s="14">
        <f t="shared" si="124"/>
        <v>8.5143128591890687</v>
      </c>
      <c r="D481" s="14">
        <f t="shared" si="125"/>
        <v>8.5143128591890687</v>
      </c>
      <c r="E481" s="14">
        <f t="shared" si="115"/>
        <v>1</v>
      </c>
      <c r="F481" s="14">
        <f t="shared" si="126"/>
        <v>-3.4475173919912274</v>
      </c>
      <c r="G481" s="14">
        <f t="shared" si="116"/>
        <v>-1.6785765136284398</v>
      </c>
      <c r="H481" s="14">
        <f t="shared" si="117"/>
        <v>3.0112716675811546</v>
      </c>
      <c r="I481" s="14">
        <f t="shared" si="118"/>
        <v>5.1262123900126095</v>
      </c>
      <c r="J481" s="14">
        <f t="shared" si="127"/>
        <v>-9.2451361348258256</v>
      </c>
      <c r="K481" s="14">
        <f t="shared" si="119"/>
        <v>-60.99265353841286</v>
      </c>
      <c r="L481" s="14">
        <f t="shared" si="120"/>
        <v>10.571215427706552</v>
      </c>
      <c r="M481" s="14">
        <f t="shared" si="129"/>
        <v>16.055669115039912</v>
      </c>
      <c r="N481" s="14">
        <f t="shared" si="121"/>
        <v>2.6071250350146693</v>
      </c>
      <c r="O481" s="14">
        <f t="shared" si="128"/>
        <v>2.6071250350146693</v>
      </c>
      <c r="P481" s="14">
        <f t="shared" si="122"/>
        <v>1</v>
      </c>
    </row>
    <row r="482" spans="1:16" x14ac:dyDescent="0.25">
      <c r="A482" s="14">
        <f t="shared" si="114"/>
        <v>2.2899999999999734</v>
      </c>
      <c r="B482" s="14">
        <f t="shared" si="123"/>
        <v>23.049931481063915</v>
      </c>
      <c r="C482" s="14">
        <f t="shared" si="124"/>
        <v>8.4768387407190211</v>
      </c>
      <c r="D482" s="14">
        <f t="shared" si="125"/>
        <v>8.4768387407190211</v>
      </c>
      <c r="E482" s="14">
        <f t="shared" si="115"/>
        <v>1</v>
      </c>
      <c r="F482" s="14">
        <f t="shared" si="126"/>
        <v>-3.4642684641884114</v>
      </c>
      <c r="G482" s="14">
        <f t="shared" si="116"/>
        <v>-1.6798991605930551</v>
      </c>
      <c r="H482" s="14">
        <f t="shared" si="117"/>
        <v>3.0297020979312608</v>
      </c>
      <c r="I482" s="14">
        <f t="shared" si="118"/>
        <v>5.1178128942096439</v>
      </c>
      <c r="J482" s="14">
        <f t="shared" si="127"/>
        <v>-9.2789876243361693</v>
      </c>
      <c r="K482" s="14">
        <f t="shared" si="119"/>
        <v>-61.121128079517234</v>
      </c>
      <c r="L482" s="14">
        <f t="shared" si="120"/>
        <v>10.596774044619536</v>
      </c>
      <c r="M482" s="14">
        <f t="shared" si="129"/>
        <v>16.081258179510961</v>
      </c>
      <c r="N482" s="14">
        <f t="shared" si="121"/>
        <v>2.5607300968929883</v>
      </c>
      <c r="O482" s="14">
        <f t="shared" si="128"/>
        <v>2.5607300968929883</v>
      </c>
      <c r="P482" s="14">
        <f t="shared" si="122"/>
        <v>1</v>
      </c>
    </row>
    <row r="483" spans="1:16" x14ac:dyDescent="0.25">
      <c r="A483" s="14">
        <f t="shared" si="114"/>
        <v>2.2949999999999733</v>
      </c>
      <c r="B483" s="14">
        <f t="shared" si="123"/>
        <v>23.100258842376281</v>
      </c>
      <c r="C483" s="14">
        <f t="shared" si="124"/>
        <v>8.4391196222489739</v>
      </c>
      <c r="D483" s="14">
        <f t="shared" si="125"/>
        <v>8.4391196222489739</v>
      </c>
      <c r="E483" s="14">
        <f t="shared" si="115"/>
        <v>1</v>
      </c>
      <c r="F483" s="14">
        <f t="shared" si="126"/>
        <v>-3.4810402247343908</v>
      </c>
      <c r="G483" s="14">
        <f t="shared" si="116"/>
        <v>-1.6812015121199786</v>
      </c>
      <c r="H483" s="14">
        <f t="shared" si="117"/>
        <v>3.0481473917552537</v>
      </c>
      <c r="I483" s="14">
        <f t="shared" si="118"/>
        <v>5.1094068866490439</v>
      </c>
      <c r="J483" s="14">
        <f t="shared" si="127"/>
        <v>-9.3127468873773935</v>
      </c>
      <c r="K483" s="14">
        <f t="shared" si="119"/>
        <v>-61.248775243352</v>
      </c>
      <c r="L483" s="14">
        <f t="shared" si="120"/>
        <v>10.622301696039989</v>
      </c>
      <c r="M483" s="14">
        <f t="shared" si="129"/>
        <v>16.106805213944206</v>
      </c>
      <c r="N483" s="14">
        <f t="shared" si="121"/>
        <v>2.5141663624561015</v>
      </c>
      <c r="O483" s="14">
        <f t="shared" si="128"/>
        <v>2.5141663624561015</v>
      </c>
      <c r="P483" s="14">
        <f t="shared" si="122"/>
        <v>1</v>
      </c>
    </row>
    <row r="484" spans="1:16" x14ac:dyDescent="0.25">
      <c r="A484" s="14">
        <f t="shared" si="114"/>
        <v>2.2999999999999732</v>
      </c>
      <c r="B484" s="14">
        <f t="shared" si="123"/>
        <v>23.150586203688647</v>
      </c>
      <c r="C484" s="14">
        <f t="shared" si="124"/>
        <v>8.4011555037789307</v>
      </c>
      <c r="D484" s="14">
        <f t="shared" si="125"/>
        <v>8.4011555037789307</v>
      </c>
      <c r="E484" s="14">
        <f t="shared" si="115"/>
        <v>1</v>
      </c>
      <c r="F484" s="14">
        <f t="shared" si="126"/>
        <v>-3.4978320929725144</v>
      </c>
      <c r="G484" s="14">
        <f t="shared" si="116"/>
        <v>-1.6824835045721263</v>
      </c>
      <c r="H484" s="14">
        <f t="shared" si="117"/>
        <v>3.0666070187539809</v>
      </c>
      <c r="I484" s="14">
        <f t="shared" si="118"/>
        <v>5.1009944691261833</v>
      </c>
      <c r="J484" s="14">
        <f t="shared" si="127"/>
        <v>-9.3464138522836233</v>
      </c>
      <c r="K484" s="14">
        <f t="shared" si="119"/>
        <v>-61.375602071596134</v>
      </c>
      <c r="L484" s="14">
        <f t="shared" si="120"/>
        <v>10.647797728742555</v>
      </c>
      <c r="M484" s="14">
        <f t="shared" si="129"/>
        <v>16.132310186289835</v>
      </c>
      <c r="N484" s="14">
        <f t="shared" si="121"/>
        <v>2.4674342931946835</v>
      </c>
      <c r="O484" s="14">
        <f t="shared" si="128"/>
        <v>2.4674342931946835</v>
      </c>
      <c r="P484" s="14">
        <f t="shared" si="122"/>
        <v>1</v>
      </c>
    </row>
    <row r="485" spans="1:16" x14ac:dyDescent="0.25">
      <c r="A485" s="14">
        <f t="shared" si="114"/>
        <v>2.3049999999999731</v>
      </c>
      <c r="B485" s="14">
        <f t="shared" si="123"/>
        <v>23.200913565001013</v>
      </c>
      <c r="C485" s="14">
        <f t="shared" si="124"/>
        <v>8.3629463853088879</v>
      </c>
      <c r="D485" s="14">
        <f t="shared" si="125"/>
        <v>8.3629463853088879</v>
      </c>
      <c r="E485" s="14">
        <f t="shared" si="115"/>
        <v>1</v>
      </c>
      <c r="F485" s="14">
        <f t="shared" si="126"/>
        <v>-3.5146434906386683</v>
      </c>
      <c r="G485" s="14">
        <f t="shared" si="116"/>
        <v>-1.6837450770033935</v>
      </c>
      <c r="H485" s="14">
        <f t="shared" si="117"/>
        <v>3.0850804498352389</v>
      </c>
      <c r="I485" s="14">
        <f t="shared" si="118"/>
        <v>5.0925757437411665</v>
      </c>
      <c r="J485" s="14">
        <f t="shared" si="127"/>
        <v>-9.3799884500344479</v>
      </c>
      <c r="K485" s="14">
        <f t="shared" si="119"/>
        <v>-61.50161554218144</v>
      </c>
      <c r="L485" s="14">
        <f t="shared" si="120"/>
        <v>10.673261499116403</v>
      </c>
      <c r="M485" s="14">
        <f t="shared" si="129"/>
        <v>16.157773065008541</v>
      </c>
      <c r="N485" s="14">
        <f t="shared" si="121"/>
        <v>2.4205343509445112</v>
      </c>
      <c r="O485" s="14">
        <f t="shared" si="128"/>
        <v>2.4205343509445112</v>
      </c>
      <c r="P485" s="14">
        <f t="shared" si="122"/>
        <v>1</v>
      </c>
    </row>
    <row r="486" spans="1:16" x14ac:dyDescent="0.25">
      <c r="A486" s="14">
        <f t="shared" si="114"/>
        <v>2.309999999999973</v>
      </c>
      <c r="B486" s="14">
        <f t="shared" si="123"/>
        <v>23.251240926313379</v>
      </c>
      <c r="C486" s="14">
        <f t="shared" si="124"/>
        <v>8.3244922668388455</v>
      </c>
      <c r="D486" s="14">
        <f t="shared" si="125"/>
        <v>8.3244922668388455</v>
      </c>
      <c r="E486" s="14">
        <f t="shared" si="115"/>
        <v>1</v>
      </c>
      <c r="F486" s="14">
        <f t="shared" si="126"/>
        <v>-3.5314738418841367</v>
      </c>
      <c r="G486" s="14">
        <f t="shared" si="116"/>
        <v>-1.6849861711272074</v>
      </c>
      <c r="H486" s="14">
        <f t="shared" si="117"/>
        <v>3.103567157163186</v>
      </c>
      <c r="I486" s="14">
        <f t="shared" si="118"/>
        <v>5.0841508128855306</v>
      </c>
      <c r="J486" s="14">
        <f t="shared" si="127"/>
        <v>-9.4134706142486326</v>
      </c>
      <c r="K486" s="14">
        <f t="shared" si="119"/>
        <v>-61.626822569664796</v>
      </c>
      <c r="L486" s="14">
        <f t="shared" si="120"/>
        <v>10.69869237306537</v>
      </c>
      <c r="M486" s="14">
        <f t="shared" si="129"/>
        <v>16.183193819072969</v>
      </c>
      <c r="N486" s="14">
        <f t="shared" si="121"/>
        <v>2.3734669978732681</v>
      </c>
      <c r="O486" s="14">
        <f t="shared" si="128"/>
        <v>2.3734669978732681</v>
      </c>
      <c r="P486" s="14">
        <f t="shared" si="122"/>
        <v>1</v>
      </c>
    </row>
    <row r="487" spans="1:16" x14ac:dyDescent="0.25">
      <c r="A487" s="14">
        <f t="shared" si="114"/>
        <v>2.3149999999999729</v>
      </c>
      <c r="B487" s="14">
        <f t="shared" si="123"/>
        <v>23.301568287625745</v>
      </c>
      <c r="C487" s="14">
        <f t="shared" si="124"/>
        <v>8.2857931483687963</v>
      </c>
      <c r="D487" s="14">
        <f t="shared" si="125"/>
        <v>8.2857931483687963</v>
      </c>
      <c r="E487" s="14">
        <f t="shared" si="115"/>
        <v>1</v>
      </c>
      <c r="F487" s="14">
        <f t="shared" si="126"/>
        <v>-3.5483225732981007</v>
      </c>
      <c r="G487" s="14">
        <f t="shared" si="116"/>
        <v>-1.6862067312853086</v>
      </c>
      <c r="H487" s="14">
        <f t="shared" si="117"/>
        <v>3.1220666142068416</v>
      </c>
      <c r="I487" s="14">
        <f t="shared" si="118"/>
        <v>5.0757197792291038</v>
      </c>
      <c r="J487" s="14">
        <f t="shared" si="127"/>
        <v>-9.4468602811775977</v>
      </c>
      <c r="K487" s="14">
        <f t="shared" si="119"/>
        <v>-61.751230005608072</v>
      </c>
      <c r="L487" s="14">
        <f t="shared" si="120"/>
        <v>10.724089725909067</v>
      </c>
      <c r="M487" s="14">
        <f t="shared" si="129"/>
        <v>16.208572417969116</v>
      </c>
      <c r="N487" s="14">
        <f t="shared" si="121"/>
        <v>2.3262326964673803</v>
      </c>
      <c r="O487" s="14">
        <f t="shared" si="128"/>
        <v>2.3262326964673803</v>
      </c>
      <c r="P487" s="14">
        <f t="shared" si="122"/>
        <v>1</v>
      </c>
    </row>
    <row r="488" spans="1:16" x14ac:dyDescent="0.25">
      <c r="A488" s="14">
        <f t="shared" si="114"/>
        <v>2.3199999999999728</v>
      </c>
      <c r="B488" s="14">
        <f t="shared" si="123"/>
        <v>23.351895648938111</v>
      </c>
      <c r="C488" s="14">
        <f t="shared" si="124"/>
        <v>8.2468490298987582</v>
      </c>
      <c r="D488" s="14">
        <f t="shared" si="125"/>
        <v>8.2468490298987582</v>
      </c>
      <c r="E488" s="14">
        <f t="shared" si="115"/>
        <v>1</v>
      </c>
      <c r="F488" s="14">
        <f t="shared" si="126"/>
        <v>-3.5651891139298009</v>
      </c>
      <c r="G488" s="14">
        <f t="shared" si="116"/>
        <v>-1.6874067044167524</v>
      </c>
      <c r="H488" s="14">
        <f t="shared" si="117"/>
        <v>3.1405782957877286</v>
      </c>
      <c r="I488" s="14">
        <f t="shared" si="118"/>
        <v>5.0672827457070202</v>
      </c>
      <c r="J488" s="14">
        <f t="shared" si="127"/>
        <v>-9.4801573896986593</v>
      </c>
      <c r="K488" s="14">
        <f t="shared" si="119"/>
        <v>-61.874844638964937</v>
      </c>
      <c r="L488" s="14">
        <f t="shared" si="120"/>
        <v>10.749452942284933</v>
      </c>
      <c r="M488" s="14">
        <f t="shared" si="129"/>
        <v>16.233908831697651</v>
      </c>
      <c r="N488" s="14">
        <f t="shared" si="121"/>
        <v>2.2788319095188871</v>
      </c>
      <c r="O488" s="14">
        <f t="shared" si="128"/>
        <v>2.2788319095188871</v>
      </c>
      <c r="P488" s="14">
        <f t="shared" si="122"/>
        <v>1</v>
      </c>
    </row>
    <row r="489" spans="1:16" x14ac:dyDescent="0.25">
      <c r="A489" s="14">
        <f t="shared" si="114"/>
        <v>2.3249999999999726</v>
      </c>
      <c r="B489" s="14">
        <f t="shared" si="123"/>
        <v>23.402223010250477</v>
      </c>
      <c r="C489" s="14">
        <f t="shared" si="124"/>
        <v>8.2076599114287134</v>
      </c>
      <c r="D489" s="14">
        <f t="shared" si="125"/>
        <v>8.2076599114287134</v>
      </c>
      <c r="E489" s="14">
        <f t="shared" si="115"/>
        <v>1</v>
      </c>
      <c r="F489" s="14">
        <f t="shared" si="126"/>
        <v>-3.5820728953103438</v>
      </c>
      <c r="G489" s="14">
        <f t="shared" si="116"/>
        <v>-1.6885860400271304</v>
      </c>
      <c r="H489" s="14">
        <f t="shared" si="117"/>
        <v>3.1591016781266354</v>
      </c>
      <c r="I489" s="14">
        <f t="shared" si="118"/>
        <v>5.0588398155068841</v>
      </c>
      <c r="J489" s="14">
        <f t="shared" si="127"/>
        <v>-9.5133618813080254</v>
      </c>
      <c r="K489" s="14">
        <f t="shared" si="119"/>
        <v>-61.997673196474295</v>
      </c>
      <c r="L489" s="14">
        <f t="shared" si="120"/>
        <v>10.7747814160512</v>
      </c>
      <c r="M489" s="14">
        <f t="shared" si="129"/>
        <v>16.259203030775186</v>
      </c>
      <c r="N489" s="14">
        <f t="shared" si="121"/>
        <v>2.2312651001123469</v>
      </c>
      <c r="O489" s="14">
        <f t="shared" si="128"/>
        <v>2.2312651001123469</v>
      </c>
      <c r="P489" s="14">
        <f t="shared" si="122"/>
        <v>1</v>
      </c>
    </row>
    <row r="490" spans="1:16" x14ac:dyDescent="0.25">
      <c r="A490" s="14">
        <f t="shared" si="114"/>
        <v>2.3299999999999725</v>
      </c>
      <c r="B490" s="14">
        <f t="shared" si="123"/>
        <v>23.452550371562843</v>
      </c>
      <c r="C490" s="14">
        <f t="shared" si="124"/>
        <v>8.168225792958669</v>
      </c>
      <c r="D490" s="14">
        <f t="shared" si="125"/>
        <v>8.168225792958669</v>
      </c>
      <c r="E490" s="14">
        <f t="shared" si="115"/>
        <v>1</v>
      </c>
      <c r="F490" s="14">
        <f t="shared" si="126"/>
        <v>-3.5989733514741511</v>
      </c>
      <c r="G490" s="14">
        <f t="shared" si="116"/>
        <v>-1.6897446901580069</v>
      </c>
      <c r="H490" s="14">
        <f t="shared" si="117"/>
        <v>3.1776362388895154</v>
      </c>
      <c r="I490" s="14">
        <f t="shared" si="118"/>
        <v>5.0503910920560937</v>
      </c>
      <c r="J490" s="14">
        <f t="shared" si="127"/>
        <v>-9.5464737001135784</v>
      </c>
      <c r="K490" s="14">
        <f t="shared" si="119"/>
        <v>-62.119722343059713</v>
      </c>
      <c r="L490" s="14">
        <f t="shared" si="120"/>
        <v>10.800074550190836</v>
      </c>
      <c r="M490" s="14">
        <f t="shared" si="129"/>
        <v>16.284454986235467</v>
      </c>
      <c r="N490" s="14">
        <f t="shared" si="121"/>
        <v>2.1835327316117792</v>
      </c>
      <c r="O490" s="14">
        <f t="shared" si="128"/>
        <v>2.1835327316117792</v>
      </c>
      <c r="P490" s="14">
        <f t="shared" si="122"/>
        <v>1</v>
      </c>
    </row>
    <row r="491" spans="1:16" x14ac:dyDescent="0.25">
      <c r="A491" s="14">
        <f t="shared" si="114"/>
        <v>2.3349999999999724</v>
      </c>
      <c r="B491" s="14">
        <f t="shared" si="123"/>
        <v>23.502877732875209</v>
      </c>
      <c r="C491" s="14">
        <f t="shared" si="124"/>
        <v>8.1285466744886179</v>
      </c>
      <c r="D491" s="14">
        <f t="shared" si="125"/>
        <v>8.1285466744886179</v>
      </c>
      <c r="E491" s="14">
        <f t="shared" si="115"/>
        <v>1</v>
      </c>
      <c r="F491" s="14">
        <f t="shared" si="126"/>
        <v>-3.6158899189800731</v>
      </c>
      <c r="G491" s="14">
        <f t="shared" si="116"/>
        <v>-1.6908826093565912</v>
      </c>
      <c r="H491" s="14">
        <f t="shared" si="117"/>
        <v>3.1961814572325467</v>
      </c>
      <c r="I491" s="14">
        <f t="shared" si="118"/>
        <v>5.0419366790093108</v>
      </c>
      <c r="J491" s="14">
        <f t="shared" si="127"/>
        <v>-9.5794927928274163</v>
      </c>
      <c r="K491" s="14">
        <f t="shared" si="119"/>
        <v>-62.240998682234689</v>
      </c>
      <c r="L491" s="14">
        <f t="shared" si="120"/>
        <v>10.825331756716366</v>
      </c>
      <c r="M491" s="14">
        <f t="shared" si="129"/>
        <v>16.309664669630514</v>
      </c>
      <c r="N491" s="14">
        <f t="shared" si="121"/>
        <v>2.135635267647642</v>
      </c>
      <c r="O491" s="14">
        <f t="shared" si="128"/>
        <v>2.135635267647642</v>
      </c>
      <c r="P491" s="14">
        <f t="shared" si="122"/>
        <v>1</v>
      </c>
    </row>
    <row r="492" spans="1:16" x14ac:dyDescent="0.25">
      <c r="A492" s="14">
        <f t="shared" si="114"/>
        <v>2.3399999999999723</v>
      </c>
      <c r="B492" s="14">
        <f t="shared" si="123"/>
        <v>23.553205094187575</v>
      </c>
      <c r="C492" s="14">
        <f t="shared" si="124"/>
        <v>8.0886225560185814</v>
      </c>
      <c r="D492" s="14">
        <f t="shared" si="125"/>
        <v>8.0886225560185814</v>
      </c>
      <c r="E492" s="14">
        <f t="shared" si="115"/>
        <v>1</v>
      </c>
      <c r="F492" s="14">
        <f t="shared" si="126"/>
        <v>-3.6328220369321271</v>
      </c>
      <c r="G492" s="14">
        <f t="shared" si="116"/>
        <v>-1.6919997546456087</v>
      </c>
      <c r="H492" s="14">
        <f t="shared" si="117"/>
        <v>3.2147368138463359</v>
      </c>
      <c r="I492" s="14">
        <f t="shared" si="118"/>
        <v>5.0334766802360829</v>
      </c>
      <c r="J492" s="14">
        <f t="shared" si="127"/>
        <v>-9.6124191087581838</v>
      </c>
      <c r="K492" s="14">
        <f t="shared" si="119"/>
        <v>-62.361508756513047</v>
      </c>
      <c r="L492" s="14">
        <f t="shared" si="120"/>
        <v>10.850552456575652</v>
      </c>
      <c r="M492" s="14">
        <f t="shared" si="129"/>
        <v>16.334832053031693</v>
      </c>
      <c r="N492" s="14">
        <f t="shared" si="121"/>
        <v>2.0875731721038511</v>
      </c>
      <c r="O492" s="14">
        <f t="shared" si="128"/>
        <v>2.0875731721038511</v>
      </c>
      <c r="P492" s="14">
        <f t="shared" si="122"/>
        <v>1</v>
      </c>
    </row>
    <row r="493" spans="1:16" x14ac:dyDescent="0.25">
      <c r="A493" s="14">
        <f t="shared" si="114"/>
        <v>2.3449999999999722</v>
      </c>
      <c r="B493" s="14">
        <f t="shared" si="123"/>
        <v>23.603532455499941</v>
      </c>
      <c r="C493" s="14">
        <f t="shared" si="124"/>
        <v>8.0484534375485346</v>
      </c>
      <c r="D493" s="14">
        <f t="shared" si="125"/>
        <v>8.0484534375485346</v>
      </c>
      <c r="E493" s="14">
        <f t="shared" si="115"/>
        <v>1</v>
      </c>
      <c r="F493" s="14">
        <f t="shared" si="126"/>
        <v>-3.6497691469998976</v>
      </c>
      <c r="G493" s="14">
        <f t="shared" si="116"/>
        <v>-1.6930960854934087</v>
      </c>
      <c r="H493" s="14">
        <f t="shared" si="117"/>
        <v>3.2333017909992963</v>
      </c>
      <c r="I493" s="14">
        <f t="shared" si="118"/>
        <v>5.025011199808616</v>
      </c>
      <c r="J493" s="14">
        <f t="shared" si="127"/>
        <v>-9.6452525998031877</v>
      </c>
      <c r="K493" s="14">
        <f t="shared" si="119"/>
        <v>-62.481259047824373</v>
      </c>
      <c r="L493" s="14">
        <f t="shared" si="120"/>
        <v>10.875736079558578</v>
      </c>
      <c r="M493" s="14">
        <f t="shared" si="129"/>
        <v>16.359957109030738</v>
      </c>
      <c r="N493" s="14">
        <f t="shared" si="121"/>
        <v>2.0393469091048351</v>
      </c>
      <c r="O493" s="14">
        <f t="shared" si="128"/>
        <v>2.0393469091048351</v>
      </c>
      <c r="P493" s="14">
        <f t="shared" si="122"/>
        <v>1</v>
      </c>
    </row>
    <row r="494" spans="1:16" x14ac:dyDescent="0.25">
      <c r="A494" s="14">
        <f t="shared" si="114"/>
        <v>2.3499999999999721</v>
      </c>
      <c r="B494" s="14">
        <f t="shared" si="123"/>
        <v>23.653859816812307</v>
      </c>
      <c r="C494" s="14">
        <f t="shared" si="124"/>
        <v>8.0080393190784918</v>
      </c>
      <c r="D494" s="14">
        <f t="shared" si="125"/>
        <v>8.0080393190784918</v>
      </c>
      <c r="E494" s="14">
        <f t="shared" si="115"/>
        <v>1</v>
      </c>
      <c r="F494" s="14">
        <f t="shared" si="126"/>
        <v>-3.6667306934385779</v>
      </c>
      <c r="G494" s="14">
        <f t="shared" si="116"/>
        <v>-1.6941715637842796</v>
      </c>
      <c r="H494" s="14">
        <f t="shared" si="117"/>
        <v>3.2518758725802068</v>
      </c>
      <c r="I494" s="14">
        <f t="shared" si="118"/>
        <v>5.0165403419896943</v>
      </c>
      <c r="J494" s="14">
        <f t="shared" si="127"/>
        <v>-9.6779932204402872</v>
      </c>
      <c r="K494" s="14">
        <f t="shared" si="119"/>
        <v>-62.600255977933827</v>
      </c>
      <c r="L494" s="14">
        <f t="shared" si="120"/>
        <v>10.900882064204632</v>
      </c>
      <c r="M494" s="14">
        <f t="shared" si="129"/>
        <v>16.385039810740686</v>
      </c>
      <c r="N494" s="14">
        <f t="shared" si="121"/>
        <v>1.9909569430026337</v>
      </c>
      <c r="O494" s="14">
        <f t="shared" si="128"/>
        <v>1.9909569430026337</v>
      </c>
      <c r="P494" s="14">
        <f t="shared" si="122"/>
        <v>1</v>
      </c>
    </row>
    <row r="495" spans="1:16" x14ac:dyDescent="0.25">
      <c r="A495" s="14">
        <f t="shared" si="114"/>
        <v>2.354999999999972</v>
      </c>
      <c r="B495" s="14">
        <f t="shared" si="123"/>
        <v>23.704187178124673</v>
      </c>
      <c r="C495" s="14">
        <f t="shared" si="124"/>
        <v>7.9673802006084529</v>
      </c>
      <c r="D495" s="14">
        <f t="shared" si="125"/>
        <v>7.9673802006084529</v>
      </c>
      <c r="E495" s="14">
        <f t="shared" si="115"/>
        <v>1</v>
      </c>
      <c r="F495" s="14">
        <f t="shared" si="126"/>
        <v>-3.6837061231086454</v>
      </c>
      <c r="G495" s="14">
        <f t="shared" si="116"/>
        <v>-1.6952261537889874</v>
      </c>
      <c r="H495" s="14">
        <f t="shared" si="117"/>
        <v>3.2704585441399381</v>
      </c>
      <c r="I495" s="14">
        <f t="shared" si="118"/>
        <v>5.0080642112207494</v>
      </c>
      <c r="J495" s="14">
        <f t="shared" si="127"/>
        <v>-9.710640927719588</v>
      </c>
      <c r="K495" s="14">
        <f t="shared" si="119"/>
        <v>-62.718505908866284</v>
      </c>
      <c r="L495" s="14">
        <f t="shared" si="120"/>
        <v>10.925989857711421</v>
      </c>
      <c r="M495" s="14">
        <f t="shared" si="129"/>
        <v>16.410080131796789</v>
      </c>
      <c r="N495" s="14">
        <f t="shared" si="121"/>
        <v>1.9424037383640358</v>
      </c>
      <c r="O495" s="14">
        <f t="shared" si="128"/>
        <v>1.9424037383640358</v>
      </c>
      <c r="P495" s="14">
        <f t="shared" si="122"/>
        <v>1</v>
      </c>
    </row>
    <row r="496" spans="1:16" x14ac:dyDescent="0.25">
      <c r="A496" s="14">
        <f t="shared" si="114"/>
        <v>2.3599999999999719</v>
      </c>
      <c r="B496" s="14">
        <f t="shared" si="123"/>
        <v>23.754514539437039</v>
      </c>
      <c r="C496" s="14">
        <f t="shared" si="124"/>
        <v>7.9264760821384037</v>
      </c>
      <c r="D496" s="14">
        <f t="shared" si="125"/>
        <v>7.9264760821384037</v>
      </c>
      <c r="E496" s="14">
        <f t="shared" si="115"/>
        <v>1</v>
      </c>
      <c r="F496" s="14">
        <f t="shared" si="126"/>
        <v>-3.7006948854951984</v>
      </c>
      <c r="G496" s="14">
        <f t="shared" si="116"/>
        <v>-1.6962598221355294</v>
      </c>
      <c r="H496" s="14">
        <f t="shared" si="117"/>
        <v>3.2890492929323911</v>
      </c>
      <c r="I496" s="14">
        <f t="shared" si="118"/>
        <v>4.9995829121100721</v>
      </c>
      <c r="J496" s="14">
        <f t="shared" si="127"/>
        <v>-9.7431956812549263</v>
      </c>
      <c r="K496" s="14">
        <f t="shared" si="119"/>
        <v>-62.83601514333413</v>
      </c>
      <c r="L496" s="14">
        <f t="shared" si="120"/>
        <v>10.95105891584406</v>
      </c>
      <c r="M496" s="14">
        <f t="shared" si="129"/>
        <v>16.43507804635734</v>
      </c>
      <c r="N496" s="14">
        <f t="shared" si="121"/>
        <v>1.8936877599577611</v>
      </c>
      <c r="O496" s="14">
        <f t="shared" si="128"/>
        <v>1.8936877599577611</v>
      </c>
      <c r="P496" s="14">
        <f t="shared" si="122"/>
        <v>1</v>
      </c>
    </row>
    <row r="497" spans="1:16" x14ac:dyDescent="0.25">
      <c r="A497" s="14">
        <f t="shared" si="114"/>
        <v>2.3649999999999718</v>
      </c>
      <c r="B497" s="14">
        <f t="shared" si="123"/>
        <v>23.804841900749405</v>
      </c>
      <c r="C497" s="14">
        <f t="shared" si="124"/>
        <v>7.8853269636683585</v>
      </c>
      <c r="D497" s="14">
        <f t="shared" si="125"/>
        <v>7.8853269636683585</v>
      </c>
      <c r="E497" s="14">
        <f t="shared" si="115"/>
        <v>1</v>
      </c>
      <c r="F497" s="14">
        <f t="shared" si="126"/>
        <v>-3.717696432726918</v>
      </c>
      <c r="G497" s="14">
        <f t="shared" si="116"/>
        <v>-1.6972725377801028</v>
      </c>
      <c r="H497" s="14">
        <f t="shared" si="117"/>
        <v>3.3076476079546233</v>
      </c>
      <c r="I497" s="14">
        <f t="shared" si="118"/>
        <v>4.9910965494211714</v>
      </c>
      <c r="J497" s="14">
        <f t="shared" si="127"/>
        <v>-9.7756574432151524</v>
      </c>
      <c r="K497" s="14">
        <f t="shared" si="119"/>
        <v>-62.952789925168624</v>
      </c>
      <c r="L497" s="14">
        <f t="shared" si="120"/>
        <v>10.976088702845461</v>
      </c>
      <c r="M497" s="14">
        <f t="shared" si="129"/>
        <v>16.460033529104447</v>
      </c>
      <c r="N497" s="14">
        <f t="shared" si="121"/>
        <v>1.8448094727416853</v>
      </c>
      <c r="O497" s="14">
        <f t="shared" si="128"/>
        <v>1.8448094727416853</v>
      </c>
      <c r="P497" s="14">
        <f t="shared" si="122"/>
        <v>1</v>
      </c>
    </row>
    <row r="498" spans="1:16" x14ac:dyDescent="0.25">
      <c r="A498" s="14">
        <f t="shared" si="114"/>
        <v>2.3699999999999717</v>
      </c>
      <c r="B498" s="14">
        <f t="shared" si="123"/>
        <v>23.855169262061771</v>
      </c>
      <c r="C498" s="14">
        <f t="shared" si="124"/>
        <v>7.8439328451983101</v>
      </c>
      <c r="D498" s="14">
        <f t="shared" si="125"/>
        <v>7.8439328451983101</v>
      </c>
      <c r="E498" s="14">
        <f t="shared" si="115"/>
        <v>1</v>
      </c>
      <c r="F498" s="14">
        <f t="shared" si="126"/>
        <v>-3.7347102195946844</v>
      </c>
      <c r="G498" s="14">
        <f t="shared" si="116"/>
        <v>-1.6982642719782932</v>
      </c>
      <c r="H498" s="14">
        <f t="shared" si="117"/>
        <v>3.3262529799861906</v>
      </c>
      <c r="I498" s="14">
        <f t="shared" si="118"/>
        <v>4.9826052280612796</v>
      </c>
      <c r="J498" s="14">
        <f t="shared" si="127"/>
        <v>-9.8080261783152221</v>
      </c>
      <c r="K498" s="14">
        <f t="shared" si="119"/>
        <v>-63.068836439754477</v>
      </c>
      <c r="L498" s="14">
        <f t="shared" si="120"/>
        <v>11.001078691347512</v>
      </c>
      <c r="M498" s="14">
        <f t="shared" si="129"/>
        <v>16.484946555244754</v>
      </c>
      <c r="N498" s="14">
        <f t="shared" si="121"/>
        <v>1.7957693418501091</v>
      </c>
      <c r="O498" s="14">
        <f t="shared" si="128"/>
        <v>1.7957693418501091</v>
      </c>
      <c r="P498" s="14">
        <f t="shared" si="122"/>
        <v>1</v>
      </c>
    </row>
    <row r="499" spans="1:16" x14ac:dyDescent="0.25">
      <c r="A499" s="14">
        <f t="shared" si="114"/>
        <v>2.3749999999999716</v>
      </c>
      <c r="B499" s="14">
        <f t="shared" si="123"/>
        <v>23.905496623374137</v>
      </c>
      <c r="C499" s="14">
        <f t="shared" si="124"/>
        <v>7.8022937267282728</v>
      </c>
      <c r="D499" s="14">
        <f t="shared" si="125"/>
        <v>7.8022937267282728</v>
      </c>
      <c r="E499" s="14">
        <f t="shared" si="115"/>
        <v>1</v>
      </c>
      <c r="F499" s="14">
        <f t="shared" si="126"/>
        <v>-3.7517357035698291</v>
      </c>
      <c r="G499" s="14">
        <f t="shared" si="116"/>
        <v>-1.699234998256471</v>
      </c>
      <c r="H499" s="14">
        <f t="shared" si="117"/>
        <v>3.344864901627707</v>
      </c>
      <c r="I499" s="14">
        <f t="shared" si="118"/>
        <v>4.9741090530699976</v>
      </c>
      <c r="J499" s="14">
        <f t="shared" si="127"/>
        <v>-9.8403018538070839</v>
      </c>
      <c r="K499" s="14">
        <f t="shared" si="119"/>
        <v>-63.18416081446712</v>
      </c>
      <c r="L499" s="14">
        <f t="shared" si="120"/>
        <v>11.026028362283132</v>
      </c>
      <c r="M499" s="14">
        <f t="shared" si="129"/>
        <v>16.509817100510105</v>
      </c>
      <c r="N499" s="14">
        <f t="shared" si="121"/>
        <v>1.7465678325810736</v>
      </c>
      <c r="O499" s="14">
        <f t="shared" si="128"/>
        <v>1.7465678325810736</v>
      </c>
      <c r="P499" s="14">
        <f t="shared" si="122"/>
        <v>1</v>
      </c>
    </row>
    <row r="500" spans="1:16" x14ac:dyDescent="0.25">
      <c r="A500" s="14">
        <f t="shared" si="114"/>
        <v>2.3799999999999715</v>
      </c>
      <c r="B500" s="14">
        <f t="shared" si="123"/>
        <v>23.955823984686504</v>
      </c>
      <c r="C500" s="14">
        <f t="shared" si="124"/>
        <v>7.7604096082582288</v>
      </c>
      <c r="D500" s="14">
        <f t="shared" si="125"/>
        <v>7.7604096082582288</v>
      </c>
      <c r="E500" s="14">
        <f t="shared" si="115"/>
        <v>1</v>
      </c>
      <c r="F500" s="14">
        <f t="shared" si="126"/>
        <v>-3.7687723448220329</v>
      </c>
      <c r="G500" s="14">
        <f t="shared" si="116"/>
        <v>-1.7001846923834114</v>
      </c>
      <c r="H500" s="14">
        <f t="shared" si="117"/>
        <v>3.3634828673386297</v>
      </c>
      <c r="I500" s="14">
        <f t="shared" si="118"/>
        <v>4.9656081296080803</v>
      </c>
      <c r="J500" s="14">
        <f t="shared" si="127"/>
        <v>-9.8724844394703908</v>
      </c>
      <c r="K500" s="14">
        <f t="shared" si="119"/>
        <v>-63.298769119112691</v>
      </c>
      <c r="L500" s="14">
        <f t="shared" si="120"/>
        <v>11.050937204799187</v>
      </c>
      <c r="M500" s="14">
        <f t="shared" si="129"/>
        <v>16.534645141158144</v>
      </c>
      <c r="N500" s="14">
        <f t="shared" si="121"/>
        <v>1.6972054103837217</v>
      </c>
      <c r="O500" s="14">
        <f t="shared" si="128"/>
        <v>1.6972054103837217</v>
      </c>
      <c r="P500" s="14">
        <f t="shared" si="122"/>
        <v>1</v>
      </c>
    </row>
    <row r="501" spans="1:16" x14ac:dyDescent="0.25">
      <c r="A501" s="14">
        <f t="shared" si="114"/>
        <v>2.3849999999999714</v>
      </c>
      <c r="B501" s="14">
        <f t="shared" si="123"/>
        <v>24.00615134599887</v>
      </c>
      <c r="C501" s="14">
        <f t="shared" si="124"/>
        <v>7.7182804897881816</v>
      </c>
      <c r="D501" s="14">
        <f t="shared" si="125"/>
        <v>7.7182804897881816</v>
      </c>
      <c r="E501" s="14">
        <f t="shared" si="115"/>
        <v>1</v>
      </c>
      <c r="F501" s="14">
        <f t="shared" si="126"/>
        <v>-3.7858196062368608</v>
      </c>
      <c r="G501" s="14">
        <f t="shared" si="116"/>
        <v>-1.7011133323421161</v>
      </c>
      <c r="H501" s="14">
        <f t="shared" si="117"/>
        <v>3.3821063734742762</v>
      </c>
      <c r="I501" s="14">
        <f t="shared" si="118"/>
        <v>4.9571025629463694</v>
      </c>
      <c r="J501" s="14">
        <f t="shared" si="127"/>
        <v>-9.9045739076030195</v>
      </c>
      <c r="K501" s="14">
        <f t="shared" si="119"/>
        <v>-63.412667366370194</v>
      </c>
      <c r="L501" s="14">
        <f t="shared" si="120"/>
        <v>11.075804716170289</v>
      </c>
      <c r="M501" s="14">
        <f t="shared" si="129"/>
        <v>16.559430653972875</v>
      </c>
      <c r="N501" s="14">
        <f t="shared" si="121"/>
        <v>1.6476825408457065</v>
      </c>
      <c r="O501" s="14">
        <f t="shared" si="128"/>
        <v>1.6476825408457065</v>
      </c>
      <c r="P501" s="14">
        <f t="shared" si="122"/>
        <v>1</v>
      </c>
    </row>
    <row r="502" spans="1:16" x14ac:dyDescent="0.25">
      <c r="A502" s="14">
        <f t="shared" si="114"/>
        <v>2.3899999999999713</v>
      </c>
      <c r="B502" s="14">
        <f t="shared" si="123"/>
        <v>24.056478707311236</v>
      </c>
      <c r="C502" s="14">
        <f t="shared" si="124"/>
        <v>7.6759063713181419</v>
      </c>
      <c r="D502" s="14">
        <f t="shared" si="125"/>
        <v>7.6759063713181419</v>
      </c>
      <c r="E502" s="14">
        <f t="shared" si="115"/>
        <v>1</v>
      </c>
      <c r="F502" s="14">
        <f t="shared" si="126"/>
        <v>-3.8028769534329405</v>
      </c>
      <c r="G502" s="14">
        <f t="shared" si="116"/>
        <v>-1.7020208983018583</v>
      </c>
      <c r="H502" s="14">
        <f t="shared" si="117"/>
        <v>3.4007349183220881</v>
      </c>
      <c r="I502" s="14">
        <f t="shared" si="118"/>
        <v>4.9485924584548604</v>
      </c>
      <c r="J502" s="14">
        <f t="shared" si="127"/>
        <v>-9.936570233011409</v>
      </c>
      <c r="K502" s="14">
        <f t="shared" si="119"/>
        <v>-63.52586151223575</v>
      </c>
      <c r="L502" s="14">
        <f t="shared" si="120"/>
        <v>11.100630401713442</v>
      </c>
      <c r="M502" s="14">
        <f t="shared" si="129"/>
        <v>16.584173616265151</v>
      </c>
      <c r="N502" s="14">
        <f t="shared" si="121"/>
        <v>1.5979996896806494</v>
      </c>
      <c r="O502" s="14">
        <f t="shared" si="128"/>
        <v>1.5979996896806494</v>
      </c>
      <c r="P502" s="14">
        <f t="shared" si="122"/>
        <v>1</v>
      </c>
    </row>
    <row r="503" spans="1:16" x14ac:dyDescent="0.25">
      <c r="A503" s="14">
        <f t="shared" si="114"/>
        <v>2.3949999999999712</v>
      </c>
      <c r="B503" s="14">
        <f t="shared" si="123"/>
        <v>24.106806068623602</v>
      </c>
      <c r="C503" s="14">
        <f t="shared" si="124"/>
        <v>7.6332872528480955</v>
      </c>
      <c r="D503" s="14">
        <f t="shared" si="125"/>
        <v>7.6332872528480955</v>
      </c>
      <c r="E503" s="14">
        <f t="shared" si="115"/>
        <v>1</v>
      </c>
      <c r="F503" s="14">
        <f t="shared" si="126"/>
        <v>-3.8199438547787863</v>
      </c>
      <c r="G503" s="14">
        <f t="shared" si="116"/>
        <v>-1.7029073725904307</v>
      </c>
      <c r="H503" s="14">
        <f t="shared" si="117"/>
        <v>3.4193680021371446</v>
      </c>
      <c r="I503" s="14">
        <f t="shared" si="118"/>
        <v>4.9400779215919082</v>
      </c>
      <c r="J503" s="14">
        <f t="shared" si="127"/>
        <v>-9.968473393000723</v>
      </c>
      <c r="K503" s="14">
        <f t="shared" si="119"/>
        <v>-63.638357456468491</v>
      </c>
      <c r="L503" s="14">
        <f t="shared" si="120"/>
        <v>11.125413774703535</v>
      </c>
      <c r="M503" s="14">
        <f t="shared" si="129"/>
        <v>16.608874005873112</v>
      </c>
      <c r="N503" s="14">
        <f t="shared" si="121"/>
        <v>1.5481573227156458</v>
      </c>
      <c r="O503" s="14">
        <f t="shared" si="128"/>
        <v>1.5481573227156458</v>
      </c>
      <c r="P503" s="14">
        <f t="shared" si="122"/>
        <v>1</v>
      </c>
    </row>
    <row r="504" spans="1:16" x14ac:dyDescent="0.25">
      <c r="A504" s="14">
        <f t="shared" si="114"/>
        <v>2.399999999999971</v>
      </c>
      <c r="B504" s="14">
        <f t="shared" si="123"/>
        <v>24.157133429935968</v>
      </c>
      <c r="C504" s="14">
        <f t="shared" si="124"/>
        <v>7.5904231343780495</v>
      </c>
      <c r="D504" s="14">
        <f t="shared" si="125"/>
        <v>7.5904231343780495</v>
      </c>
      <c r="E504" s="14">
        <f t="shared" si="115"/>
        <v>1</v>
      </c>
      <c r="F504" s="14">
        <f t="shared" si="126"/>
        <v>-3.8370197814092579</v>
      </c>
      <c r="G504" s="14">
        <f t="shared" si="116"/>
        <v>-1.7037727396666098</v>
      </c>
      <c r="H504" s="14">
        <f t="shared" si="117"/>
        <v>3.4380051271769334</v>
      </c>
      <c r="I504" s="14">
        <f t="shared" si="118"/>
        <v>4.9315590578935753</v>
      </c>
      <c r="J504" s="14">
        <f t="shared" si="127"/>
        <v>-10.000283367364839</v>
      </c>
      <c r="K504" s="14">
        <f t="shared" si="119"/>
        <v>-63.750161043037934</v>
      </c>
      <c r="L504" s="14">
        <f t="shared" si="120"/>
        <v>11.150154356289692</v>
      </c>
      <c r="M504" s="14">
        <f t="shared" si="129"/>
        <v>16.633531801162579</v>
      </c>
      <c r="N504" s="14">
        <f t="shared" si="121"/>
        <v>1.4981559058788216</v>
      </c>
      <c r="O504" s="14">
        <f t="shared" si="128"/>
        <v>1.4981559058788216</v>
      </c>
      <c r="P504" s="14">
        <f t="shared" si="122"/>
        <v>1</v>
      </c>
    </row>
    <row r="505" spans="1:16" x14ac:dyDescent="0.25">
      <c r="A505" s="14">
        <f t="shared" si="114"/>
        <v>2.4049999999999709</v>
      </c>
      <c r="B505" s="14">
        <f t="shared" si="123"/>
        <v>24.207460791248334</v>
      </c>
      <c r="C505" s="14">
        <f t="shared" si="124"/>
        <v>7.5473140159080039</v>
      </c>
      <c r="D505" s="14">
        <f t="shared" si="125"/>
        <v>7.5473140159080039</v>
      </c>
      <c r="E505" s="14">
        <f t="shared" si="115"/>
        <v>1</v>
      </c>
      <c r="F505" s="14">
        <f t="shared" si="126"/>
        <v>-3.8541042072416656</v>
      </c>
      <c r="G505" s="14">
        <f t="shared" si="116"/>
        <v>-1.7046169860928304</v>
      </c>
      <c r="H505" s="14">
        <f t="shared" si="117"/>
        <v>3.4566457977353862</v>
      </c>
      <c r="I505" s="14">
        <f t="shared" si="118"/>
        <v>4.9230359729631115</v>
      </c>
      <c r="J505" s="14">
        <f t="shared" si="127"/>
        <v>-10.032000138376162</v>
      </c>
      <c r="K505" s="14">
        <f t="shared" si="119"/>
        <v>-63.861278060572786</v>
      </c>
      <c r="L505" s="14">
        <f t="shared" si="120"/>
        <v>11.174851675412437</v>
      </c>
      <c r="M505" s="14">
        <f t="shared" si="129"/>
        <v>16.658146981027397</v>
      </c>
      <c r="N505" s="14">
        <f t="shared" si="121"/>
        <v>1.4479959051869409</v>
      </c>
      <c r="O505" s="14">
        <f t="shared" si="128"/>
        <v>1.4479959051869409</v>
      </c>
      <c r="P505" s="14">
        <f t="shared" si="122"/>
        <v>1</v>
      </c>
    </row>
    <row r="506" spans="1:16" x14ac:dyDescent="0.25">
      <c r="A506" s="14">
        <f t="shared" si="114"/>
        <v>2.4099999999999708</v>
      </c>
      <c r="B506" s="14">
        <f t="shared" si="123"/>
        <v>24.2577881525607</v>
      </c>
      <c r="C506" s="14">
        <f t="shared" si="124"/>
        <v>7.5039598974379658</v>
      </c>
      <c r="D506" s="14">
        <f t="shared" si="125"/>
        <v>7.5039598974379658</v>
      </c>
      <c r="E506" s="14">
        <f t="shared" si="115"/>
        <v>1</v>
      </c>
      <c r="F506" s="14">
        <f t="shared" si="126"/>
        <v>-3.8711966089915131</v>
      </c>
      <c r="G506" s="14">
        <f t="shared" si="116"/>
        <v>-1.7054401005080582</v>
      </c>
      <c r="H506" s="14">
        <f t="shared" si="117"/>
        <v>3.4752895201761898</v>
      </c>
      <c r="I506" s="14">
        <f t="shared" si="118"/>
        <v>4.9145087724605716</v>
      </c>
      <c r="J506" s="14">
        <f t="shared" si="127"/>
        <v>-10.06362369077528</v>
      </c>
      <c r="K506" s="14">
        <f t="shared" si="119"/>
        <v>-63.971714242810449</v>
      </c>
      <c r="L506" s="14">
        <f t="shared" si="120"/>
        <v>11.199505268721712</v>
      </c>
      <c r="M506" s="14">
        <f t="shared" si="129"/>
        <v>16.682719524889698</v>
      </c>
      <c r="N506" s="14">
        <f t="shared" si="121"/>
        <v>1.3976777867330645</v>
      </c>
      <c r="O506" s="14">
        <f t="shared" si="128"/>
        <v>1.3976777867330645</v>
      </c>
      <c r="P506" s="14">
        <f t="shared" si="122"/>
        <v>1</v>
      </c>
    </row>
    <row r="507" spans="1:16" x14ac:dyDescent="0.25">
      <c r="A507" s="14">
        <f t="shared" si="114"/>
        <v>2.4149999999999707</v>
      </c>
      <c r="B507" s="14">
        <f t="shared" si="123"/>
        <v>24.308115513873066</v>
      </c>
      <c r="C507" s="14">
        <f t="shared" si="124"/>
        <v>7.4603607789679174</v>
      </c>
      <c r="D507" s="14">
        <f t="shared" si="125"/>
        <v>7.4603607789679174</v>
      </c>
      <c r="E507" s="14">
        <f t="shared" si="115"/>
        <v>1</v>
      </c>
      <c r="F507" s="14">
        <f t="shared" si="126"/>
        <v>-3.8882964661878869</v>
      </c>
      <c r="G507" s="14">
        <f t="shared" si="116"/>
        <v>-1.706242073600889</v>
      </c>
      <c r="H507" s="14">
        <f t="shared" si="117"/>
        <v>3.4939358029653818</v>
      </c>
      <c r="I507" s="14">
        <f t="shared" si="118"/>
        <v>4.9059775620925672</v>
      </c>
      <c r="J507" s="14">
        <f t="shared" si="127"/>
        <v>-10.095154011760453</v>
      </c>
      <c r="K507" s="14">
        <f t="shared" si="119"/>
        <v>-64.081475269047658</v>
      </c>
      <c r="L507" s="14">
        <f t="shared" si="120"/>
        <v>11.224114680495692</v>
      </c>
      <c r="M507" s="14">
        <f t="shared" si="129"/>
        <v>16.707249412700161</v>
      </c>
      <c r="N507" s="14">
        <f t="shared" si="121"/>
        <v>1.3472020166742622</v>
      </c>
      <c r="O507" s="14">
        <f t="shared" si="128"/>
        <v>1.3472020166742622</v>
      </c>
      <c r="P507" s="14">
        <f t="shared" si="122"/>
        <v>1</v>
      </c>
    </row>
    <row r="508" spans="1:16" x14ac:dyDescent="0.25">
      <c r="A508" s="14">
        <f t="shared" si="114"/>
        <v>2.4199999999999706</v>
      </c>
      <c r="B508" s="14">
        <f t="shared" si="123"/>
        <v>24.358442875185432</v>
      </c>
      <c r="C508" s="14">
        <f t="shared" si="124"/>
        <v>7.4165166604978729</v>
      </c>
      <c r="D508" s="14">
        <f t="shared" si="125"/>
        <v>7.4165166604978729</v>
      </c>
      <c r="E508" s="14">
        <f t="shared" si="115"/>
        <v>1</v>
      </c>
      <c r="F508" s="14">
        <f t="shared" si="126"/>
        <v>-3.9054032611884861</v>
      </c>
      <c r="G508" s="14">
        <f t="shared" si="116"/>
        <v>-1.7070228980828348</v>
      </c>
      <c r="H508" s="14">
        <f t="shared" si="117"/>
        <v>3.5125841567032303</v>
      </c>
      <c r="I508" s="14">
        <f t="shared" si="118"/>
        <v>4.8974424476021534</v>
      </c>
      <c r="J508" s="14">
        <f t="shared" si="127"/>
        <v>-10.126591090976937</v>
      </c>
      <c r="K508" s="14">
        <f t="shared" si="119"/>
        <v>-64.190566764591395</v>
      </c>
      <c r="L508" s="14">
        <f t="shared" si="120"/>
        <v>11.248679462560432</v>
      </c>
      <c r="M508" s="14">
        <f t="shared" si="129"/>
        <v>16.731736624938172</v>
      </c>
      <c r="N508" s="14">
        <f t="shared" si="121"/>
        <v>1.2965690612193774</v>
      </c>
      <c r="O508" s="14">
        <f t="shared" si="128"/>
        <v>1.2965690612193774</v>
      </c>
      <c r="P508" s="14">
        <f t="shared" si="122"/>
        <v>1</v>
      </c>
    </row>
    <row r="509" spans="1:16" x14ac:dyDescent="0.25">
      <c r="A509" s="14">
        <f t="shared" si="114"/>
        <v>2.4249999999999705</v>
      </c>
      <c r="B509" s="14">
        <f t="shared" si="123"/>
        <v>24.408770236497801</v>
      </c>
      <c r="C509" s="14">
        <f t="shared" si="124"/>
        <v>7.3724275420278325</v>
      </c>
      <c r="D509" s="14">
        <f t="shared" si="125"/>
        <v>7.3724275420278325</v>
      </c>
      <c r="E509" s="14">
        <f t="shared" si="115"/>
        <v>1</v>
      </c>
      <c r="F509" s="14">
        <f t="shared" si="126"/>
        <v>-3.9225164791942939</v>
      </c>
      <c r="G509" s="14">
        <f t="shared" si="116"/>
        <v>-1.7077825686618346</v>
      </c>
      <c r="H509" s="14">
        <f t="shared" si="117"/>
        <v>3.531234094155411</v>
      </c>
      <c r="I509" s="14">
        <f t="shared" si="118"/>
        <v>4.8889035347588443</v>
      </c>
      <c r="J509" s="14">
        <f t="shared" si="127"/>
        <v>-10.157934920506161</v>
      </c>
      <c r="K509" s="14">
        <f t="shared" si="119"/>
        <v>-64.298994301210357</v>
      </c>
      <c r="L509" s="14">
        <f t="shared" si="120"/>
        <v>11.27319917421031</v>
      </c>
      <c r="M509" s="14">
        <f t="shared" si="129"/>
        <v>16.756181142611965</v>
      </c>
      <c r="N509" s="14">
        <f t="shared" si="121"/>
        <v>1.2457793866168467</v>
      </c>
      <c r="O509" s="14">
        <f t="shared" si="128"/>
        <v>1.2457793866168467</v>
      </c>
      <c r="P509" s="14">
        <f t="shared" si="122"/>
        <v>1</v>
      </c>
    </row>
    <row r="510" spans="1:16" x14ac:dyDescent="0.25">
      <c r="A510" s="14">
        <f t="shared" si="114"/>
        <v>2.4299999999999704</v>
      </c>
      <c r="B510" s="14">
        <f t="shared" si="123"/>
        <v>24.459097597810167</v>
      </c>
      <c r="C510" s="14">
        <f t="shared" si="124"/>
        <v>7.3280934235577853</v>
      </c>
      <c r="D510" s="14">
        <f t="shared" si="125"/>
        <v>7.3280934235577853</v>
      </c>
      <c r="E510" s="14">
        <f t="shared" si="115"/>
        <v>1</v>
      </c>
      <c r="F510" s="14">
        <f t="shared" si="126"/>
        <v>-3.9396356082638966</v>
      </c>
      <c r="G510" s="14">
        <f t="shared" si="116"/>
        <v>-1.7085210820159555</v>
      </c>
      <c r="H510" s="14">
        <f t="shared" si="117"/>
        <v>3.5498851302834957</v>
      </c>
      <c r="I510" s="14">
        <f t="shared" si="118"/>
        <v>4.8803609293487646</v>
      </c>
      <c r="J510" s="14">
        <f t="shared" si="127"/>
        <v>-10.189185494854744</v>
      </c>
      <c r="K510" s="14">
        <f t="shared" si="119"/>
        <v>-64.406763397586658</v>
      </c>
      <c r="L510" s="14">
        <f t="shared" si="120"/>
        <v>11.29767338212927</v>
      </c>
      <c r="M510" s="14">
        <f t="shared" si="129"/>
        <v>16.780582947258708</v>
      </c>
      <c r="N510" s="14">
        <f t="shared" si="121"/>
        <v>1.1948334591425731</v>
      </c>
      <c r="O510" s="14">
        <f t="shared" si="128"/>
        <v>1.1948334591425731</v>
      </c>
      <c r="P510" s="14">
        <f t="shared" si="122"/>
        <v>1</v>
      </c>
    </row>
    <row r="511" spans="1:16" x14ac:dyDescent="0.25">
      <c r="A511" s="14">
        <f t="shared" si="114"/>
        <v>2.4349999999999703</v>
      </c>
      <c r="B511" s="14">
        <f t="shared" si="123"/>
        <v>24.509424959122533</v>
      </c>
      <c r="C511" s="14">
        <f t="shared" si="124"/>
        <v>7.2835143050877456</v>
      </c>
      <c r="D511" s="14">
        <f t="shared" si="125"/>
        <v>7.2835143050877456</v>
      </c>
      <c r="E511" s="14">
        <f t="shared" si="115"/>
        <v>1</v>
      </c>
      <c r="F511" s="14">
        <f t="shared" si="126"/>
        <v>-3.956760139327439</v>
      </c>
      <c r="G511" s="14">
        <f t="shared" si="116"/>
        <v>-1.7092384367673032</v>
      </c>
      <c r="H511" s="14">
        <f t="shared" si="117"/>
        <v>3.5685367822747409</v>
      </c>
      <c r="I511" s="14">
        <f t="shared" si="118"/>
        <v>4.8718147371649279</v>
      </c>
      <c r="J511" s="14">
        <f t="shared" si="127"/>
        <v>-10.22034281094337</v>
      </c>
      <c r="K511" s="14">
        <f t="shared" si="119"/>
        <v>-64.513879519767272</v>
      </c>
      <c r="L511" s="14">
        <f t="shared" si="120"/>
        <v>11.322101660312859</v>
      </c>
      <c r="M511" s="14">
        <f t="shared" si="129"/>
        <v>16.804942020944534</v>
      </c>
      <c r="N511" s="14">
        <f t="shared" si="121"/>
        <v>1.1437317450878564</v>
      </c>
      <c r="O511" s="14">
        <f t="shared" si="128"/>
        <v>1.1437317450878564</v>
      </c>
      <c r="P511" s="14">
        <f t="shared" si="122"/>
        <v>1</v>
      </c>
    </row>
    <row r="512" spans="1:16" x14ac:dyDescent="0.25">
      <c r="A512" s="14">
        <f t="shared" si="114"/>
        <v>2.4399999999999702</v>
      </c>
      <c r="B512" s="14">
        <f t="shared" si="123"/>
        <v>24.5597523204349</v>
      </c>
      <c r="C512" s="14">
        <f t="shared" si="124"/>
        <v>7.2386901866176991</v>
      </c>
      <c r="D512" s="14">
        <f t="shared" si="125"/>
        <v>7.2386901866176991</v>
      </c>
      <c r="E512" s="14">
        <f t="shared" si="115"/>
        <v>1</v>
      </c>
      <c r="F512" s="14">
        <f t="shared" si="126"/>
        <v>-3.9738895662002345</v>
      </c>
      <c r="G512" s="14">
        <f t="shared" si="116"/>
        <v>-1.7099346334561421</v>
      </c>
      <c r="H512" s="14">
        <f t="shared" si="117"/>
        <v>3.5871885695712034</v>
      </c>
      <c r="I512" s="14">
        <f t="shared" si="118"/>
        <v>4.8632650639976474</v>
      </c>
      <c r="J512" s="14">
        <f t="shared" si="127"/>
        <v>-10.251406868095513</v>
      </c>
      <c r="K512" s="14">
        <f t="shared" si="119"/>
        <v>-64.62034808161556</v>
      </c>
      <c r="L512" s="14">
        <f t="shared" si="120"/>
        <v>11.346483589991037</v>
      </c>
      <c r="M512" s="14">
        <f t="shared" si="129"/>
        <v>16.82925834626452</v>
      </c>
      <c r="N512" s="14">
        <f t="shared" si="121"/>
        <v>1.0924747107473789</v>
      </c>
      <c r="O512" s="14">
        <f t="shared" si="128"/>
        <v>1.0924747107473789</v>
      </c>
      <c r="P512" s="14">
        <f t="shared" si="122"/>
        <v>1</v>
      </c>
    </row>
    <row r="513" spans="1:16" x14ac:dyDescent="0.25">
      <c r="A513" s="14">
        <f t="shared" ref="A513:A576" si="130">A512+$A$22</f>
        <v>2.4449999999999701</v>
      </c>
      <c r="B513" s="14">
        <f t="shared" si="123"/>
        <v>24.610079681747266</v>
      </c>
      <c r="C513" s="14">
        <f t="shared" si="124"/>
        <v>7.1936210681476567</v>
      </c>
      <c r="D513" s="14">
        <f t="shared" si="125"/>
        <v>7.1936210681476567</v>
      </c>
      <c r="E513" s="14">
        <f t="shared" ref="E513:E576" si="131">IF(AND(C514-C513&lt;0,C513&lt;$B$18),0,1)</f>
        <v>1</v>
      </c>
      <c r="F513" s="14">
        <f t="shared" si="126"/>
        <v>-3.9910233855960127</v>
      </c>
      <c r="G513" s="14">
        <f t="shared" ref="G513:G576" si="132">$F513*COS(PI()/180*$K512)</f>
        <v>-1.710609674515206</v>
      </c>
      <c r="H513" s="14">
        <f t="shared" ref="H513:H576" si="133">$F513*SIN(PI()/180*$K512)</f>
        <v>3.6058400138981819</v>
      </c>
      <c r="I513" s="14">
        <f t="shared" ref="I513:I576" si="134">I512+G513*$A$22</f>
        <v>4.8547120156250712</v>
      </c>
      <c r="J513" s="14">
        <f t="shared" si="127"/>
        <v>-10.282377668026022</v>
      </c>
      <c r="K513" s="14">
        <f t="shared" ref="K513:K576" si="135">180/PI()*ATAN(J513/I513)</f>
        <v>-64.726174445262274</v>
      </c>
      <c r="L513" s="14">
        <f t="shared" ref="L513:L576" si="136">SQRT(I513^2+J513^2)</f>
        <v>11.370818759551781</v>
      </c>
      <c r="M513" s="14">
        <f t="shared" si="129"/>
        <v>16.853531906342646</v>
      </c>
      <c r="N513" s="14">
        <f t="shared" ref="N513:N576" si="137">N512+J513*$A$22</f>
        <v>1.0410628224072487</v>
      </c>
      <c r="O513" s="14">
        <f t="shared" si="128"/>
        <v>1.0410628224072487</v>
      </c>
      <c r="P513" s="14">
        <f t="shared" ref="P513:P576" si="138">IF(AND(N514-N513&lt;0,N513&lt;$B$18),0,1)</f>
        <v>1</v>
      </c>
    </row>
    <row r="514" spans="1:16" x14ac:dyDescent="0.25">
      <c r="A514" s="14">
        <f t="shared" si="130"/>
        <v>2.44999999999997</v>
      </c>
      <c r="B514" s="14">
        <f t="shared" si="123"/>
        <v>24.660407043059632</v>
      </c>
      <c r="C514" s="14">
        <f t="shared" si="124"/>
        <v>7.148306949677611</v>
      </c>
      <c r="D514" s="14">
        <f t="shared" si="125"/>
        <v>7.148306949677611</v>
      </c>
      <c r="E514" s="14">
        <f t="shared" si="131"/>
        <v>1</v>
      </c>
      <c r="F514" s="14">
        <f t="shared" si="126"/>
        <v>-4.0081610971398165</v>
      </c>
      <c r="G514" s="14">
        <f t="shared" si="132"/>
        <v>-1.7112635642442209</v>
      </c>
      <c r="H514" s="14">
        <f t="shared" si="133"/>
        <v>3.6244906392919849</v>
      </c>
      <c r="I514" s="14">
        <f t="shared" si="134"/>
        <v>4.8461556978038498</v>
      </c>
      <c r="J514" s="14">
        <f t="shared" si="127"/>
        <v>-10.313255214829562</v>
      </c>
      <c r="K514" s="14">
        <f t="shared" si="135"/>
        <v>-64.831363921556132</v>
      </c>
      <c r="L514" s="14">
        <f t="shared" si="136"/>
        <v>11.395106764465433</v>
      </c>
      <c r="M514" s="14">
        <f t="shared" si="129"/>
        <v>16.877762684831666</v>
      </c>
      <c r="N514" s="14">
        <f t="shared" si="137"/>
        <v>0.98949654633310091</v>
      </c>
      <c r="O514" s="14">
        <f t="shared" si="128"/>
        <v>0.98949654633310091</v>
      </c>
      <c r="P514" s="14">
        <f t="shared" si="138"/>
        <v>1</v>
      </c>
    </row>
    <row r="515" spans="1:16" x14ac:dyDescent="0.25">
      <c r="A515" s="14">
        <f t="shared" si="130"/>
        <v>2.4549999999999699</v>
      </c>
      <c r="B515" s="14">
        <f t="shared" si="123"/>
        <v>24.710734404371998</v>
      </c>
      <c r="C515" s="14">
        <f t="shared" si="124"/>
        <v>7.1027478312075694</v>
      </c>
      <c r="D515" s="14">
        <f t="shared" si="125"/>
        <v>7.1027478312075694</v>
      </c>
      <c r="E515" s="14">
        <f t="shared" si="131"/>
        <v>1</v>
      </c>
      <c r="F515" s="14">
        <f t="shared" si="126"/>
        <v>-4.0253022033805426</v>
      </c>
      <c r="G515" s="14">
        <f t="shared" si="132"/>
        <v>-1.7118963087846182</v>
      </c>
      <c r="H515" s="14">
        <f t="shared" si="133"/>
        <v>3.6431399721270457</v>
      </c>
      <c r="I515" s="14">
        <f t="shared" si="134"/>
        <v>4.8375962162599269</v>
      </c>
      <c r="J515" s="14">
        <f t="shared" si="127"/>
        <v>-10.344039514968927</v>
      </c>
      <c r="K515" s="14">
        <f t="shared" si="135"/>
        <v>-64.935921770513687</v>
      </c>
      <c r="L515" s="14">
        <f t="shared" si="136"/>
        <v>11.41934720720983</v>
      </c>
      <c r="M515" s="14">
        <f t="shared" si="129"/>
        <v>16.901950665912967</v>
      </c>
      <c r="N515" s="14">
        <f t="shared" si="137"/>
        <v>0.93777634875825633</v>
      </c>
      <c r="O515" s="14">
        <f t="shared" si="128"/>
        <v>0.93777634875825633</v>
      </c>
      <c r="P515" s="14">
        <f t="shared" si="138"/>
        <v>1</v>
      </c>
    </row>
    <row r="516" spans="1:16" x14ac:dyDescent="0.25">
      <c r="A516" s="14">
        <f t="shared" si="130"/>
        <v>2.4599999999999698</v>
      </c>
      <c r="B516" s="14">
        <f t="shared" si="123"/>
        <v>24.761061765684364</v>
      </c>
      <c r="C516" s="14">
        <f t="shared" si="124"/>
        <v>7.0569437127375281</v>
      </c>
      <c r="D516" s="14">
        <f t="shared" si="125"/>
        <v>7.0569437127375281</v>
      </c>
      <c r="E516" s="14">
        <f t="shared" si="131"/>
        <v>1</v>
      </c>
      <c r="F516" s="14">
        <f t="shared" si="126"/>
        <v>-4.0424462098031393</v>
      </c>
      <c r="G516" s="14">
        <f t="shared" si="132"/>
        <v>-1.7125079160944554</v>
      </c>
      <c r="H516" s="14">
        <f t="shared" si="133"/>
        <v>3.6617875411423846</v>
      </c>
      <c r="I516" s="14">
        <f t="shared" si="134"/>
        <v>4.8290336766794546</v>
      </c>
      <c r="J516" s="14">
        <f t="shared" si="127"/>
        <v>-10.374730577263215</v>
      </c>
      <c r="K516" s="14">
        <f t="shared" si="135"/>
        <v>-65.039853201768352</v>
      </c>
      <c r="L516" s="14">
        <f t="shared" si="136"/>
        <v>11.443539697196169</v>
      </c>
      <c r="M516" s="14">
        <f t="shared" si="129"/>
        <v>16.926095834296365</v>
      </c>
      <c r="N516" s="14">
        <f t="shared" si="137"/>
        <v>0.88590269587194026</v>
      </c>
      <c r="O516" s="14">
        <f t="shared" si="128"/>
        <v>0.88590269587194026</v>
      </c>
      <c r="P516" s="14">
        <f t="shared" si="138"/>
        <v>1</v>
      </c>
    </row>
    <row r="517" spans="1:16" x14ac:dyDescent="0.25">
      <c r="A517" s="14">
        <f t="shared" si="130"/>
        <v>2.4649999999999697</v>
      </c>
      <c r="B517" s="14">
        <f t="shared" si="123"/>
        <v>24.81138912699673</v>
      </c>
      <c r="C517" s="14">
        <f t="shared" si="124"/>
        <v>7.0108945942674801</v>
      </c>
      <c r="D517" s="14">
        <f t="shared" si="125"/>
        <v>7.0108945942674801</v>
      </c>
      <c r="E517" s="14">
        <f t="shared" si="131"/>
        <v>1</v>
      </c>
      <c r="F517" s="14">
        <f t="shared" si="126"/>
        <v>-4.0595926248404428</v>
      </c>
      <c r="G517" s="14">
        <f t="shared" si="132"/>
        <v>-1.7130983959235342</v>
      </c>
      <c r="H517" s="14">
        <f t="shared" si="133"/>
        <v>3.6804328774674224</v>
      </c>
      <c r="I517" s="14">
        <f t="shared" si="134"/>
        <v>4.8204681846998367</v>
      </c>
      <c r="J517" s="14">
        <f t="shared" si="127"/>
        <v>-10.405328412875878</v>
      </c>
      <c r="K517" s="14">
        <f t="shared" si="135"/>
        <v>-65.143163375018503</v>
      </c>
      <c r="L517" s="14">
        <f t="shared" si="136"/>
        <v>11.467683850695632</v>
      </c>
      <c r="M517" s="14">
        <f t="shared" si="129"/>
        <v>16.950198175219864</v>
      </c>
      <c r="N517" s="14">
        <f t="shared" si="137"/>
        <v>0.83387605380756091</v>
      </c>
      <c r="O517" s="14">
        <f t="shared" si="128"/>
        <v>0.83387605380756091</v>
      </c>
      <c r="P517" s="14">
        <f t="shared" si="138"/>
        <v>1</v>
      </c>
    </row>
    <row r="518" spans="1:16" x14ac:dyDescent="0.25">
      <c r="A518" s="14">
        <f t="shared" si="130"/>
        <v>2.4699999999999696</v>
      </c>
      <c r="B518" s="14">
        <f t="shared" si="123"/>
        <v>24.861716488309096</v>
      </c>
      <c r="C518" s="14">
        <f t="shared" si="124"/>
        <v>6.9646004757974396</v>
      </c>
      <c r="D518" s="14">
        <f t="shared" si="125"/>
        <v>6.9646004757974396</v>
      </c>
      <c r="E518" s="14">
        <f t="shared" si="131"/>
        <v>1</v>
      </c>
      <c r="F518" s="14">
        <f t="shared" si="126"/>
        <v>-4.0767409598846669</v>
      </c>
      <c r="G518" s="14">
        <f t="shared" si="132"/>
        <v>-1.7136677597887069</v>
      </c>
      <c r="H518" s="14">
        <f t="shared" si="133"/>
        <v>3.6990755146471543</v>
      </c>
      <c r="I518" s="14">
        <f t="shared" si="134"/>
        <v>4.8118998459008928</v>
      </c>
      <c r="J518" s="14">
        <f t="shared" si="127"/>
        <v>-10.435833035302643</v>
      </c>
      <c r="K518" s="14">
        <f t="shared" si="135"/>
        <v>-65.245857400474492</v>
      </c>
      <c r="L518" s="14">
        <f t="shared" si="136"/>
        <v>11.491779290766727</v>
      </c>
      <c r="M518" s="14">
        <f t="shared" si="129"/>
        <v>16.974257674449369</v>
      </c>
      <c r="N518" s="14">
        <f t="shared" si="137"/>
        <v>0.78169688863104769</v>
      </c>
      <c r="O518" s="14">
        <f t="shared" si="128"/>
        <v>0.78169688863104769</v>
      </c>
      <c r="P518" s="14">
        <f t="shared" si="138"/>
        <v>1</v>
      </c>
    </row>
    <row r="519" spans="1:16" x14ac:dyDescent="0.25">
      <c r="A519" s="14">
        <f t="shared" si="130"/>
        <v>2.4749999999999694</v>
      </c>
      <c r="B519" s="14">
        <f t="shared" si="123"/>
        <v>24.912043849621462</v>
      </c>
      <c r="C519" s="14">
        <f t="shared" si="124"/>
        <v>6.9180613573273995</v>
      </c>
      <c r="D519" s="14">
        <f t="shared" si="125"/>
        <v>6.9180613573273995</v>
      </c>
      <c r="E519" s="14">
        <f t="shared" si="131"/>
        <v>1</v>
      </c>
      <c r="F519" s="14">
        <f t="shared" si="126"/>
        <v>-4.0938907292985451</v>
      </c>
      <c r="G519" s="14">
        <f t="shared" si="132"/>
        <v>-1.7142160209493917</v>
      </c>
      <c r="H519" s="14">
        <f t="shared" si="133"/>
        <v>3.7177149886666956</v>
      </c>
      <c r="I519" s="14">
        <f t="shared" si="134"/>
        <v>4.8033287657961461</v>
      </c>
      <c r="J519" s="14">
        <f t="shared" si="127"/>
        <v>-10.466244460359309</v>
      </c>
      <c r="K519" s="14">
        <f t="shared" si="135"/>
        <v>-65.34794033930433</v>
      </c>
      <c r="L519" s="14">
        <f t="shared" si="136"/>
        <v>11.515825647183387</v>
      </c>
      <c r="M519" s="14">
        <f t="shared" si="129"/>
        <v>16.998274318278348</v>
      </c>
      <c r="N519" s="14">
        <f t="shared" si="137"/>
        <v>0.72936566632925115</v>
      </c>
      <c r="O519" s="14">
        <f t="shared" si="128"/>
        <v>0.72936566632925115</v>
      </c>
      <c r="P519" s="14">
        <f t="shared" si="138"/>
        <v>1</v>
      </c>
    </row>
    <row r="520" spans="1:16" x14ac:dyDescent="0.25">
      <c r="A520" s="14">
        <f t="shared" si="130"/>
        <v>2.4799999999999693</v>
      </c>
      <c r="B520" s="14">
        <f t="shared" si="123"/>
        <v>24.962371210933828</v>
      </c>
      <c r="C520" s="14">
        <f t="shared" si="124"/>
        <v>6.8712772388573526</v>
      </c>
      <c r="D520" s="14">
        <f t="shared" si="125"/>
        <v>6.8712772388573526</v>
      </c>
      <c r="E520" s="14">
        <f t="shared" si="131"/>
        <v>1</v>
      </c>
      <c r="F520" s="14">
        <f t="shared" si="126"/>
        <v>-4.1110414504261268</v>
      </c>
      <c r="G520" s="14">
        <f t="shared" si="132"/>
        <v>-1.7147431943832772</v>
      </c>
      <c r="H520" s="14">
        <f t="shared" si="133"/>
        <v>3.7363508379752011</v>
      </c>
      <c r="I520" s="14">
        <f t="shared" si="134"/>
        <v>4.7947550498242295</v>
      </c>
      <c r="J520" s="14">
        <f t="shared" si="127"/>
        <v>-10.496562706169433</v>
      </c>
      <c r="K520" s="14">
        <f t="shared" si="135"/>
        <v>-65.449417204078131</v>
      </c>
      <c r="L520" s="14">
        <f t="shared" si="136"/>
        <v>11.539822556363765</v>
      </c>
      <c r="M520" s="14">
        <f t="shared" si="129"/>
        <v>17.02224809352747</v>
      </c>
      <c r="N520" s="14">
        <f t="shared" si="137"/>
        <v>0.67688285279840399</v>
      </c>
      <c r="O520" s="14">
        <f t="shared" si="128"/>
        <v>0.67688285279840399</v>
      </c>
      <c r="P520" s="14">
        <f t="shared" si="138"/>
        <v>1</v>
      </c>
    </row>
    <row r="521" spans="1:16" x14ac:dyDescent="0.25">
      <c r="A521" s="14">
        <f t="shared" si="130"/>
        <v>2.4849999999999692</v>
      </c>
      <c r="B521" s="14">
        <f t="shared" si="123"/>
        <v>25.012698572246194</v>
      </c>
      <c r="C521" s="14">
        <f t="shared" si="124"/>
        <v>6.8242481203873027</v>
      </c>
      <c r="D521" s="14">
        <f t="shared" si="125"/>
        <v>6.8242481203873027</v>
      </c>
      <c r="E521" s="14">
        <f t="shared" si="131"/>
        <v>1</v>
      </c>
      <c r="F521" s="14">
        <f t="shared" si="126"/>
        <v>-4.1281926436032199</v>
      </c>
      <c r="G521" s="14">
        <f t="shared" si="132"/>
        <v>-1.7152492967622222</v>
      </c>
      <c r="H521" s="14">
        <f t="shared" si="133"/>
        <v>3.7549826035091618</v>
      </c>
      <c r="I521" s="14">
        <f t="shared" si="134"/>
        <v>4.7861788033404187</v>
      </c>
      <c r="J521" s="14">
        <f t="shared" si="127"/>
        <v>-10.526787793151888</v>
      </c>
      <c r="K521" s="14">
        <f t="shared" si="135"/>
        <v>-65.55029295921112</v>
      </c>
      <c r="L521" s="14">
        <f t="shared" si="136"/>
        <v>11.563769661299757</v>
      </c>
      <c r="M521" s="14">
        <f t="shared" si="129"/>
        <v>17.04617898754417</v>
      </c>
      <c r="N521" s="14">
        <f t="shared" si="137"/>
        <v>0.62424891383264458</v>
      </c>
      <c r="O521" s="14">
        <f t="shared" si="128"/>
        <v>0.62424891383264458</v>
      </c>
      <c r="P521" s="14">
        <f t="shared" si="138"/>
        <v>1</v>
      </c>
    </row>
    <row r="522" spans="1:16" x14ac:dyDescent="0.25">
      <c r="A522" s="14">
        <f t="shared" si="130"/>
        <v>2.4899999999999691</v>
      </c>
      <c r="B522" s="14">
        <f t="shared" si="123"/>
        <v>25.06302593355856</v>
      </c>
      <c r="C522" s="14">
        <f t="shared" si="124"/>
        <v>6.7769740019172602</v>
      </c>
      <c r="D522" s="14">
        <f t="shared" si="125"/>
        <v>6.7769740019172602</v>
      </c>
      <c r="E522" s="14">
        <f t="shared" si="131"/>
        <v>1</v>
      </c>
      <c r="F522" s="14">
        <f t="shared" si="126"/>
        <v>-4.1453438321674971</v>
      </c>
      <c r="G522" s="14">
        <f t="shared" si="132"/>
        <v>-1.715734346428341</v>
      </c>
      <c r="H522" s="14">
        <f t="shared" si="133"/>
        <v>3.7736098287151023</v>
      </c>
      <c r="I522" s="14">
        <f t="shared" si="134"/>
        <v>4.7776001316082768</v>
      </c>
      <c r="J522" s="14">
        <f t="shared" si="127"/>
        <v>-10.556919744008312</v>
      </c>
      <c r="K522" s="14">
        <f t="shared" si="135"/>
        <v>-65.650572521404911</v>
      </c>
      <c r="L522" s="14">
        <f t="shared" si="136"/>
        <v>11.587666611487229</v>
      </c>
      <c r="M522" s="14">
        <f t="shared" si="129"/>
        <v>17.07006698820221</v>
      </c>
      <c r="N522" s="14">
        <f t="shared" si="137"/>
        <v>0.57146431511260298</v>
      </c>
      <c r="O522" s="14">
        <f t="shared" si="128"/>
        <v>0.57146431511260298</v>
      </c>
      <c r="P522" s="14">
        <f t="shared" si="138"/>
        <v>1</v>
      </c>
    </row>
    <row r="523" spans="1:16" x14ac:dyDescent="0.25">
      <c r="A523" s="14">
        <f t="shared" si="130"/>
        <v>2.494999999999969</v>
      </c>
      <c r="B523" s="14">
        <f t="shared" si="123"/>
        <v>25.113353294870926</v>
      </c>
      <c r="C523" s="14">
        <f t="shared" si="124"/>
        <v>6.7294548834472216</v>
      </c>
      <c r="D523" s="14">
        <f t="shared" si="125"/>
        <v>6.7294548834472216</v>
      </c>
      <c r="E523" s="14">
        <f t="shared" si="131"/>
        <v>1</v>
      </c>
      <c r="F523" s="14">
        <f t="shared" si="126"/>
        <v>-4.162494542468254</v>
      </c>
      <c r="G523" s="14">
        <f t="shared" si="132"/>
        <v>-1.7161983633703013</v>
      </c>
      <c r="H523" s="14">
        <f t="shared" si="133"/>
        <v>3.7922320595716581</v>
      </c>
      <c r="I523" s="14">
        <f t="shared" si="134"/>
        <v>4.7690191397914257</v>
      </c>
      <c r="J523" s="14">
        <f t="shared" si="127"/>
        <v>-10.586958583710453</v>
      </c>
      <c r="K523" s="14">
        <f t="shared" si="135"/>
        <v>-65.75026076008723</v>
      </c>
      <c r="L523" s="14">
        <f t="shared" si="136"/>
        <v>11.611513062856943</v>
      </c>
      <c r="M523" s="14">
        <f t="shared" si="129"/>
        <v>17.093912083901166</v>
      </c>
      <c r="N523" s="14">
        <f t="shared" si="137"/>
        <v>0.51852952219405068</v>
      </c>
      <c r="O523" s="14">
        <f t="shared" si="128"/>
        <v>0.51852952219405068</v>
      </c>
      <c r="P523" s="14">
        <f t="shared" si="138"/>
        <v>1</v>
      </c>
    </row>
    <row r="524" spans="1:16" x14ac:dyDescent="0.25">
      <c r="A524" s="14">
        <f t="shared" si="130"/>
        <v>2.4999999999999689</v>
      </c>
      <c r="B524" s="14">
        <f t="shared" si="123"/>
        <v>25.163680656183292</v>
      </c>
      <c r="C524" s="14">
        <f t="shared" si="124"/>
        <v>6.6816907649771764</v>
      </c>
      <c r="D524" s="14">
        <f t="shared" si="125"/>
        <v>6.6816907649771764</v>
      </c>
      <c r="E524" s="14">
        <f t="shared" si="131"/>
        <v>1</v>
      </c>
      <c r="F524" s="14">
        <f t="shared" si="126"/>
        <v>-4.1796443038758202</v>
      </c>
      <c r="G524" s="14">
        <f t="shared" si="132"/>
        <v>-1.716641369199791</v>
      </c>
      <c r="H524" s="14">
        <f t="shared" si="133"/>
        <v>3.8108488446110607</v>
      </c>
      <c r="I524" s="14">
        <f t="shared" si="134"/>
        <v>4.7604359329454269</v>
      </c>
      <c r="J524" s="14">
        <f t="shared" si="127"/>
        <v>-10.616904339487398</v>
      </c>
      <c r="K524" s="14">
        <f t="shared" si="135"/>
        <v>-65.849362497849796</v>
      </c>
      <c r="L524" s="14">
        <f t="shared" si="136"/>
        <v>11.635308677706163</v>
      </c>
      <c r="M524" s="14">
        <f t="shared" si="129"/>
        <v>17.117714263565894</v>
      </c>
      <c r="N524" s="14">
        <f t="shared" si="137"/>
        <v>0.46544500049661369</v>
      </c>
      <c r="O524" s="14">
        <f t="shared" si="128"/>
        <v>0.46544500049661369</v>
      </c>
      <c r="P524" s="14">
        <f t="shared" si="138"/>
        <v>1</v>
      </c>
    </row>
    <row r="525" spans="1:16" x14ac:dyDescent="0.25">
      <c r="A525" s="14">
        <f t="shared" si="130"/>
        <v>2.5049999999999688</v>
      </c>
      <c r="B525" s="14">
        <f t="shared" si="123"/>
        <v>25.214008017495658</v>
      </c>
      <c r="C525" s="14">
        <f t="shared" si="124"/>
        <v>6.633681646507128</v>
      </c>
      <c r="D525" s="14">
        <f t="shared" si="125"/>
        <v>6.633681646507128</v>
      </c>
      <c r="E525" s="14">
        <f t="shared" si="131"/>
        <v>1</v>
      </c>
      <c r="F525" s="14">
        <f t="shared" si="126"/>
        <v>-4.1967926487906348</v>
      </c>
      <c r="G525" s="14">
        <f t="shared" si="132"/>
        <v>-1.7170633871281886</v>
      </c>
      <c r="H525" s="14">
        <f t="shared" si="133"/>
        <v>3.8294597349400323</v>
      </c>
      <c r="I525" s="14">
        <f t="shared" si="134"/>
        <v>4.7518506160097855</v>
      </c>
      <c r="J525" s="14">
        <f t="shared" si="127"/>
        <v>-10.646757040812698</v>
      </c>
      <c r="K525" s="14">
        <f t="shared" si="135"/>
        <v>-65.947882510884313</v>
      </c>
      <c r="L525" s="14">
        <f t="shared" si="136"/>
        <v>11.659053124630976</v>
      </c>
      <c r="M525" s="14">
        <f t="shared" si="129"/>
        <v>17.141473516645942</v>
      </c>
      <c r="N525" s="14">
        <f t="shared" si="137"/>
        <v>0.41221121529255023</v>
      </c>
      <c r="O525" s="14">
        <f t="shared" si="128"/>
        <v>0.41221121529255023</v>
      </c>
      <c r="P525" s="14">
        <f t="shared" si="138"/>
        <v>1</v>
      </c>
    </row>
    <row r="526" spans="1:16" x14ac:dyDescent="0.25">
      <c r="A526" s="14">
        <f t="shared" si="130"/>
        <v>2.5099999999999687</v>
      </c>
      <c r="B526" s="14">
        <f t="shared" si="123"/>
        <v>25.264335378808024</v>
      </c>
      <c r="C526" s="14">
        <f t="shared" si="124"/>
        <v>6.5854275280370906</v>
      </c>
      <c r="D526" s="14">
        <f t="shared" si="125"/>
        <v>6.5854275280370906</v>
      </c>
      <c r="E526" s="14">
        <f t="shared" si="131"/>
        <v>1</v>
      </c>
      <c r="F526" s="14">
        <f t="shared" si="126"/>
        <v>-4.2139391126519872</v>
      </c>
      <c r="G526" s="14">
        <f t="shared" si="132"/>
        <v>-1.7174644419434237</v>
      </c>
      <c r="H526" s="14">
        <f t="shared" si="133"/>
        <v>3.8480642842600981</v>
      </c>
      <c r="I526" s="14">
        <f t="shared" si="134"/>
        <v>4.7432632938000685</v>
      </c>
      <c r="J526" s="14">
        <f t="shared" si="127"/>
        <v>-10.676516719391397</v>
      </c>
      <c r="K526" s="14">
        <f t="shared" si="135"/>
        <v>-66.045825529416604</v>
      </c>
      <c r="L526" s="14">
        <f t="shared" si="136"/>
        <v>11.682746078459255</v>
      </c>
      <c r="M526" s="14">
        <f t="shared" si="129"/>
        <v>17.16518983311494</v>
      </c>
      <c r="N526" s="14">
        <f t="shared" si="137"/>
        <v>0.35882863169559326</v>
      </c>
      <c r="O526" s="14">
        <f t="shared" si="128"/>
        <v>0.35882863169559326</v>
      </c>
      <c r="P526" s="14">
        <f t="shared" si="138"/>
        <v>1</v>
      </c>
    </row>
    <row r="527" spans="1:16" x14ac:dyDescent="0.25">
      <c r="A527" s="14">
        <f t="shared" si="130"/>
        <v>2.5149999999999686</v>
      </c>
      <c r="B527" s="14">
        <f t="shared" si="123"/>
        <v>25.31466274012039</v>
      </c>
      <c r="C527" s="14">
        <f t="shared" si="124"/>
        <v>6.536928409567043</v>
      </c>
      <c r="D527" s="14">
        <f t="shared" si="125"/>
        <v>6.536928409567043</v>
      </c>
      <c r="E527" s="14">
        <f t="shared" si="131"/>
        <v>1</v>
      </c>
      <c r="F527" s="14">
        <f t="shared" si="126"/>
        <v>-4.2310832339464088</v>
      </c>
      <c r="G527" s="14">
        <f t="shared" si="132"/>
        <v>-1.7178445599870171</v>
      </c>
      <c r="H527" s="14">
        <f t="shared" si="133"/>
        <v>3.86666204888731</v>
      </c>
      <c r="I527" s="14">
        <f t="shared" si="134"/>
        <v>4.7346740710001338</v>
      </c>
      <c r="J527" s="14">
        <f t="shared" si="127"/>
        <v>-10.706183409146961</v>
      </c>
      <c r="K527" s="14">
        <f t="shared" si="135"/>
        <v>-66.143196238138557</v>
      </c>
      <c r="L527" s="14">
        <f t="shared" si="136"/>
        <v>11.706387220184313</v>
      </c>
      <c r="M527" s="14">
        <f t="shared" si="129"/>
        <v>17.188863203469943</v>
      </c>
      <c r="N527" s="14">
        <f t="shared" si="137"/>
        <v>0.30529771464985844</v>
      </c>
      <c r="O527" s="14">
        <f t="shared" si="128"/>
        <v>0.30529771464985844</v>
      </c>
      <c r="P527" s="14">
        <f t="shared" si="138"/>
        <v>1</v>
      </c>
    </row>
    <row r="528" spans="1:16" x14ac:dyDescent="0.25">
      <c r="A528" s="14">
        <f t="shared" si="130"/>
        <v>2.5199999999999685</v>
      </c>
      <c r="B528" s="14">
        <f t="shared" si="123"/>
        <v>25.364990101432756</v>
      </c>
      <c r="C528" s="14">
        <f t="shared" si="124"/>
        <v>6.4881842910969993</v>
      </c>
      <c r="D528" s="14">
        <f t="shared" si="125"/>
        <v>6.4881842910969993</v>
      </c>
      <c r="E528" s="14">
        <f t="shared" si="131"/>
        <v>1</v>
      </c>
      <c r="F528" s="14">
        <f t="shared" si="126"/>
        <v>-4.2482245542157324</v>
      </c>
      <c r="G528" s="14">
        <f t="shared" si="132"/>
        <v>-1.7182037691313141</v>
      </c>
      <c r="H528" s="14">
        <f t="shared" si="133"/>
        <v>3.8852525877714057</v>
      </c>
      <c r="I528" s="14">
        <f t="shared" si="134"/>
        <v>4.7260830521544772</v>
      </c>
      <c r="J528" s="14">
        <f t="shared" si="127"/>
        <v>-10.735757146208105</v>
      </c>
      <c r="K528" s="14">
        <f t="shared" si="135"/>
        <v>-66.239999276638017</v>
      </c>
      <c r="L528" s="14">
        <f t="shared" si="136"/>
        <v>11.72997623689921</v>
      </c>
      <c r="M528" s="14">
        <f t="shared" si="129"/>
        <v>17.212493618730715</v>
      </c>
      <c r="N528" s="14">
        <f t="shared" si="137"/>
        <v>0.25161892891881793</v>
      </c>
      <c r="O528" s="14">
        <f t="shared" si="128"/>
        <v>0.25161892891881793</v>
      </c>
      <c r="P528" s="14">
        <f t="shared" si="138"/>
        <v>1</v>
      </c>
    </row>
    <row r="529" spans="1:16" x14ac:dyDescent="0.25">
      <c r="A529" s="14">
        <f t="shared" si="130"/>
        <v>2.5249999999999684</v>
      </c>
      <c r="B529" s="14">
        <f t="shared" si="123"/>
        <v>25.415317462745122</v>
      </c>
      <c r="C529" s="14">
        <f t="shared" si="124"/>
        <v>6.4391951726269525</v>
      </c>
      <c r="D529" s="14">
        <f t="shared" si="125"/>
        <v>6.4391951726269525</v>
      </c>
      <c r="E529" s="14">
        <f t="shared" si="131"/>
        <v>1</v>
      </c>
      <c r="F529" s="14">
        <f t="shared" si="126"/>
        <v>-4.2653626180648248</v>
      </c>
      <c r="G529" s="14">
        <f t="shared" si="132"/>
        <v>-1.7185420987569067</v>
      </c>
      <c r="H529" s="14">
        <f t="shared" si="133"/>
        <v>3.9038354625144005</v>
      </c>
      <c r="I529" s="14">
        <f t="shared" si="134"/>
        <v>4.7174903416606924</v>
      </c>
      <c r="J529" s="14">
        <f t="shared" si="127"/>
        <v>-10.765237968895534</v>
      </c>
      <c r="K529" s="14">
        <f t="shared" si="135"/>
        <v>-66.336239239826355</v>
      </c>
      <c r="L529" s="14">
        <f t="shared" si="136"/>
        <v>11.75351282173172</v>
      </c>
      <c r="M529" s="14">
        <f t="shared" si="129"/>
        <v>17.236081070439017</v>
      </c>
      <c r="N529" s="14">
        <f t="shared" si="137"/>
        <v>0.19779273907434025</v>
      </c>
      <c r="O529" s="14">
        <f t="shared" si="128"/>
        <v>0.19779273907434025</v>
      </c>
      <c r="P529" s="14">
        <f t="shared" si="138"/>
        <v>1</v>
      </c>
    </row>
    <row r="530" spans="1:16" x14ac:dyDescent="0.25">
      <c r="A530" s="14">
        <f t="shared" si="130"/>
        <v>2.5299999999999683</v>
      </c>
      <c r="B530" s="14">
        <f t="shared" si="123"/>
        <v>25.465644824057488</v>
      </c>
      <c r="C530" s="14">
        <f t="shared" si="124"/>
        <v>6.3899610541569167</v>
      </c>
      <c r="D530" s="14">
        <f t="shared" si="125"/>
        <v>6.3899610541569167</v>
      </c>
      <c r="E530" s="14">
        <f t="shared" si="131"/>
        <v>1</v>
      </c>
      <c r="F530" s="14">
        <f t="shared" si="126"/>
        <v>-4.2824969731689704</v>
      </c>
      <c r="G530" s="14">
        <f t="shared" si="132"/>
        <v>-1.7188595797302397</v>
      </c>
      <c r="H530" s="14">
        <f t="shared" si="133"/>
        <v>3.9224102373886107</v>
      </c>
      <c r="I530" s="14">
        <f t="shared" si="134"/>
        <v>4.7088960437620413</v>
      </c>
      <c r="J530" s="14">
        <f t="shared" si="127"/>
        <v>-10.79462591770859</v>
      </c>
      <c r="K530" s="14">
        <f t="shared" si="135"/>
        <v>-66.43192067836398</v>
      </c>
      <c r="L530" s="14">
        <f t="shared" si="136"/>
        <v>11.776996673779943</v>
      </c>
      <c r="M530" s="14">
        <f t="shared" si="129"/>
        <v>17.259625550657827</v>
      </c>
      <c r="N530" s="14">
        <f t="shared" si="137"/>
        <v>0.14381960948579731</v>
      </c>
      <c r="O530" s="14">
        <f t="shared" si="128"/>
        <v>0.14381960948579731</v>
      </c>
      <c r="P530" s="14">
        <f t="shared" si="138"/>
        <v>1</v>
      </c>
    </row>
    <row r="531" spans="1:16" x14ac:dyDescent="0.25">
      <c r="A531" s="14">
        <f t="shared" si="130"/>
        <v>2.5349999999999682</v>
      </c>
      <c r="B531" s="14">
        <f t="shared" si="123"/>
        <v>25.515972185369854</v>
      </c>
      <c r="C531" s="14">
        <f t="shared" si="124"/>
        <v>6.3404819356868671</v>
      </c>
      <c r="D531" s="14">
        <f t="shared" si="125"/>
        <v>6.3404819356868671</v>
      </c>
      <c r="E531" s="14">
        <f t="shared" si="131"/>
        <v>1</v>
      </c>
      <c r="F531" s="14">
        <f t="shared" si="126"/>
        <v>-4.2996271702809388</v>
      </c>
      <c r="G531" s="14">
        <f t="shared" si="132"/>
        <v>-1.7191562443813939</v>
      </c>
      <c r="H531" s="14">
        <f t="shared" si="133"/>
        <v>3.9409764793541373</v>
      </c>
      <c r="I531" s="14">
        <f t="shared" si="134"/>
        <v>4.700300262540134</v>
      </c>
      <c r="J531" s="14">
        <f t="shared" si="127"/>
        <v>-10.82392103531182</v>
      </c>
      <c r="K531" s="14">
        <f t="shared" si="135"/>
        <v>-66.527048099083288</v>
      </c>
      <c r="L531" s="14">
        <f t="shared" si="136"/>
        <v>11.800427498048558</v>
      </c>
      <c r="M531" s="14">
        <f t="shared" si="129"/>
        <v>17.283127051970528</v>
      </c>
      <c r="N531" s="14">
        <f t="shared" si="137"/>
        <v>8.9700004309238204E-2</v>
      </c>
      <c r="O531" s="14">
        <f t="shared" si="128"/>
        <v>8.9700004309238204E-2</v>
      </c>
      <c r="P531" s="14">
        <f t="shared" si="138"/>
        <v>1</v>
      </c>
    </row>
    <row r="532" spans="1:16" x14ac:dyDescent="0.25">
      <c r="A532" s="14">
        <f t="shared" si="130"/>
        <v>2.5399999999999681</v>
      </c>
      <c r="B532" s="14">
        <f t="shared" si="123"/>
        <v>25.56629954668222</v>
      </c>
      <c r="C532" s="14">
        <f t="shared" si="124"/>
        <v>6.290757817216825</v>
      </c>
      <c r="D532" s="14">
        <f t="shared" si="125"/>
        <v>6.290757817216825</v>
      </c>
      <c r="E532" s="14">
        <f t="shared" si="131"/>
        <v>1</v>
      </c>
      <c r="F532" s="14">
        <f t="shared" si="126"/>
        <v>-4.3167527632377167</v>
      </c>
      <c r="G532" s="14">
        <f t="shared" si="132"/>
        <v>-1.7194321264820671</v>
      </c>
      <c r="H532" s="14">
        <f t="shared" si="133"/>
        <v>3.9595337580757941</v>
      </c>
      <c r="I532" s="14">
        <f t="shared" si="134"/>
        <v>4.6917031019077235</v>
      </c>
      <c r="J532" s="14">
        <f t="shared" si="127"/>
        <v>-10.853123366521441</v>
      </c>
      <c r="K532" s="14">
        <f t="shared" si="135"/>
        <v>-66.62162596540928</v>
      </c>
      <c r="L532" s="14">
        <f t="shared" si="136"/>
        <v>11.823805005385713</v>
      </c>
      <c r="M532" s="14">
        <f t="shared" si="129"/>
        <v>17.306585567480067</v>
      </c>
      <c r="N532" s="14">
        <f t="shared" si="137"/>
        <v>3.5434387476630996E-2</v>
      </c>
      <c r="O532" s="14">
        <f t="shared" si="128"/>
        <v>3.5434387476630996E-2</v>
      </c>
      <c r="P532" s="14">
        <f t="shared" si="138"/>
        <v>1</v>
      </c>
    </row>
    <row r="533" spans="1:16" x14ac:dyDescent="0.25">
      <c r="A533" s="14">
        <f t="shared" si="130"/>
        <v>2.544999999999968</v>
      </c>
      <c r="B533" s="14">
        <f t="shared" si="123"/>
        <v>25.616626907994586</v>
      </c>
      <c r="C533" s="14">
        <f t="shared" si="124"/>
        <v>6.2407886987467869</v>
      </c>
      <c r="D533" s="14">
        <f t="shared" si="125"/>
        <v>6.2407886987467869</v>
      </c>
      <c r="E533" s="14">
        <f t="shared" si="131"/>
        <v>1</v>
      </c>
      <c r="F533" s="14">
        <f t="shared" si="126"/>
        <v>-4.3338733089669121</v>
      </c>
      <c r="G533" s="14">
        <f t="shared" si="132"/>
        <v>-1.7196872612237266</v>
      </c>
      <c r="H533" s="14">
        <f t="shared" si="133"/>
        <v>3.9780816459394912</v>
      </c>
      <c r="I533" s="14">
        <f t="shared" si="134"/>
        <v>4.6831046656016051</v>
      </c>
      <c r="J533" s="14">
        <f t="shared" si="127"/>
        <v>-10.882232958291743</v>
      </c>
      <c r="K533" s="14">
        <f t="shared" si="135"/>
        <v>-66.71565869777767</v>
      </c>
      <c r="L533" s="14">
        <f t="shared" si="136"/>
        <v>11.847128912420535</v>
      </c>
      <c r="M533" s="14">
        <f t="shared" si="129"/>
        <v>17.306585567480067</v>
      </c>
      <c r="N533" s="14">
        <f t="shared" si="137"/>
        <v>-1.897677731482772E-2</v>
      </c>
      <c r="O533" s="14">
        <f t="shared" si="128"/>
        <v>0</v>
      </c>
      <c r="P533" s="14">
        <f t="shared" si="138"/>
        <v>0</v>
      </c>
    </row>
    <row r="534" spans="1:16" x14ac:dyDescent="0.25">
      <c r="A534" s="14">
        <f t="shared" si="130"/>
        <v>2.5499999999999678</v>
      </c>
      <c r="B534" s="14">
        <f t="shared" si="123"/>
        <v>25.666954269306952</v>
      </c>
      <c r="C534" s="14">
        <f t="shared" si="124"/>
        <v>6.1905745802767385</v>
      </c>
      <c r="D534" s="14">
        <f t="shared" si="125"/>
        <v>6.1905745802767385</v>
      </c>
      <c r="E534" s="14">
        <f t="shared" si="131"/>
        <v>1</v>
      </c>
      <c r="F534" s="14">
        <f t="shared" si="126"/>
        <v>-4.3509883674928282</v>
      </c>
      <c r="G534" s="14">
        <f t="shared" si="132"/>
        <v>-1.7199216851959489</v>
      </c>
      <c r="H534" s="14">
        <f t="shared" si="133"/>
        <v>3.9966197180680867</v>
      </c>
      <c r="I534" s="14">
        <f t="shared" si="134"/>
        <v>4.674505057175625</v>
      </c>
      <c r="J534" s="14">
        <f t="shared" si="127"/>
        <v>-10.911249859701403</v>
      </c>
      <c r="K534" s="14">
        <f t="shared" si="135"/>
        <v>-66.809150674050613</v>
      </c>
      <c r="L534" s="14">
        <f t="shared" si="136"/>
        <v>11.870398941501266</v>
      </c>
      <c r="M534" s="14">
        <f t="shared" si="129"/>
        <v>17.306585567480067</v>
      </c>
      <c r="N534" s="14">
        <f t="shared" si="137"/>
        <v>-7.3533026613334745E-2</v>
      </c>
      <c r="O534" s="14">
        <f t="shared" si="128"/>
        <v>0</v>
      </c>
      <c r="P534" s="14">
        <f t="shared" si="138"/>
        <v>0</v>
      </c>
    </row>
    <row r="535" spans="1:16" x14ac:dyDescent="0.25">
      <c r="A535" s="14">
        <f t="shared" si="130"/>
        <v>2.5549999999999677</v>
      </c>
      <c r="B535" s="14">
        <f t="shared" si="123"/>
        <v>25.717281630619318</v>
      </c>
      <c r="C535" s="14">
        <f t="shared" si="124"/>
        <v>6.140115461806694</v>
      </c>
      <c r="D535" s="14">
        <f t="shared" si="125"/>
        <v>6.140115461806694</v>
      </c>
      <c r="E535" s="14">
        <f t="shared" si="131"/>
        <v>1</v>
      </c>
      <c r="F535" s="14">
        <f t="shared" si="126"/>
        <v>-4.3680975019422261</v>
      </c>
      <c r="G535" s="14">
        <f t="shared" si="132"/>
        <v>-1.7201354363649359</v>
      </c>
      <c r="H535" s="14">
        <f t="shared" si="133"/>
        <v>4.0151475523367166</v>
      </c>
      <c r="I535" s="14">
        <f t="shared" si="134"/>
        <v>4.6659043799938003</v>
      </c>
      <c r="J535" s="14">
        <f t="shared" si="127"/>
        <v>-10.940174121939719</v>
      </c>
      <c r="K535" s="14">
        <f t="shared" si="135"/>
        <v>-66.902106229929615</v>
      </c>
      <c r="L535" s="14">
        <f t="shared" si="136"/>
        <v>11.893614820634005</v>
      </c>
      <c r="M535" s="14">
        <f t="shared" si="129"/>
        <v>17.306585567480067</v>
      </c>
      <c r="N535" s="14">
        <f t="shared" si="137"/>
        <v>-0.12823389722303336</v>
      </c>
      <c r="O535" s="14">
        <f t="shared" si="128"/>
        <v>0</v>
      </c>
      <c r="P535" s="14">
        <f t="shared" si="138"/>
        <v>0</v>
      </c>
    </row>
    <row r="536" spans="1:16" x14ac:dyDescent="0.25">
      <c r="A536" s="14">
        <f t="shared" si="130"/>
        <v>2.5599999999999676</v>
      </c>
      <c r="B536" s="14">
        <f t="shared" ref="B536:B599" si="139">IF(E536=0,B535,$B$19*A536)</f>
        <v>25.767608991931684</v>
      </c>
      <c r="C536" s="14">
        <f t="shared" si="124"/>
        <v>6.0894113433366499</v>
      </c>
      <c r="D536" s="14">
        <f t="shared" si="125"/>
        <v>6.0894113433366499</v>
      </c>
      <c r="E536" s="14">
        <f t="shared" si="131"/>
        <v>1</v>
      </c>
      <c r="F536" s="14">
        <f t="shared" si="126"/>
        <v>-4.3852002785497497</v>
      </c>
      <c r="G536" s="14">
        <f t="shared" si="132"/>
        <v>-1.7203285540522164</v>
      </c>
      <c r="H536" s="14">
        <f t="shared" si="133"/>
        <v>4.033664729387584</v>
      </c>
      <c r="I536" s="14">
        <f t="shared" si="134"/>
        <v>4.6573027372235396</v>
      </c>
      <c r="J536" s="14">
        <f t="shared" si="127"/>
        <v>-10.969005798292782</v>
      </c>
      <c r="K536" s="14">
        <f t="shared" si="135"/>
        <v>-66.994529659365966</v>
      </c>
      <c r="L536" s="14">
        <f t="shared" si="136"/>
        <v>11.916776283422063</v>
      </c>
      <c r="M536" s="14">
        <f t="shared" si="129"/>
        <v>17.306585567480067</v>
      </c>
      <c r="N536" s="14">
        <f t="shared" si="137"/>
        <v>-0.18307892621449728</v>
      </c>
      <c r="O536" s="14">
        <f t="shared" si="128"/>
        <v>0</v>
      </c>
      <c r="P536" s="14">
        <f t="shared" si="138"/>
        <v>0</v>
      </c>
    </row>
    <row r="537" spans="1:16" x14ac:dyDescent="0.25">
      <c r="A537" s="14">
        <f t="shared" si="130"/>
        <v>2.5649999999999675</v>
      </c>
      <c r="B537" s="14">
        <f t="shared" si="139"/>
        <v>25.81793635324405</v>
      </c>
      <c r="C537" s="14">
        <f t="shared" ref="C537:C600" si="140">$B$20*A537+0.5*$B$16*A537^2+$B$17</f>
        <v>6.0384622248666133</v>
      </c>
      <c r="D537" s="14">
        <f t="shared" ref="D537:D600" si="141">IF(E537=1,C537,$B$18)</f>
        <v>6.0384622248666133</v>
      </c>
      <c r="E537" s="14">
        <f t="shared" si="131"/>
        <v>1</v>
      </c>
      <c r="F537" s="14">
        <f t="shared" ref="F537:F600" si="142">-$E$13*L536^2</f>
        <v>-4.4022962666630479</v>
      </c>
      <c r="G537" s="14">
        <f t="shared" si="132"/>
        <v>-1.7205010789135258</v>
      </c>
      <c r="H537" s="14">
        <f t="shared" si="133"/>
        <v>4.0521708326442507</v>
      </c>
      <c r="I537" s="14">
        <f t="shared" si="134"/>
        <v>4.6487002318289719</v>
      </c>
      <c r="J537" s="14">
        <f t="shared" ref="J537:J600" si="143">J536+(H537+$B$16)*$A$22</f>
        <v>-10.997744944129561</v>
      </c>
      <c r="K537" s="14">
        <f t="shared" si="135"/>
        <v>-67.086425214968486</v>
      </c>
      <c r="L537" s="14">
        <f t="shared" si="136"/>
        <v>11.939883069005912</v>
      </c>
      <c r="M537" s="14">
        <f t="shared" si="129"/>
        <v>17.306585567480067</v>
      </c>
      <c r="N537" s="14">
        <f t="shared" si="137"/>
        <v>-0.23806765093514509</v>
      </c>
      <c r="O537" s="14">
        <f t="shared" ref="O537:O600" si="144">IF(P537=1,N537,$B$18)</f>
        <v>0</v>
      </c>
      <c r="P537" s="14">
        <f t="shared" si="138"/>
        <v>0</v>
      </c>
    </row>
    <row r="538" spans="1:16" x14ac:dyDescent="0.25">
      <c r="A538" s="14">
        <f t="shared" si="130"/>
        <v>2.5699999999999674</v>
      </c>
      <c r="B538" s="14">
        <f t="shared" si="139"/>
        <v>25.868263714556416</v>
      </c>
      <c r="C538" s="14">
        <f t="shared" si="140"/>
        <v>5.9872681063965629</v>
      </c>
      <c r="D538" s="14">
        <f t="shared" si="141"/>
        <v>5.9872681063965629</v>
      </c>
      <c r="E538" s="14">
        <f t="shared" si="131"/>
        <v>1</v>
      </c>
      <c r="F538" s="14">
        <f t="shared" si="142"/>
        <v>-4.4193850387475546</v>
      </c>
      <c r="G538" s="14">
        <f t="shared" si="132"/>
        <v>-1.7206530529178561</v>
      </c>
      <c r="H538" s="14">
        <f t="shared" si="133"/>
        <v>4.0706654483253946</v>
      </c>
      <c r="I538" s="14">
        <f t="shared" si="134"/>
        <v>4.640096966564383</v>
      </c>
      <c r="J538" s="14">
        <f t="shared" si="143"/>
        <v>-11.026391616887935</v>
      </c>
      <c r="K538" s="14">
        <f t="shared" si="135"/>
        <v>-67.177797108408512</v>
      </c>
      <c r="L538" s="14">
        <f t="shared" si="136"/>
        <v>11.962934922003734</v>
      </c>
      <c r="M538" s="14">
        <f t="shared" ref="M538:M601" si="145">IF(P538=0,M537,M537+I538*$A$22)</f>
        <v>17.306585567480067</v>
      </c>
      <c r="N538" s="14">
        <f t="shared" si="137"/>
        <v>-0.29319960901958475</v>
      </c>
      <c r="O538" s="14">
        <f t="shared" si="144"/>
        <v>0</v>
      </c>
      <c r="P538" s="14">
        <f t="shared" si="138"/>
        <v>0</v>
      </c>
    </row>
    <row r="539" spans="1:16" x14ac:dyDescent="0.25">
      <c r="A539" s="14">
        <f t="shared" si="130"/>
        <v>2.5749999999999673</v>
      </c>
      <c r="B539" s="14">
        <f t="shared" si="139"/>
        <v>25.918591075868783</v>
      </c>
      <c r="C539" s="14">
        <f t="shared" si="140"/>
        <v>5.93582898792652</v>
      </c>
      <c r="D539" s="14">
        <f t="shared" si="141"/>
        <v>5.93582898792652</v>
      </c>
      <c r="E539" s="14">
        <f t="shared" si="131"/>
        <v>1</v>
      </c>
      <c r="F539" s="14">
        <f t="shared" si="142"/>
        <v>-4.4364661703909913</v>
      </c>
      <c r="G539" s="14">
        <f t="shared" si="132"/>
        <v>-1.720784519326696</v>
      </c>
      <c r="H539" s="14">
        <f t="shared" si="133"/>
        <v>4.089148165458095</v>
      </c>
      <c r="I539" s="14">
        <f t="shared" si="134"/>
        <v>4.6314930439677493</v>
      </c>
      <c r="J539" s="14">
        <f t="shared" si="143"/>
        <v>-11.054945876060644</v>
      </c>
      <c r="K539" s="14">
        <f t="shared" si="135"/>
        <v>-67.268649510822172</v>
      </c>
      <c r="L539" s="14">
        <f t="shared" si="136"/>
        <v>11.985931592452541</v>
      </c>
      <c r="M539" s="14">
        <f t="shared" si="145"/>
        <v>17.306585567480067</v>
      </c>
      <c r="N539" s="14">
        <f t="shared" si="137"/>
        <v>-0.34847433839988795</v>
      </c>
      <c r="O539" s="14">
        <f t="shared" si="144"/>
        <v>0</v>
      </c>
      <c r="P539" s="14">
        <f t="shared" si="138"/>
        <v>0</v>
      </c>
    </row>
    <row r="540" spans="1:16" x14ac:dyDescent="0.25">
      <c r="A540" s="14">
        <f t="shared" si="130"/>
        <v>2.5799999999999672</v>
      </c>
      <c r="B540" s="14">
        <f t="shared" si="139"/>
        <v>25.968918437181149</v>
      </c>
      <c r="C540" s="14">
        <f t="shared" si="140"/>
        <v>5.8841448694564775</v>
      </c>
      <c r="D540" s="14">
        <f t="shared" si="141"/>
        <v>5.8841448694564775</v>
      </c>
      <c r="E540" s="14">
        <f t="shared" si="131"/>
        <v>1</v>
      </c>
      <c r="F540" s="14">
        <f t="shared" si="142"/>
        <v>-4.4535392403075091</v>
      </c>
      <c r="G540" s="14">
        <f t="shared" si="132"/>
        <v>-1.7208955226734339</v>
      </c>
      <c r="H540" s="14">
        <f t="shared" si="133"/>
        <v>4.1076185758905748</v>
      </c>
      <c r="I540" s="14">
        <f t="shared" si="134"/>
        <v>4.6228885663543817</v>
      </c>
      <c r="J540" s="14">
        <f t="shared" si="143"/>
        <v>-11.083407783181192</v>
      </c>
      <c r="K540" s="14">
        <f t="shared" si="135"/>
        <v>-67.358986553209746</v>
      </c>
      <c r="L540" s="14">
        <f t="shared" si="136"/>
        <v>12.008872835749886</v>
      </c>
      <c r="M540" s="14">
        <f t="shared" si="145"/>
        <v>17.306585567480067</v>
      </c>
      <c r="N540" s="14">
        <f t="shared" si="137"/>
        <v>-0.40389137731579394</v>
      </c>
      <c r="O540" s="14">
        <f t="shared" si="144"/>
        <v>0</v>
      </c>
      <c r="P540" s="14">
        <f t="shared" si="138"/>
        <v>0</v>
      </c>
    </row>
    <row r="541" spans="1:16" x14ac:dyDescent="0.25">
      <c r="A541" s="14">
        <f t="shared" si="130"/>
        <v>2.5849999999999671</v>
      </c>
      <c r="B541" s="14">
        <f t="shared" si="139"/>
        <v>26.019245798493515</v>
      </c>
      <c r="C541" s="14">
        <f t="shared" si="140"/>
        <v>5.8322157509864354</v>
      </c>
      <c r="D541" s="14">
        <f t="shared" si="141"/>
        <v>5.8322157509864354</v>
      </c>
      <c r="E541" s="14">
        <f t="shared" si="131"/>
        <v>1</v>
      </c>
      <c r="F541" s="14">
        <f t="shared" si="142"/>
        <v>-4.4706038303415561</v>
      </c>
      <c r="G541" s="14">
        <f t="shared" si="132"/>
        <v>-1.7209861087429479</v>
      </c>
      <c r="H541" s="14">
        <f t="shared" si="133"/>
        <v>4.126076274304487</v>
      </c>
      <c r="I541" s="14">
        <f t="shared" si="134"/>
        <v>4.6142836358106667</v>
      </c>
      <c r="J541" s="14">
        <f t="shared" si="143"/>
        <v>-11.11177740180967</v>
      </c>
      <c r="K541" s="14">
        <f t="shared" si="135"/>
        <v>-67.448812326832382</v>
      </c>
      <c r="L541" s="14">
        <f t="shared" si="136"/>
        <v>12.031758412596147</v>
      </c>
      <c r="M541" s="14">
        <f t="shared" si="145"/>
        <v>17.306585567480067</v>
      </c>
      <c r="N541" s="14">
        <f t="shared" si="137"/>
        <v>-0.45945026432484232</v>
      </c>
      <c r="O541" s="14">
        <f t="shared" si="144"/>
        <v>0</v>
      </c>
      <c r="P541" s="14">
        <f t="shared" si="138"/>
        <v>0</v>
      </c>
    </row>
    <row r="542" spans="1:16" x14ac:dyDescent="0.25">
      <c r="A542" s="14">
        <f t="shared" si="130"/>
        <v>2.589999999999967</v>
      </c>
      <c r="B542" s="14">
        <f t="shared" si="139"/>
        <v>26.069573159805881</v>
      </c>
      <c r="C542" s="14">
        <f t="shared" si="140"/>
        <v>5.7800416325163866</v>
      </c>
      <c r="D542" s="14">
        <f t="shared" si="141"/>
        <v>5.7800416325163866</v>
      </c>
      <c r="E542" s="14">
        <f t="shared" si="131"/>
        <v>1</v>
      </c>
      <c r="F542" s="14">
        <f t="shared" si="142"/>
        <v>-4.4876595254714227</v>
      </c>
      <c r="G542" s="14">
        <f t="shared" si="132"/>
        <v>-1.7210563245513617</v>
      </c>
      <c r="H542" s="14">
        <f t="shared" si="133"/>
        <v>4.1445208582266968</v>
      </c>
      <c r="I542" s="14">
        <f t="shared" si="134"/>
        <v>4.6056783541879103</v>
      </c>
      <c r="J542" s="14">
        <f t="shared" si="143"/>
        <v>-11.140054797518536</v>
      </c>
      <c r="K542" s="14">
        <f t="shared" si="135"/>
        <v>-67.538130883605817</v>
      </c>
      <c r="L542" s="14">
        <f t="shared" si="136"/>
        <v>12.054588088937374</v>
      </c>
      <c r="M542" s="14">
        <f t="shared" si="145"/>
        <v>17.306585567480067</v>
      </c>
      <c r="N542" s="14">
        <f t="shared" si="137"/>
        <v>-0.51515053831243496</v>
      </c>
      <c r="O542" s="14">
        <f t="shared" si="144"/>
        <v>0</v>
      </c>
      <c r="P542" s="14">
        <f t="shared" si="138"/>
        <v>0</v>
      </c>
    </row>
    <row r="543" spans="1:16" x14ac:dyDescent="0.25">
      <c r="A543" s="14">
        <f t="shared" si="130"/>
        <v>2.5949999999999669</v>
      </c>
      <c r="B543" s="14">
        <f t="shared" si="139"/>
        <v>26.119900521118247</v>
      </c>
      <c r="C543" s="14">
        <f t="shared" si="140"/>
        <v>5.7276225140463453</v>
      </c>
      <c r="D543" s="14">
        <f t="shared" si="141"/>
        <v>5.7276225140463453</v>
      </c>
      <c r="E543" s="14">
        <f t="shared" si="131"/>
        <v>1</v>
      </c>
      <c r="F543" s="14">
        <f t="shared" si="142"/>
        <v>-4.504705913812475</v>
      </c>
      <c r="G543" s="14">
        <f t="shared" si="132"/>
        <v>-1.7211062183259784</v>
      </c>
      <c r="H543" s="14">
        <f t="shared" si="133"/>
        <v>4.1629519280405738</v>
      </c>
      <c r="I543" s="14">
        <f t="shared" si="134"/>
        <v>4.5970728230962807</v>
      </c>
      <c r="J543" s="14">
        <f t="shared" si="143"/>
        <v>-11.168240037878332</v>
      </c>
      <c r="K543" s="14">
        <f t="shared" si="135"/>
        <v>-67.626946236491207</v>
      </c>
      <c r="L543" s="14">
        <f t="shared" si="136"/>
        <v>12.077361635908689</v>
      </c>
      <c r="M543" s="14">
        <f t="shared" si="145"/>
        <v>17.306585567480067</v>
      </c>
      <c r="N543" s="14">
        <f t="shared" si="137"/>
        <v>-0.57099173850182661</v>
      </c>
      <c r="O543" s="14">
        <f t="shared" si="144"/>
        <v>0</v>
      </c>
      <c r="P543" s="14">
        <f t="shared" si="138"/>
        <v>0</v>
      </c>
    </row>
    <row r="544" spans="1:16" x14ac:dyDescent="0.25">
      <c r="A544" s="14">
        <f t="shared" si="130"/>
        <v>2.5999999999999668</v>
      </c>
      <c r="B544" s="14">
        <f t="shared" si="139"/>
        <v>26.170227882430613</v>
      </c>
      <c r="C544" s="14">
        <f t="shared" si="140"/>
        <v>5.6749583955763043</v>
      </c>
      <c r="D544" s="14">
        <f t="shared" si="141"/>
        <v>5.6749583955763043</v>
      </c>
      <c r="E544" s="14">
        <f t="shared" si="131"/>
        <v>1</v>
      </c>
      <c r="F544" s="14">
        <f t="shared" si="142"/>
        <v>-4.5217425866200891</v>
      </c>
      <c r="G544" s="14">
        <f t="shared" si="132"/>
        <v>-1.7211358394853848</v>
      </c>
      <c r="H544" s="14">
        <f t="shared" si="133"/>
        <v>4.1813690869968267</v>
      </c>
      <c r="I544" s="14">
        <f t="shared" si="134"/>
        <v>4.5884671438988542</v>
      </c>
      <c r="J544" s="14">
        <f t="shared" si="143"/>
        <v>-11.196333192443348</v>
      </c>
      <c r="K544" s="14">
        <f t="shared" si="135"/>
        <v>-67.715262359883098</v>
      </c>
      <c r="L544" s="14">
        <f t="shared" si="136"/>
        <v>12.100078829778257</v>
      </c>
      <c r="M544" s="14">
        <f t="shared" si="145"/>
        <v>17.306585567480067</v>
      </c>
      <c r="N544" s="14">
        <f t="shared" si="137"/>
        <v>-0.62697340446404337</v>
      </c>
      <c r="O544" s="14">
        <f t="shared" si="144"/>
        <v>0</v>
      </c>
      <c r="P544" s="14">
        <f t="shared" si="138"/>
        <v>0</v>
      </c>
    </row>
    <row r="545" spans="1:16" x14ac:dyDescent="0.25">
      <c r="A545" s="14">
        <f t="shared" si="130"/>
        <v>2.6049999999999667</v>
      </c>
      <c r="B545" s="14">
        <f t="shared" si="139"/>
        <v>26.220555243742982</v>
      </c>
      <c r="C545" s="14">
        <f t="shared" si="140"/>
        <v>5.6220492771062567</v>
      </c>
      <c r="D545" s="14">
        <f t="shared" si="141"/>
        <v>5.6220492771062567</v>
      </c>
      <c r="E545" s="14">
        <f t="shared" si="131"/>
        <v>1</v>
      </c>
      <c r="F545" s="14">
        <f t="shared" si="142"/>
        <v>-4.5387691382922863</v>
      </c>
      <c r="G545" s="14">
        <f t="shared" si="132"/>
        <v>-1.7211452386197326</v>
      </c>
      <c r="H545" s="14">
        <f t="shared" si="133"/>
        <v>4.1997719412238483</v>
      </c>
      <c r="I545" s="14">
        <f t="shared" si="134"/>
        <v>4.5798614177057555</v>
      </c>
      <c r="J545" s="14">
        <f t="shared" si="143"/>
        <v>-11.224334332737229</v>
      </c>
      <c r="K545" s="14">
        <f t="shared" si="135"/>
        <v>-67.803083189994481</v>
      </c>
      <c r="L545" s="14">
        <f t="shared" si="136"/>
        <v>12.122739451891782</v>
      </c>
      <c r="M545" s="14">
        <f t="shared" si="145"/>
        <v>17.306585567480067</v>
      </c>
      <c r="N545" s="14">
        <f t="shared" si="137"/>
        <v>-0.68309507612772946</v>
      </c>
      <c r="O545" s="14">
        <f t="shared" si="144"/>
        <v>0</v>
      </c>
      <c r="P545" s="14">
        <f t="shared" si="138"/>
        <v>0</v>
      </c>
    </row>
    <row r="546" spans="1:16" x14ac:dyDescent="0.25">
      <c r="A546" s="14">
        <f t="shared" si="130"/>
        <v>2.6099999999999666</v>
      </c>
      <c r="B546" s="14">
        <f t="shared" si="139"/>
        <v>26.270882605055348</v>
      </c>
      <c r="C546" s="14">
        <f t="shared" si="140"/>
        <v>5.5688951586362165</v>
      </c>
      <c r="D546" s="14">
        <f t="shared" si="141"/>
        <v>5.5688951586362165</v>
      </c>
      <c r="E546" s="14">
        <f t="shared" si="131"/>
        <v>1</v>
      </c>
      <c r="F546" s="14">
        <f t="shared" si="142"/>
        <v>-4.5557851663720577</v>
      </c>
      <c r="G546" s="14">
        <f t="shared" si="132"/>
        <v>-1.721134467471175</v>
      </c>
      <c r="H546" s="14">
        <f t="shared" si="133"/>
        <v>4.2181600997376085</v>
      </c>
      <c r="I546" s="14">
        <f t="shared" si="134"/>
        <v>4.5712557453683997</v>
      </c>
      <c r="J546" s="14">
        <f t="shared" si="143"/>
        <v>-11.252243532238541</v>
      </c>
      <c r="K546" s="14">
        <f t="shared" si="135"/>
        <v>-67.890412625238724</v>
      </c>
      <c r="L546" s="14">
        <f t="shared" si="136"/>
        <v>12.145343288617564</v>
      </c>
      <c r="M546" s="14">
        <f t="shared" si="145"/>
        <v>17.306585567480067</v>
      </c>
      <c r="N546" s="14">
        <f t="shared" si="137"/>
        <v>-0.7393562937889222</v>
      </c>
      <c r="O546" s="14">
        <f t="shared" si="144"/>
        <v>0</v>
      </c>
      <c r="P546" s="14">
        <f t="shared" si="138"/>
        <v>0</v>
      </c>
    </row>
    <row r="547" spans="1:16" x14ac:dyDescent="0.25">
      <c r="A547" s="14">
        <f t="shared" si="130"/>
        <v>2.6149999999999665</v>
      </c>
      <c r="B547" s="14">
        <f t="shared" si="139"/>
        <v>26.321209966367714</v>
      </c>
      <c r="C547" s="14">
        <f t="shared" si="140"/>
        <v>5.5154960401661768</v>
      </c>
      <c r="D547" s="14">
        <f t="shared" si="141"/>
        <v>5.5154960401661768</v>
      </c>
      <c r="E547" s="14">
        <f t="shared" si="131"/>
        <v>1</v>
      </c>
      <c r="F547" s="14">
        <f t="shared" si="142"/>
        <v>-4.5727902715493993</v>
      </c>
      <c r="G547" s="14">
        <f t="shared" si="132"/>
        <v>-1.7211035789145019</v>
      </c>
      <c r="H547" s="14">
        <f t="shared" si="133"/>
        <v>4.2365331744510772</v>
      </c>
      <c r="I547" s="14">
        <f t="shared" si="134"/>
        <v>4.562650227473827</v>
      </c>
      <c r="J547" s="14">
        <f t="shared" si="143"/>
        <v>-11.280060866366286</v>
      </c>
      <c r="K547" s="14">
        <f t="shared" si="135"/>
        <v>-67.97725452660876</v>
      </c>
      <c r="L547" s="14">
        <f t="shared" si="136"/>
        <v>12.167890131292076</v>
      </c>
      <c r="M547" s="14">
        <f t="shared" si="145"/>
        <v>17.306585567480067</v>
      </c>
      <c r="N547" s="14">
        <f t="shared" si="137"/>
        <v>-0.79575659812075361</v>
      </c>
      <c r="O547" s="14">
        <f t="shared" si="144"/>
        <v>0</v>
      </c>
      <c r="P547" s="14">
        <f t="shared" si="138"/>
        <v>0</v>
      </c>
    </row>
    <row r="548" spans="1:16" x14ac:dyDescent="0.25">
      <c r="A548" s="14">
        <f t="shared" si="130"/>
        <v>2.6199999999999664</v>
      </c>
      <c r="B548" s="14">
        <f t="shared" si="139"/>
        <v>26.37153732768008</v>
      </c>
      <c r="C548" s="14">
        <f t="shared" si="140"/>
        <v>5.4618519216961303</v>
      </c>
      <c r="D548" s="14">
        <f t="shared" si="141"/>
        <v>5.4618519216961303</v>
      </c>
      <c r="E548" s="14">
        <f t="shared" si="131"/>
        <v>1</v>
      </c>
      <c r="F548" s="14">
        <f t="shared" si="142"/>
        <v>-4.5897840576630475</v>
      </c>
      <c r="G548" s="14">
        <f t="shared" si="132"/>
        <v>-1.721052626937905</v>
      </c>
      <c r="H548" s="14">
        <f t="shared" si="133"/>
        <v>4.2548907801832003</v>
      </c>
      <c r="I548" s="14">
        <f t="shared" si="134"/>
        <v>4.5540449643391376</v>
      </c>
      <c r="J548" s="14">
        <f t="shared" si="143"/>
        <v>-11.30778641246537</v>
      </c>
      <c r="K548" s="14">
        <f t="shared" si="135"/>
        <v>-68.063612718053051</v>
      </c>
      <c r="L548" s="14">
        <f t="shared" si="136"/>
        <v>12.190379776166086</v>
      </c>
      <c r="M548" s="14">
        <f t="shared" si="145"/>
        <v>17.306585567480067</v>
      </c>
      <c r="N548" s="14">
        <f t="shared" si="137"/>
        <v>-0.85229553018308046</v>
      </c>
      <c r="O548" s="14">
        <f t="shared" si="144"/>
        <v>0</v>
      </c>
      <c r="P548" s="14">
        <f t="shared" si="138"/>
        <v>0</v>
      </c>
    </row>
    <row r="549" spans="1:16" x14ac:dyDescent="0.25">
      <c r="A549" s="14">
        <f t="shared" si="130"/>
        <v>2.6249999999999662</v>
      </c>
      <c r="B549" s="14">
        <f t="shared" si="139"/>
        <v>26.421864688992446</v>
      </c>
      <c r="C549" s="14">
        <f t="shared" si="140"/>
        <v>5.4079628032260842</v>
      </c>
      <c r="D549" s="14">
        <f t="shared" si="141"/>
        <v>5.4079628032260842</v>
      </c>
      <c r="E549" s="14">
        <f t="shared" si="131"/>
        <v>1</v>
      </c>
      <c r="F549" s="14">
        <f t="shared" si="142"/>
        <v>-4.6067661317019324</v>
      </c>
      <c r="G549" s="14">
        <f t="shared" si="132"/>
        <v>-1.7209816666239552</v>
      </c>
      <c r="H549" s="14">
        <f t="shared" si="133"/>
        <v>4.2732325346674287</v>
      </c>
      <c r="I549" s="14">
        <f t="shared" si="134"/>
        <v>4.5454400560060177</v>
      </c>
      <c r="J549" s="14">
        <f t="shared" si="143"/>
        <v>-11.335420249792033</v>
      </c>
      <c r="K549" s="14">
        <f t="shared" si="135"/>
        <v>-68.149490986848704</v>
      </c>
      <c r="L549" s="14">
        <f t="shared" si="136"/>
        <v>12.212812024351281</v>
      </c>
      <c r="M549" s="14">
        <f t="shared" si="145"/>
        <v>17.306585567480067</v>
      </c>
      <c r="N549" s="14">
        <f t="shared" si="137"/>
        <v>-0.90897263143204066</v>
      </c>
      <c r="O549" s="14">
        <f t="shared" si="144"/>
        <v>0</v>
      </c>
      <c r="P549" s="14">
        <f t="shared" si="138"/>
        <v>0</v>
      </c>
    </row>
    <row r="550" spans="1:16" x14ac:dyDescent="0.25">
      <c r="A550" s="14">
        <f t="shared" si="130"/>
        <v>2.6299999999999661</v>
      </c>
      <c r="B550" s="14">
        <f t="shared" si="139"/>
        <v>26.472192050304812</v>
      </c>
      <c r="C550" s="14">
        <f t="shared" si="140"/>
        <v>5.3538286847560386</v>
      </c>
      <c r="D550" s="14">
        <f t="shared" si="141"/>
        <v>5.3538286847560386</v>
      </c>
      <c r="E550" s="14">
        <f t="shared" si="131"/>
        <v>1</v>
      </c>
      <c r="F550" s="14">
        <f t="shared" si="142"/>
        <v>-4.6237361038063165</v>
      </c>
      <c r="G550" s="14">
        <f t="shared" si="132"/>
        <v>-1.7208907541307059</v>
      </c>
      <c r="H550" s="14">
        <f t="shared" si="133"/>
        <v>4.2915580585597892</v>
      </c>
      <c r="I550" s="14">
        <f t="shared" si="134"/>
        <v>4.5368356022353646</v>
      </c>
      <c r="J550" s="14">
        <f t="shared" si="143"/>
        <v>-11.362962459499235</v>
      </c>
      <c r="K550" s="14">
        <f t="shared" si="135"/>
        <v>-68.234893083971471</v>
      </c>
      <c r="L550" s="14">
        <f t="shared" si="136"/>
        <v>12.235186681767436</v>
      </c>
      <c r="M550" s="14">
        <f t="shared" si="145"/>
        <v>17.306585567480067</v>
      </c>
      <c r="N550" s="14">
        <f t="shared" si="137"/>
        <v>-0.96578744372953684</v>
      </c>
      <c r="O550" s="14">
        <f t="shared" si="144"/>
        <v>0</v>
      </c>
      <c r="P550" s="14">
        <f t="shared" si="138"/>
        <v>0</v>
      </c>
    </row>
    <row r="551" spans="1:16" x14ac:dyDescent="0.25">
      <c r="A551" s="14">
        <f t="shared" si="130"/>
        <v>2.634999999999966</v>
      </c>
      <c r="B551" s="14">
        <f t="shared" si="139"/>
        <v>26.522519411617179</v>
      </c>
      <c r="C551" s="14">
        <f t="shared" si="140"/>
        <v>5.2994495662860004</v>
      </c>
      <c r="D551" s="14">
        <f t="shared" si="141"/>
        <v>5.2994495662860004</v>
      </c>
      <c r="E551" s="14">
        <f t="shared" si="131"/>
        <v>1</v>
      </c>
      <c r="F551" s="14">
        <f t="shared" si="142"/>
        <v>-4.6406935872686761</v>
      </c>
      <c r="G551" s="14">
        <f t="shared" si="132"/>
        <v>-1.7207799466729932</v>
      </c>
      <c r="H551" s="14">
        <f t="shared" si="133"/>
        <v>4.30986697544654</v>
      </c>
      <c r="I551" s="14">
        <f t="shared" si="134"/>
        <v>4.5282317025019996</v>
      </c>
      <c r="J551" s="14">
        <f t="shared" si="143"/>
        <v>-11.390413124622002</v>
      </c>
      <c r="K551" s="14">
        <f t="shared" si="135"/>
        <v>-68.319822724462696</v>
      </c>
      <c r="L551" s="14">
        <f t="shared" si="136"/>
        <v>12.257503559090054</v>
      </c>
      <c r="M551" s="14">
        <f t="shared" si="145"/>
        <v>17.306585567480067</v>
      </c>
      <c r="N551" s="14">
        <f t="shared" si="137"/>
        <v>-1.0227395093526468</v>
      </c>
      <c r="O551" s="14">
        <f t="shared" si="144"/>
        <v>0</v>
      </c>
      <c r="P551" s="14">
        <f t="shared" si="138"/>
        <v>0</v>
      </c>
    </row>
    <row r="552" spans="1:16" x14ac:dyDescent="0.25">
      <c r="A552" s="14">
        <f t="shared" si="130"/>
        <v>2.6399999999999659</v>
      </c>
      <c r="B552" s="14">
        <f t="shared" si="139"/>
        <v>26.572846772929545</v>
      </c>
      <c r="C552" s="14">
        <f t="shared" si="140"/>
        <v>5.2448254478159555</v>
      </c>
      <c r="D552" s="14">
        <f t="shared" si="141"/>
        <v>5.2448254478159555</v>
      </c>
      <c r="E552" s="14">
        <f t="shared" si="131"/>
        <v>1</v>
      </c>
      <c r="F552" s="14">
        <f t="shared" si="142"/>
        <v>-4.657638198534265</v>
      </c>
      <c r="G552" s="14">
        <f t="shared" si="132"/>
        <v>-1.7206493025038827</v>
      </c>
      <c r="H552" s="14">
        <f t="shared" si="133"/>
        <v>4.3281589118513679</v>
      </c>
      <c r="I552" s="14">
        <f t="shared" si="134"/>
        <v>4.5196284559894799</v>
      </c>
      <c r="J552" s="14">
        <f t="shared" si="143"/>
        <v>-11.417772330062745</v>
      </c>
      <c r="K552" s="14">
        <f t="shared" si="135"/>
        <v>-68.404283587793287</v>
      </c>
      <c r="L552" s="14">
        <f t="shared" si="136"/>
        <v>12.279762471698557</v>
      </c>
      <c r="M552" s="14">
        <f t="shared" si="145"/>
        <v>17.306585567480067</v>
      </c>
      <c r="N552" s="14">
        <f t="shared" si="137"/>
        <v>-1.0798283710029606</v>
      </c>
      <c r="O552" s="14">
        <f t="shared" si="144"/>
        <v>0</v>
      </c>
      <c r="P552" s="14">
        <f t="shared" si="138"/>
        <v>0</v>
      </c>
    </row>
    <row r="553" spans="1:16" x14ac:dyDescent="0.25">
      <c r="A553" s="14">
        <f t="shared" si="130"/>
        <v>2.6449999999999658</v>
      </c>
      <c r="B553" s="14">
        <f t="shared" si="139"/>
        <v>26.623174134241911</v>
      </c>
      <c r="C553" s="14">
        <f t="shared" si="140"/>
        <v>5.189956329345911</v>
      </c>
      <c r="D553" s="14">
        <f t="shared" si="141"/>
        <v>5.189956329345911</v>
      </c>
      <c r="E553" s="14">
        <f t="shared" si="131"/>
        <v>1</v>
      </c>
      <c r="F553" s="14">
        <f t="shared" si="142"/>
        <v>-4.6745695572014245</v>
      </c>
      <c r="G553" s="14">
        <f t="shared" si="132"/>
        <v>-1.7204988808962951</v>
      </c>
      <c r="H553" s="14">
        <f t="shared" si="133"/>
        <v>4.3464334972421836</v>
      </c>
      <c r="I553" s="14">
        <f t="shared" si="134"/>
        <v>4.5110259615849984</v>
      </c>
      <c r="J553" s="14">
        <f t="shared" si="143"/>
        <v>-11.445040162576534</v>
      </c>
      <c r="K553" s="14">
        <f t="shared" si="135"/>
        <v>-68.488279318224585</v>
      </c>
      <c r="L553" s="14">
        <f t="shared" si="136"/>
        <v>12.301963239624957</v>
      </c>
      <c r="M553" s="14">
        <f t="shared" si="145"/>
        <v>17.306585567480067</v>
      </c>
      <c r="N553" s="14">
        <f t="shared" si="137"/>
        <v>-1.1370535718158432</v>
      </c>
      <c r="O553" s="14">
        <f t="shared" si="144"/>
        <v>0</v>
      </c>
      <c r="P553" s="14">
        <f t="shared" si="138"/>
        <v>0</v>
      </c>
    </row>
    <row r="554" spans="1:16" x14ac:dyDescent="0.25">
      <c r="A554" s="14">
        <f t="shared" si="130"/>
        <v>2.6499999999999657</v>
      </c>
      <c r="B554" s="14">
        <f t="shared" si="139"/>
        <v>26.673501495554277</v>
      </c>
      <c r="C554" s="14">
        <f t="shared" si="140"/>
        <v>5.134842210875874</v>
      </c>
      <c r="D554" s="14">
        <f t="shared" si="141"/>
        <v>5.134842210875874</v>
      </c>
      <c r="E554" s="14">
        <f t="shared" si="131"/>
        <v>1</v>
      </c>
      <c r="F554" s="14">
        <f t="shared" si="142"/>
        <v>-4.6914872860215961</v>
      </c>
      <c r="G554" s="14">
        <f t="shared" si="132"/>
        <v>-1.7203287421247866</v>
      </c>
      <c r="H554" s="14">
        <f t="shared" si="133"/>
        <v>4.3646903640374797</v>
      </c>
      <c r="I554" s="14">
        <f t="shared" si="134"/>
        <v>4.5024243178743744</v>
      </c>
      <c r="J554" s="14">
        <f t="shared" si="143"/>
        <v>-11.472216710756348</v>
      </c>
      <c r="K554" s="14">
        <f t="shared" si="135"/>
        <v>-68.571813525166192</v>
      </c>
      <c r="L554" s="14">
        <f t="shared" si="136"/>
        <v>12.324105687502996</v>
      </c>
      <c r="M554" s="14">
        <f t="shared" si="145"/>
        <v>17.306585567480067</v>
      </c>
      <c r="N554" s="14">
        <f t="shared" si="137"/>
        <v>-1.1944146553696249</v>
      </c>
      <c r="O554" s="14">
        <f t="shared" si="144"/>
        <v>0</v>
      </c>
      <c r="P554" s="14">
        <f t="shared" si="138"/>
        <v>0</v>
      </c>
    </row>
    <row r="555" spans="1:16" x14ac:dyDescent="0.25">
      <c r="A555" s="14">
        <f t="shared" si="130"/>
        <v>2.6549999999999656</v>
      </c>
      <c r="B555" s="14">
        <f t="shared" si="139"/>
        <v>26.723828856866643</v>
      </c>
      <c r="C555" s="14">
        <f t="shared" si="140"/>
        <v>5.0794830924058232</v>
      </c>
      <c r="D555" s="14">
        <f t="shared" si="141"/>
        <v>5.0794830924058232</v>
      </c>
      <c r="E555" s="14">
        <f t="shared" si="131"/>
        <v>1</v>
      </c>
      <c r="F555" s="14">
        <f t="shared" si="142"/>
        <v>-4.7083910108990539</v>
      </c>
      <c r="G555" s="14">
        <f t="shared" si="132"/>
        <v>-1.720138947447488</v>
      </c>
      <c r="H555" s="14">
        <f t="shared" si="133"/>
        <v>4.3829291476122751</v>
      </c>
      <c r="I555" s="14">
        <f t="shared" si="134"/>
        <v>4.4938236231371373</v>
      </c>
      <c r="J555" s="14">
        <f t="shared" si="143"/>
        <v>-11.499302065018286</v>
      </c>
      <c r="K555" s="14">
        <f t="shared" si="135"/>
        <v>-68.654889783530649</v>
      </c>
      <c r="L555" s="14">
        <f t="shared" si="136"/>
        <v>12.346189644517827</v>
      </c>
      <c r="M555" s="14">
        <f t="shared" si="145"/>
        <v>17.306585567480067</v>
      </c>
      <c r="N555" s="14">
        <f t="shared" si="137"/>
        <v>-1.2519111656947164</v>
      </c>
      <c r="O555" s="14">
        <f t="shared" si="144"/>
        <v>0</v>
      </c>
      <c r="P555" s="14">
        <f t="shared" si="138"/>
        <v>0</v>
      </c>
    </row>
    <row r="556" spans="1:16" x14ac:dyDescent="0.25">
      <c r="A556" s="14">
        <f t="shared" si="130"/>
        <v>2.6599999999999655</v>
      </c>
      <c r="B556" s="14">
        <f t="shared" si="139"/>
        <v>26.774156218179009</v>
      </c>
      <c r="C556" s="14">
        <f t="shared" si="140"/>
        <v>5.0238789739357799</v>
      </c>
      <c r="D556" s="14">
        <f t="shared" si="141"/>
        <v>5.0238789739357799</v>
      </c>
      <c r="E556" s="14">
        <f t="shared" si="131"/>
        <v>1</v>
      </c>
      <c r="F556" s="14">
        <f t="shared" si="142"/>
        <v>-4.7252803608903751</v>
      </c>
      <c r="G556" s="14">
        <f t="shared" si="132"/>
        <v>-1.7199295590882242</v>
      </c>
      <c r="H556" s="14">
        <f t="shared" si="133"/>
        <v>4.4011494863036473</v>
      </c>
      <c r="I556" s="14">
        <f t="shared" si="134"/>
        <v>4.4852239753416958</v>
      </c>
      <c r="J556" s="14">
        <f t="shared" si="143"/>
        <v>-11.526296317586768</v>
      </c>
      <c r="K556" s="14">
        <f t="shared" si="135"/>
        <v>-68.737511634085195</v>
      </c>
      <c r="L556" s="14">
        <f t="shared" si="136"/>
        <v>12.368214944356128</v>
      </c>
      <c r="M556" s="14">
        <f t="shared" si="145"/>
        <v>17.306585567480067</v>
      </c>
      <c r="N556" s="14">
        <f t="shared" si="137"/>
        <v>-1.3095426472826501</v>
      </c>
      <c r="O556" s="14">
        <f t="shared" si="144"/>
        <v>0</v>
      </c>
      <c r="P556" s="14">
        <f t="shared" si="138"/>
        <v>0</v>
      </c>
    </row>
    <row r="557" spans="1:16" x14ac:dyDescent="0.25">
      <c r="A557" s="14">
        <f t="shared" si="130"/>
        <v>2.6649999999999654</v>
      </c>
      <c r="B557" s="14">
        <f t="shared" si="139"/>
        <v>26.824483579491375</v>
      </c>
      <c r="C557" s="14">
        <f t="shared" si="140"/>
        <v>4.9680298554657298</v>
      </c>
      <c r="D557" s="14">
        <f t="shared" si="141"/>
        <v>4.9680298554657298</v>
      </c>
      <c r="E557" s="14">
        <f t="shared" si="131"/>
        <v>1</v>
      </c>
      <c r="F557" s="14">
        <f t="shared" si="142"/>
        <v>-4.7421549682036215</v>
      </c>
      <c r="G557" s="14">
        <f t="shared" si="132"/>
        <v>-1.719700640218772</v>
      </c>
      <c r="H557" s="14">
        <f t="shared" si="133"/>
        <v>4.4193510214158636</v>
      </c>
      <c r="I557" s="14">
        <f t="shared" si="134"/>
        <v>4.4766254721406016</v>
      </c>
      <c r="J557" s="14">
        <f t="shared" si="143"/>
        <v>-11.553199562479689</v>
      </c>
      <c r="K557" s="14">
        <f t="shared" si="135"/>
        <v>-68.819682583800301</v>
      </c>
      <c r="L557" s="14">
        <f t="shared" si="136"/>
        <v>12.390181425156733</v>
      </c>
      <c r="M557" s="14">
        <f t="shared" si="145"/>
        <v>17.306585567480067</v>
      </c>
      <c r="N557" s="14">
        <f t="shared" si="137"/>
        <v>-1.3673086450950487</v>
      </c>
      <c r="O557" s="14">
        <f t="shared" si="144"/>
        <v>0</v>
      </c>
      <c r="P557" s="14">
        <f t="shared" si="138"/>
        <v>0</v>
      </c>
    </row>
    <row r="558" spans="1:16" x14ac:dyDescent="0.25">
      <c r="A558" s="14">
        <f t="shared" si="130"/>
        <v>2.6699999999999653</v>
      </c>
      <c r="B558" s="14">
        <f t="shared" si="139"/>
        <v>26.874810940803741</v>
      </c>
      <c r="C558" s="14">
        <f t="shared" si="140"/>
        <v>4.9119357369956944</v>
      </c>
      <c r="D558" s="14">
        <f t="shared" si="141"/>
        <v>4.9119357369956944</v>
      </c>
      <c r="E558" s="14">
        <f t="shared" si="131"/>
        <v>1</v>
      </c>
      <c r="F558" s="14">
        <f t="shared" si="142"/>
        <v>-4.7590144681972664</v>
      </c>
      <c r="G558" s="14">
        <f t="shared" si="132"/>
        <v>-1.7194522549412989</v>
      </c>
      <c r="H558" s="14">
        <f t="shared" si="133"/>
        <v>4.4375333972251063</v>
      </c>
      <c r="I558" s="14">
        <f t="shared" si="134"/>
        <v>4.4680282108658949</v>
      </c>
      <c r="J558" s="14">
        <f t="shared" si="143"/>
        <v>-11.580011895493563</v>
      </c>
      <c r="K558" s="14">
        <f t="shared" si="135"/>
        <v>-68.901406106195225</v>
      </c>
      <c r="L558" s="14">
        <f t="shared" si="136"/>
        <v>12.412088929461708</v>
      </c>
      <c r="M558" s="14">
        <f t="shared" si="145"/>
        <v>17.306585567480067</v>
      </c>
      <c r="N558" s="14">
        <f t="shared" si="137"/>
        <v>-1.4252087045725166</v>
      </c>
      <c r="O558" s="14">
        <f t="shared" si="144"/>
        <v>0</v>
      </c>
      <c r="P558" s="14">
        <f t="shared" si="138"/>
        <v>0</v>
      </c>
    </row>
    <row r="559" spans="1:16" x14ac:dyDescent="0.25">
      <c r="A559" s="14">
        <f t="shared" si="130"/>
        <v>2.6749999999999652</v>
      </c>
      <c r="B559" s="14">
        <f t="shared" si="139"/>
        <v>26.925138302116107</v>
      </c>
      <c r="C559" s="14">
        <f t="shared" si="140"/>
        <v>4.8555966185256523</v>
      </c>
      <c r="D559" s="14">
        <f t="shared" si="141"/>
        <v>4.8555966185256523</v>
      </c>
      <c r="E559" s="14">
        <f t="shared" si="131"/>
        <v>1</v>
      </c>
      <c r="F559" s="14">
        <f t="shared" si="142"/>
        <v>-4.7758584993788427</v>
      </c>
      <c r="G559" s="14">
        <f t="shared" si="132"/>
        <v>-1.7191844682709467</v>
      </c>
      <c r="H559" s="14">
        <f t="shared" si="133"/>
        <v>4.4556962609838067</v>
      </c>
      <c r="I559" s="14">
        <f t="shared" si="134"/>
        <v>4.4594322885245399</v>
      </c>
      <c r="J559" s="14">
        <f t="shared" si="143"/>
        <v>-11.606733414188644</v>
      </c>
      <c r="K559" s="14">
        <f t="shared" si="135"/>
        <v>-68.982685641680476</v>
      </c>
      <c r="L559" s="14">
        <f t="shared" si="136"/>
        <v>12.433937304167911</v>
      </c>
      <c r="M559" s="14">
        <f t="shared" si="145"/>
        <v>17.306585567480067</v>
      </c>
      <c r="N559" s="14">
        <f t="shared" si="137"/>
        <v>-1.4832423716434597</v>
      </c>
      <c r="O559" s="14">
        <f t="shared" si="144"/>
        <v>0</v>
      </c>
      <c r="P559" s="14">
        <f t="shared" si="138"/>
        <v>0</v>
      </c>
    </row>
    <row r="560" spans="1:16" x14ac:dyDescent="0.25">
      <c r="A560" s="14">
        <f t="shared" si="130"/>
        <v>2.6799999999999651</v>
      </c>
      <c r="B560" s="14">
        <f t="shared" si="139"/>
        <v>26.975465663428473</v>
      </c>
      <c r="C560" s="14">
        <f t="shared" si="140"/>
        <v>4.7990125000556034</v>
      </c>
      <c r="D560" s="14">
        <f t="shared" si="141"/>
        <v>4.7990125000556034</v>
      </c>
      <c r="E560" s="14">
        <f t="shared" si="131"/>
        <v>1</v>
      </c>
      <c r="F560" s="14">
        <f t="shared" si="142"/>
        <v>-4.7926867034033291</v>
      </c>
      <c r="G560" s="14">
        <f t="shared" si="132"/>
        <v>-1.7188973461185801</v>
      </c>
      <c r="H560" s="14">
        <f t="shared" si="133"/>
        <v>4.4738392629245824</v>
      </c>
      <c r="I560" s="14">
        <f t="shared" si="134"/>
        <v>4.4508378017939467</v>
      </c>
      <c r="J560" s="14">
        <f t="shared" si="143"/>
        <v>-11.633364217874021</v>
      </c>
      <c r="K560" s="14">
        <f t="shared" si="135"/>
        <v>-69.063524597897128</v>
      </c>
      <c r="L560" s="14">
        <f t="shared" si="136"/>
        <v>12.455726400479003</v>
      </c>
      <c r="M560" s="14">
        <f t="shared" si="145"/>
        <v>17.306585567480067</v>
      </c>
      <c r="N560" s="14">
        <f t="shared" si="137"/>
        <v>-1.5414091927328299</v>
      </c>
      <c r="O560" s="14">
        <f t="shared" si="144"/>
        <v>0</v>
      </c>
      <c r="P560" s="14">
        <f t="shared" si="138"/>
        <v>0</v>
      </c>
    </row>
    <row r="561" spans="1:16" x14ac:dyDescent="0.25">
      <c r="A561" s="14">
        <f t="shared" si="130"/>
        <v>2.684999999999965</v>
      </c>
      <c r="B561" s="14">
        <f t="shared" si="139"/>
        <v>27.025793024740839</v>
      </c>
      <c r="C561" s="14">
        <f t="shared" si="140"/>
        <v>4.7421833815855692</v>
      </c>
      <c r="D561" s="14">
        <f t="shared" si="141"/>
        <v>4.7421833815855692</v>
      </c>
      <c r="E561" s="14">
        <f t="shared" si="131"/>
        <v>1</v>
      </c>
      <c r="F561" s="14">
        <f t="shared" si="142"/>
        <v>-4.8094987250712791</v>
      </c>
      <c r="G561" s="14">
        <f t="shared" si="132"/>
        <v>-1.7185909552736989</v>
      </c>
      <c r="H561" s="14">
        <f t="shared" si="133"/>
        <v>4.491962056263799</v>
      </c>
      <c r="I561" s="14">
        <f t="shared" si="134"/>
        <v>4.4422448470175784</v>
      </c>
      <c r="J561" s="14">
        <f t="shared" si="143"/>
        <v>-11.659904407592702</v>
      </c>
      <c r="K561" s="14">
        <f t="shared" si="135"/>
        <v>-69.143926350053221</v>
      </c>
      <c r="L561" s="14">
        <f t="shared" si="136"/>
        <v>12.477456073857921</v>
      </c>
      <c r="M561" s="14">
        <f t="shared" si="145"/>
        <v>17.306585567480067</v>
      </c>
      <c r="N561" s="14">
        <f t="shared" si="137"/>
        <v>-1.5997087147707933</v>
      </c>
      <c r="O561" s="14">
        <f t="shared" si="144"/>
        <v>0</v>
      </c>
      <c r="P561" s="14">
        <f t="shared" si="138"/>
        <v>0</v>
      </c>
    </row>
    <row r="562" spans="1:16" x14ac:dyDescent="0.25">
      <c r="A562" s="14">
        <f t="shared" si="130"/>
        <v>2.6899999999999649</v>
      </c>
      <c r="B562" s="14">
        <f t="shared" si="139"/>
        <v>27.076120386053205</v>
      </c>
      <c r="C562" s="14">
        <f t="shared" si="140"/>
        <v>4.6851092631155211</v>
      </c>
      <c r="D562" s="14">
        <f t="shared" si="141"/>
        <v>4.6851092631155211</v>
      </c>
      <c r="E562" s="14">
        <f t="shared" si="131"/>
        <v>1</v>
      </c>
      <c r="F562" s="14">
        <f t="shared" si="142"/>
        <v>-4.8262942123266717</v>
      </c>
      <c r="G562" s="14">
        <f t="shared" si="132"/>
        <v>-1.7182653633874891</v>
      </c>
      <c r="H562" s="14">
        <f t="shared" si="133"/>
        <v>4.5100642972047291</v>
      </c>
      <c r="I562" s="14">
        <f t="shared" si="134"/>
        <v>4.4336535202006413</v>
      </c>
      <c r="J562" s="14">
        <f t="shared" si="143"/>
        <v>-11.686354086106679</v>
      </c>
      <c r="K562" s="14">
        <f t="shared" si="135"/>
        <v>-69.223894241256957</v>
      </c>
      <c r="L562" s="14">
        <f t="shared" si="136"/>
        <v>12.499126183979815</v>
      </c>
      <c r="M562" s="14">
        <f t="shared" si="145"/>
        <v>17.306585567480067</v>
      </c>
      <c r="N562" s="14">
        <f t="shared" si="137"/>
        <v>-1.6581404852013268</v>
      </c>
      <c r="O562" s="14">
        <f t="shared" si="144"/>
        <v>0</v>
      </c>
      <c r="P562" s="14">
        <f t="shared" si="138"/>
        <v>0</v>
      </c>
    </row>
    <row r="563" spans="1:16" x14ac:dyDescent="0.25">
      <c r="A563" s="14">
        <f t="shared" si="130"/>
        <v>2.6949999999999648</v>
      </c>
      <c r="B563" s="14">
        <f t="shared" si="139"/>
        <v>27.126447747365571</v>
      </c>
      <c r="C563" s="14">
        <f t="shared" si="140"/>
        <v>4.6277901446454806</v>
      </c>
      <c r="D563" s="14">
        <f t="shared" si="141"/>
        <v>4.6277901446454806</v>
      </c>
      <c r="E563" s="14">
        <f t="shared" si="131"/>
        <v>1</v>
      </c>
      <c r="F563" s="14">
        <f t="shared" si="142"/>
        <v>-4.8430728162545442</v>
      </c>
      <c r="G563" s="14">
        <f t="shared" si="132"/>
        <v>-1.7179206389560573</v>
      </c>
      <c r="H563" s="14">
        <f t="shared" si="133"/>
        <v>4.5281456449403805</v>
      </c>
      <c r="I563" s="14">
        <f t="shared" si="134"/>
        <v>4.4250639170058612</v>
      </c>
      <c r="J563" s="14">
        <f t="shared" si="143"/>
        <v>-11.712713357881977</v>
      </c>
      <c r="K563" s="14">
        <f t="shared" si="135"/>
        <v>-69.303431582846883</v>
      </c>
      <c r="L563" s="14">
        <f t="shared" si="136"/>
        <v>12.520736594685401</v>
      </c>
      <c r="M563" s="14">
        <f t="shared" si="145"/>
        <v>17.306585567480067</v>
      </c>
      <c r="N563" s="14">
        <f t="shared" si="137"/>
        <v>-1.7167040519907368</v>
      </c>
      <c r="O563" s="14">
        <f t="shared" si="144"/>
        <v>0</v>
      </c>
      <c r="P563" s="14">
        <f t="shared" si="138"/>
        <v>0</v>
      </c>
    </row>
    <row r="564" spans="1:16" x14ac:dyDescent="0.25">
      <c r="A564" s="14">
        <f t="shared" si="130"/>
        <v>2.6999999999999647</v>
      </c>
      <c r="B564" s="14">
        <f t="shared" si="139"/>
        <v>27.176775108677937</v>
      </c>
      <c r="C564" s="14">
        <f t="shared" si="140"/>
        <v>4.5702260261754404</v>
      </c>
      <c r="D564" s="14">
        <f t="shared" si="141"/>
        <v>4.5702260261754404</v>
      </c>
      <c r="E564" s="14">
        <f t="shared" si="131"/>
        <v>1</v>
      </c>
      <c r="F564" s="14">
        <f t="shared" si="142"/>
        <v>-4.8598341910783196</v>
      </c>
      <c r="G564" s="14">
        <f t="shared" si="132"/>
        <v>-1.7175568513037935</v>
      </c>
      <c r="H564" s="14">
        <f t="shared" si="133"/>
        <v>4.5462057616558962</v>
      </c>
      <c r="I564" s="14">
        <f t="shared" si="134"/>
        <v>4.4164761327493425</v>
      </c>
      <c r="J564" s="14">
        <f t="shared" si="143"/>
        <v>-11.738982329073698</v>
      </c>
      <c r="K564" s="14">
        <f t="shared" si="135"/>
        <v>-69.382541654719063</v>
      </c>
      <c r="L564" s="14">
        <f t="shared" si="136"/>
        <v>12.54228717393479</v>
      </c>
      <c r="M564" s="14">
        <f t="shared" si="145"/>
        <v>17.306585567480067</v>
      </c>
      <c r="N564" s="14">
        <f t="shared" si="137"/>
        <v>-1.7753989636361054</v>
      </c>
      <c r="O564" s="14">
        <f t="shared" si="144"/>
        <v>0</v>
      </c>
      <c r="P564" s="14">
        <f t="shared" si="138"/>
        <v>0</v>
      </c>
    </row>
    <row r="565" spans="1:16" x14ac:dyDescent="0.25">
      <c r="A565" s="14">
        <f t="shared" si="130"/>
        <v>2.7049999999999645</v>
      </c>
      <c r="B565" s="14">
        <f t="shared" si="139"/>
        <v>27.227102469990303</v>
      </c>
      <c r="C565" s="14">
        <f t="shared" si="140"/>
        <v>4.5124169077053935</v>
      </c>
      <c r="D565" s="14">
        <f t="shared" si="141"/>
        <v>4.5124169077053935</v>
      </c>
      <c r="E565" s="14">
        <f t="shared" si="131"/>
        <v>1</v>
      </c>
      <c r="F565" s="14">
        <f t="shared" si="142"/>
        <v>-4.8765779941569241</v>
      </c>
      <c r="G565" s="14">
        <f t="shared" si="132"/>
        <v>-1.7171740705669072</v>
      </c>
      <c r="H565" s="14">
        <f t="shared" si="133"/>
        <v>4.5642443125306347</v>
      </c>
      <c r="I565" s="14">
        <f t="shared" si="134"/>
        <v>4.4078902623965082</v>
      </c>
      <c r="J565" s="14">
        <f t="shared" si="143"/>
        <v>-11.765161107511044</v>
      </c>
      <c r="K565" s="14">
        <f t="shared" si="135"/>
        <v>-69.46122770565114</v>
      </c>
      <c r="L565" s="14">
        <f t="shared" si="136"/>
        <v>12.563777793761734</v>
      </c>
      <c r="M565" s="14">
        <f t="shared" si="145"/>
        <v>17.306585567480067</v>
      </c>
      <c r="N565" s="14">
        <f t="shared" si="137"/>
        <v>-1.8342247691736606</v>
      </c>
      <c r="O565" s="14">
        <f t="shared" si="144"/>
        <v>0</v>
      </c>
      <c r="P565" s="14">
        <f t="shared" si="138"/>
        <v>0</v>
      </c>
    </row>
    <row r="566" spans="1:16" x14ac:dyDescent="0.25">
      <c r="A566" s="14">
        <f t="shared" si="130"/>
        <v>2.7099999999999644</v>
      </c>
      <c r="B566" s="14">
        <f t="shared" si="139"/>
        <v>27.277429831302669</v>
      </c>
      <c r="C566" s="14">
        <f t="shared" si="140"/>
        <v>4.454362789235347</v>
      </c>
      <c r="D566" s="14">
        <f t="shared" si="141"/>
        <v>4.454362789235347</v>
      </c>
      <c r="E566" s="14">
        <f t="shared" si="131"/>
        <v>1</v>
      </c>
      <c r="F566" s="14">
        <f t="shared" si="142"/>
        <v>-4.8933038859816342</v>
      </c>
      <c r="G566" s="14">
        <f t="shared" si="132"/>
        <v>-1.7167723676771105</v>
      </c>
      <c r="H566" s="14">
        <f t="shared" si="133"/>
        <v>4.582260965739871</v>
      </c>
      <c r="I566" s="14">
        <f t="shared" si="134"/>
        <v>4.3993064005581228</v>
      </c>
      <c r="J566" s="14">
        <f t="shared" si="143"/>
        <v>-11.791249802682346</v>
      </c>
      <c r="K566" s="14">
        <f t="shared" si="135"/>
        <v>-69.539492953623423</v>
      </c>
      <c r="L566" s="14">
        <f t="shared" si="136"/>
        <v>12.585208330228314</v>
      </c>
      <c r="M566" s="14">
        <f t="shared" si="145"/>
        <v>17.306585567480067</v>
      </c>
      <c r="N566" s="14">
        <f t="shared" si="137"/>
        <v>-1.8931810181870723</v>
      </c>
      <c r="O566" s="14">
        <f t="shared" si="144"/>
        <v>0</v>
      </c>
      <c r="P566" s="14">
        <f t="shared" si="138"/>
        <v>0</v>
      </c>
    </row>
    <row r="567" spans="1:16" x14ac:dyDescent="0.25">
      <c r="A567" s="14">
        <f t="shared" si="130"/>
        <v>2.7149999999999643</v>
      </c>
      <c r="B567" s="14">
        <f t="shared" si="139"/>
        <v>27.327757192615035</v>
      </c>
      <c r="C567" s="14">
        <f t="shared" si="140"/>
        <v>4.3960636707653009</v>
      </c>
      <c r="D567" s="14">
        <f t="shared" si="141"/>
        <v>4.3960636707653009</v>
      </c>
      <c r="E567" s="14">
        <f t="shared" si="131"/>
        <v>1</v>
      </c>
      <c r="F567" s="14">
        <f t="shared" si="142"/>
        <v>-4.9100115301726923</v>
      </c>
      <c r="G567" s="14">
        <f t="shared" si="132"/>
        <v>-1.7163518143454555</v>
      </c>
      <c r="H567" s="14">
        <f t="shared" si="133"/>
        <v>4.6002553924561456</v>
      </c>
      <c r="I567" s="14">
        <f t="shared" si="134"/>
        <v>4.3907246414863952</v>
      </c>
      <c r="J567" s="14">
        <f t="shared" si="143"/>
        <v>-11.817248525720066</v>
      </c>
      <c r="K567" s="14">
        <f t="shared" si="135"/>
        <v>-69.617340586136891</v>
      </c>
      <c r="L567" s="14">
        <f t="shared" si="136"/>
        <v>12.606578663380041</v>
      </c>
      <c r="M567" s="14">
        <f t="shared" si="145"/>
        <v>17.306585567480067</v>
      </c>
      <c r="N567" s="14">
        <f t="shared" si="137"/>
        <v>-1.9522672608156726</v>
      </c>
      <c r="O567" s="14">
        <f t="shared" si="144"/>
        <v>0</v>
      </c>
      <c r="P567" s="14">
        <f t="shared" si="138"/>
        <v>0</v>
      </c>
    </row>
    <row r="568" spans="1:16" x14ac:dyDescent="0.25">
      <c r="A568" s="14">
        <f t="shared" si="130"/>
        <v>2.7199999999999642</v>
      </c>
      <c r="B568" s="14">
        <f t="shared" si="139"/>
        <v>27.378084553927401</v>
      </c>
      <c r="C568" s="14">
        <f t="shared" si="140"/>
        <v>4.3375195522952694</v>
      </c>
      <c r="D568" s="14">
        <f t="shared" si="141"/>
        <v>4.3375195522952694</v>
      </c>
      <c r="E568" s="14">
        <f t="shared" si="131"/>
        <v>1</v>
      </c>
      <c r="F568" s="14">
        <f t="shared" si="142"/>
        <v>-4.9267005934756565</v>
      </c>
      <c r="G568" s="14">
        <f t="shared" si="132"/>
        <v>-1.7159124830463199</v>
      </c>
      <c r="H568" s="14">
        <f t="shared" si="133"/>
        <v>4.6182272668502575</v>
      </c>
      <c r="I568" s="14">
        <f t="shared" si="134"/>
        <v>4.3821450790711634</v>
      </c>
      <c r="J568" s="14">
        <f t="shared" si="143"/>
        <v>-11.843157389385814</v>
      </c>
      <c r="K568" s="14">
        <f t="shared" si="135"/>
        <v>-69.694773760528207</v>
      </c>
      <c r="L568" s="14">
        <f t="shared" si="136"/>
        <v>12.627888677201403</v>
      </c>
      <c r="M568" s="14">
        <f t="shared" si="145"/>
        <v>17.306585567480067</v>
      </c>
      <c r="N568" s="14">
        <f t="shared" si="137"/>
        <v>-2.0114830477626016</v>
      </c>
      <c r="O568" s="14">
        <f t="shared" si="144"/>
        <v>0</v>
      </c>
      <c r="P568" s="14">
        <f t="shared" si="138"/>
        <v>0</v>
      </c>
    </row>
    <row r="569" spans="1:16" x14ac:dyDescent="0.25">
      <c r="A569" s="14">
        <f t="shared" si="130"/>
        <v>2.7249999999999641</v>
      </c>
      <c r="B569" s="14">
        <f t="shared" si="139"/>
        <v>27.428411915239767</v>
      </c>
      <c r="C569" s="14">
        <f t="shared" si="140"/>
        <v>4.278730433825217</v>
      </c>
      <c r="D569" s="14">
        <f t="shared" si="141"/>
        <v>4.278730433825217</v>
      </c>
      <c r="E569" s="14">
        <f t="shared" si="131"/>
        <v>1</v>
      </c>
      <c r="F569" s="14">
        <f t="shared" si="142"/>
        <v>-4.9433707457575338</v>
      </c>
      <c r="G569" s="14">
        <f t="shared" si="132"/>
        <v>-1.7154544470015531</v>
      </c>
      <c r="H569" s="14">
        <f t="shared" si="133"/>
        <v>4.6361762660919172</v>
      </c>
      <c r="I569" s="14">
        <f t="shared" si="134"/>
        <v>4.3735678068361556</v>
      </c>
      <c r="J569" s="14">
        <f t="shared" si="143"/>
        <v>-11.868976508055354</v>
      </c>
      <c r="K569" s="14">
        <f t="shared" si="135"/>
        <v>-69.771795604281749</v>
      </c>
      <c r="L569" s="14">
        <f t="shared" si="136"/>
        <v>12.649138259571815</v>
      </c>
      <c r="M569" s="14">
        <f t="shared" si="145"/>
        <v>17.306585567480067</v>
      </c>
      <c r="N569" s="14">
        <f t="shared" si="137"/>
        <v>-2.0708279303028783</v>
      </c>
      <c r="O569" s="14">
        <f t="shared" si="144"/>
        <v>0</v>
      </c>
      <c r="P569" s="14">
        <f t="shared" si="138"/>
        <v>0</v>
      </c>
    </row>
    <row r="570" spans="1:16" x14ac:dyDescent="0.25">
      <c r="A570" s="14">
        <f t="shared" si="130"/>
        <v>2.729999999999964</v>
      </c>
      <c r="B570" s="14">
        <f t="shared" si="139"/>
        <v>27.478739276552133</v>
      </c>
      <c r="C570" s="14">
        <f t="shared" si="140"/>
        <v>4.2196963153551721</v>
      </c>
      <c r="D570" s="14">
        <f t="shared" si="141"/>
        <v>4.2196963153551721</v>
      </c>
      <c r="E570" s="14">
        <f t="shared" si="131"/>
        <v>1</v>
      </c>
      <c r="F570" s="14">
        <f t="shared" si="142"/>
        <v>-4.9600216600026688</v>
      </c>
      <c r="G570" s="14">
        <f t="shared" si="132"/>
        <v>-1.714977780164767</v>
      </c>
      <c r="H570" s="14">
        <f t="shared" si="133"/>
        <v>4.6541020703500644</v>
      </c>
      <c r="I570" s="14">
        <f t="shared" si="134"/>
        <v>4.3649929179353322</v>
      </c>
      <c r="J570" s="14">
        <f t="shared" si="143"/>
        <v>-11.894705997703603</v>
      </c>
      <c r="K570" s="14">
        <f t="shared" si="135"/>
        <v>-69.848409215338606</v>
      </c>
      <c r="L570" s="14">
        <f t="shared" si="136"/>
        <v>12.670327302221979</v>
      </c>
      <c r="M570" s="14">
        <f t="shared" si="145"/>
        <v>17.306585567480067</v>
      </c>
      <c r="N570" s="14">
        <f t="shared" si="137"/>
        <v>-2.1303014602913963</v>
      </c>
      <c r="O570" s="14">
        <f t="shared" si="144"/>
        <v>0</v>
      </c>
      <c r="P570" s="14">
        <f t="shared" si="138"/>
        <v>0</v>
      </c>
    </row>
    <row r="571" spans="1:16" x14ac:dyDescent="0.25">
      <c r="A571" s="14">
        <f t="shared" si="130"/>
        <v>2.7349999999999639</v>
      </c>
      <c r="B571" s="14">
        <f t="shared" si="139"/>
        <v>27.529066637864499</v>
      </c>
      <c r="C571" s="14">
        <f t="shared" si="140"/>
        <v>4.1604171968851347</v>
      </c>
      <c r="D571" s="14">
        <f t="shared" si="141"/>
        <v>4.1604171968851347</v>
      </c>
      <c r="E571" s="14">
        <f t="shared" si="131"/>
        <v>1</v>
      </c>
      <c r="F571" s="14">
        <f t="shared" si="142"/>
        <v>-4.9766530123083834</v>
      </c>
      <c r="G571" s="14">
        <f t="shared" si="132"/>
        <v>-1.7144825572057711</v>
      </c>
      <c r="H571" s="14">
        <f t="shared" si="133"/>
        <v>4.6720043627928334</v>
      </c>
      <c r="I571" s="14">
        <f t="shared" si="134"/>
        <v>4.3564205051493037</v>
      </c>
      <c r="J571" s="14">
        <f t="shared" si="143"/>
        <v>-11.920345975889639</v>
      </c>
      <c r="K571" s="14">
        <f t="shared" si="135"/>
        <v>-69.924617662402625</v>
      </c>
      <c r="L571" s="14">
        <f t="shared" si="136"/>
        <v>12.691455700690666</v>
      </c>
      <c r="M571" s="14">
        <f t="shared" si="145"/>
        <v>17.306585567480067</v>
      </c>
      <c r="N571" s="14">
        <f t="shared" si="137"/>
        <v>-2.1899031901708446</v>
      </c>
      <c r="O571" s="14">
        <f t="shared" si="144"/>
        <v>0</v>
      </c>
      <c r="P571" s="14">
        <f t="shared" si="138"/>
        <v>0</v>
      </c>
    </row>
    <row r="572" spans="1:16" x14ac:dyDescent="0.25">
      <c r="A572" s="14">
        <f t="shared" si="130"/>
        <v>2.7399999999999638</v>
      </c>
      <c r="B572" s="14">
        <f t="shared" si="139"/>
        <v>27.579393999176865</v>
      </c>
      <c r="C572" s="14">
        <f t="shared" si="140"/>
        <v>4.1008930784150905</v>
      </c>
      <c r="D572" s="14">
        <f t="shared" si="141"/>
        <v>4.1008930784150905</v>
      </c>
      <c r="E572" s="14">
        <f t="shared" si="131"/>
        <v>1</v>
      </c>
      <c r="F572" s="14">
        <f t="shared" si="142"/>
        <v>-4.9932644818804022</v>
      </c>
      <c r="G572" s="14">
        <f t="shared" si="132"/>
        <v>-1.7139688534951687</v>
      </c>
      <c r="H572" s="14">
        <f t="shared" si="133"/>
        <v>4.689882829587197</v>
      </c>
      <c r="I572" s="14">
        <f t="shared" si="134"/>
        <v>4.3478506608818277</v>
      </c>
      <c r="J572" s="14">
        <f t="shared" si="143"/>
        <v>-11.945896561741703</v>
      </c>
      <c r="K572" s="14">
        <f t="shared" si="135"/>
        <v>-70.000423985243458</v>
      </c>
      <c r="L572" s="14">
        <f t="shared" si="136"/>
        <v>12.712523354281902</v>
      </c>
      <c r="M572" s="14">
        <f t="shared" si="145"/>
        <v>17.306585567480067</v>
      </c>
      <c r="N572" s="14">
        <f t="shared" si="137"/>
        <v>-2.249632672979553</v>
      </c>
      <c r="O572" s="14">
        <f t="shared" si="144"/>
        <v>0</v>
      </c>
      <c r="P572" s="14">
        <f t="shared" si="138"/>
        <v>0</v>
      </c>
    </row>
    <row r="573" spans="1:16" x14ac:dyDescent="0.25">
      <c r="A573" s="14">
        <f t="shared" si="130"/>
        <v>2.7449999999999637</v>
      </c>
      <c r="B573" s="14">
        <f t="shared" si="139"/>
        <v>27.629721360489231</v>
      </c>
      <c r="C573" s="14">
        <f t="shared" si="140"/>
        <v>4.0411239599450468</v>
      </c>
      <c r="D573" s="14">
        <f t="shared" si="141"/>
        <v>4.0411239599450468</v>
      </c>
      <c r="E573" s="14">
        <f t="shared" si="131"/>
        <v>1</v>
      </c>
      <c r="F573" s="14">
        <f t="shared" si="142"/>
        <v>-5.0098557510280468</v>
      </c>
      <c r="G573" s="14">
        <f t="shared" si="132"/>
        <v>-1.7134367450890975</v>
      </c>
      <c r="H573" s="14">
        <f t="shared" si="133"/>
        <v>4.7077371598982953</v>
      </c>
      <c r="I573" s="14">
        <f t="shared" si="134"/>
        <v>4.339283477156382</v>
      </c>
      <c r="J573" s="14">
        <f t="shared" si="143"/>
        <v>-11.971357875942212</v>
      </c>
      <c r="K573" s="14">
        <f t="shared" si="135"/>
        <v>-70.075831194996653</v>
      </c>
      <c r="L573" s="14">
        <f t="shared" si="136"/>
        <v>12.73353016602254</v>
      </c>
      <c r="M573" s="14">
        <f t="shared" si="145"/>
        <v>17.306585567480067</v>
      </c>
      <c r="N573" s="14">
        <f t="shared" si="137"/>
        <v>-2.3094894623592639</v>
      </c>
      <c r="O573" s="14">
        <f t="shared" si="144"/>
        <v>0</v>
      </c>
      <c r="P573" s="14">
        <f t="shared" si="138"/>
        <v>0</v>
      </c>
    </row>
    <row r="574" spans="1:16" x14ac:dyDescent="0.25">
      <c r="A574" s="14">
        <f t="shared" si="130"/>
        <v>2.7499999999999636</v>
      </c>
      <c r="B574" s="14">
        <f t="shared" si="139"/>
        <v>27.680048721801597</v>
      </c>
      <c r="C574" s="14">
        <f t="shared" si="140"/>
        <v>3.9811098414750035</v>
      </c>
      <c r="D574" s="14">
        <f t="shared" si="141"/>
        <v>3.9811098414750035</v>
      </c>
      <c r="E574" s="14">
        <f t="shared" si="131"/>
        <v>1</v>
      </c>
      <c r="F574" s="14">
        <f t="shared" si="142"/>
        <v>-5.0264265051591863</v>
      </c>
      <c r="G574" s="14">
        <f t="shared" si="132"/>
        <v>-1.7128863087141124</v>
      </c>
      <c r="H574" s="14">
        <f t="shared" si="133"/>
        <v>4.725567045888412</v>
      </c>
      <c r="I574" s="14">
        <f t="shared" si="134"/>
        <v>4.3307190456128115</v>
      </c>
      <c r="J574" s="14">
        <f t="shared" si="143"/>
        <v>-11.996730040712769</v>
      </c>
      <c r="K574" s="14">
        <f t="shared" si="135"/>
        <v>-70.150842274460842</v>
      </c>
      <c r="L574" s="14">
        <f t="shared" si="136"/>
        <v>12.754476042620244</v>
      </c>
      <c r="M574" s="14">
        <f t="shared" si="145"/>
        <v>17.306585567480067</v>
      </c>
      <c r="N574" s="14">
        <f t="shared" si="137"/>
        <v>-2.3694731125628277</v>
      </c>
      <c r="O574" s="14">
        <f t="shared" si="144"/>
        <v>0</v>
      </c>
      <c r="P574" s="14">
        <f t="shared" si="138"/>
        <v>0</v>
      </c>
    </row>
    <row r="575" spans="1:16" x14ac:dyDescent="0.25">
      <c r="A575" s="14">
        <f t="shared" si="130"/>
        <v>2.7549999999999635</v>
      </c>
      <c r="B575" s="14">
        <f t="shared" si="139"/>
        <v>27.730376083113963</v>
      </c>
      <c r="C575" s="14">
        <f t="shared" si="140"/>
        <v>3.9208507230049605</v>
      </c>
      <c r="D575" s="14">
        <f t="shared" si="141"/>
        <v>3.9208507230049605</v>
      </c>
      <c r="E575" s="14">
        <f t="shared" si="131"/>
        <v>1</v>
      </c>
      <c r="F575" s="14">
        <f t="shared" si="142"/>
        <v>-5.042976432774986</v>
      </c>
      <c r="G575" s="14">
        <f t="shared" si="132"/>
        <v>-1.7123176217522207</v>
      </c>
      <c r="H575" s="14">
        <f t="shared" si="133"/>
        <v>4.7433721827156612</v>
      </c>
      <c r="I575" s="14">
        <f t="shared" si="134"/>
        <v>4.3221574575040504</v>
      </c>
      <c r="J575" s="14">
        <f t="shared" si="143"/>
        <v>-12.022013179799192</v>
      </c>
      <c r="K575" s="14">
        <f t="shared" si="135"/>
        <v>-70.225460178391998</v>
      </c>
      <c r="L575" s="14">
        <f t="shared" si="136"/>
        <v>12.775360894421862</v>
      </c>
      <c r="M575" s="14">
        <f t="shared" si="145"/>
        <v>17.306585567480067</v>
      </c>
      <c r="N575" s="14">
        <f t="shared" si="137"/>
        <v>-2.4295831784618236</v>
      </c>
      <c r="O575" s="14">
        <f t="shared" si="144"/>
        <v>0</v>
      </c>
      <c r="P575" s="14">
        <f t="shared" si="138"/>
        <v>0</v>
      </c>
    </row>
    <row r="576" spans="1:16" x14ac:dyDescent="0.25">
      <c r="A576" s="14">
        <f t="shared" si="130"/>
        <v>2.7599999999999634</v>
      </c>
      <c r="B576" s="14">
        <f t="shared" si="139"/>
        <v>27.780703444426329</v>
      </c>
      <c r="C576" s="14">
        <f t="shared" si="140"/>
        <v>3.860346604534918</v>
      </c>
      <c r="D576" s="14">
        <f t="shared" si="141"/>
        <v>3.860346604534918</v>
      </c>
      <c r="E576" s="14">
        <f t="shared" si="131"/>
        <v>1</v>
      </c>
      <c r="F576" s="14">
        <f t="shared" si="142"/>
        <v>-5.0595052254644237</v>
      </c>
      <c r="G576" s="14">
        <f t="shared" si="132"/>
        <v>-1.7117307622260634</v>
      </c>
      <c r="H576" s="14">
        <f t="shared" si="133"/>
        <v>4.7611522685323555</v>
      </c>
      <c r="I576" s="14">
        <f t="shared" si="134"/>
        <v>4.31359880369292</v>
      </c>
      <c r="J576" s="14">
        <f t="shared" si="143"/>
        <v>-12.04720741845653</v>
      </c>
      <c r="K576" s="14">
        <f t="shared" si="135"/>
        <v>-70.299687833794778</v>
      </c>
      <c r="L576" s="14">
        <f t="shared" si="136"/>
        <v>12.79618463537218</v>
      </c>
      <c r="M576" s="14">
        <f t="shared" si="145"/>
        <v>17.306585567480067</v>
      </c>
      <c r="N576" s="14">
        <f t="shared" si="137"/>
        <v>-2.4898192155541063</v>
      </c>
      <c r="O576" s="14">
        <f t="shared" si="144"/>
        <v>0</v>
      </c>
      <c r="P576" s="14">
        <f t="shared" si="138"/>
        <v>0</v>
      </c>
    </row>
    <row r="577" spans="1:16" x14ac:dyDescent="0.25">
      <c r="A577" s="14">
        <f t="shared" ref="A577:A640" si="146">A576+$A$22</f>
        <v>2.7649999999999633</v>
      </c>
      <c r="B577" s="14">
        <f t="shared" si="139"/>
        <v>27.831030805738695</v>
      </c>
      <c r="C577" s="14">
        <f t="shared" si="140"/>
        <v>3.7995974860648758</v>
      </c>
      <c r="D577" s="14">
        <f t="shared" si="141"/>
        <v>3.7995974860648758</v>
      </c>
      <c r="E577" s="14">
        <f t="shared" ref="E577:E640" si="147">IF(AND(C578-C577&lt;0,C577&lt;$B$18),0,1)</f>
        <v>1</v>
      </c>
      <c r="F577" s="14">
        <f t="shared" si="142"/>
        <v>-5.0760125778985872</v>
      </c>
      <c r="G577" s="14">
        <f t="shared" ref="G577:G640" si="148">$F577*COS(PI()/180*$K576)</f>
        <v>-1.7111258087842303</v>
      </c>
      <c r="H577" s="14">
        <f t="shared" ref="H577:H640" si="149">$F577*SIN(PI()/180*$K576)</f>
        <v>4.7789070044830524</v>
      </c>
      <c r="I577" s="14">
        <f t="shared" ref="I577:I640" si="150">I576+G577*$A$22</f>
        <v>4.3050431746489988</v>
      </c>
      <c r="J577" s="14">
        <f t="shared" si="143"/>
        <v>-12.072312883434115</v>
      </c>
      <c r="K577" s="14">
        <f t="shared" ref="K577:K640" si="151">180/PI()*ATAN(J577/I577)</f>
        <v>-70.373528140210865</v>
      </c>
      <c r="L577" s="14">
        <f t="shared" ref="L577:L640" si="152">SQRT(I577^2+J577^2)</f>
        <v>12.816947182973067</v>
      </c>
      <c r="M577" s="14">
        <f t="shared" si="145"/>
        <v>17.306585567480067</v>
      </c>
      <c r="N577" s="14">
        <f t="shared" ref="N577:N640" si="153">N576+J577*$A$22</f>
        <v>-2.550180779971277</v>
      </c>
      <c r="O577" s="14">
        <f t="shared" si="144"/>
        <v>0</v>
      </c>
      <c r="P577" s="14">
        <f t="shared" ref="P577:P640" si="154">IF(AND(N578-N577&lt;0,N577&lt;$B$18),0,1)</f>
        <v>0</v>
      </c>
    </row>
    <row r="578" spans="1:16" x14ac:dyDescent="0.25">
      <c r="A578" s="14">
        <f t="shared" si="146"/>
        <v>2.7699999999999632</v>
      </c>
      <c r="B578" s="14">
        <f t="shared" si="139"/>
        <v>27.881358167051062</v>
      </c>
      <c r="C578" s="14">
        <f t="shared" si="140"/>
        <v>3.738603367594834</v>
      </c>
      <c r="D578" s="14">
        <f t="shared" si="141"/>
        <v>3.738603367594834</v>
      </c>
      <c r="E578" s="14">
        <f t="shared" si="147"/>
        <v>1</v>
      </c>
      <c r="F578" s="14">
        <f t="shared" si="142"/>
        <v>-5.0924981878247575</v>
      </c>
      <c r="G578" s="14">
        <f t="shared" si="148"/>
        <v>-1.7105028406867415</v>
      </c>
      <c r="H578" s="14">
        <f t="shared" si="149"/>
        <v>4.7966360947023103</v>
      </c>
      <c r="I578" s="14">
        <f t="shared" si="150"/>
        <v>4.2964906604455653</v>
      </c>
      <c r="J578" s="14">
        <f t="shared" si="143"/>
        <v>-12.097329702960604</v>
      </c>
      <c r="K578" s="14">
        <f t="shared" si="151"/>
        <v>-70.446983970004609</v>
      </c>
      <c r="L578" s="14">
        <f t="shared" si="152"/>
        <v>12.837648458242999</v>
      </c>
      <c r="M578" s="14">
        <f t="shared" si="145"/>
        <v>17.306585567480067</v>
      </c>
      <c r="N578" s="14">
        <f t="shared" si="153"/>
        <v>-2.6106674284860802</v>
      </c>
      <c r="O578" s="14">
        <f t="shared" si="144"/>
        <v>0</v>
      </c>
      <c r="P578" s="14">
        <f t="shared" si="154"/>
        <v>0</v>
      </c>
    </row>
    <row r="579" spans="1:16" x14ac:dyDescent="0.25">
      <c r="A579" s="14">
        <f t="shared" si="146"/>
        <v>2.7749999999999631</v>
      </c>
      <c r="B579" s="14">
        <f t="shared" si="139"/>
        <v>27.931685528363428</v>
      </c>
      <c r="C579" s="14">
        <f t="shared" si="140"/>
        <v>3.6773642491247855</v>
      </c>
      <c r="D579" s="14">
        <f t="shared" si="141"/>
        <v>3.6773642491247855</v>
      </c>
      <c r="E579" s="14">
        <f t="shared" si="147"/>
        <v>1</v>
      </c>
      <c r="F579" s="14">
        <f t="shared" si="142"/>
        <v>-5.1089617560602942</v>
      </c>
      <c r="G579" s="14">
        <f t="shared" si="148"/>
        <v>-1.7098619377906581</v>
      </c>
      <c r="H579" s="14">
        <f t="shared" si="149"/>
        <v>4.8143392463121524</v>
      </c>
      <c r="I579" s="14">
        <f t="shared" si="150"/>
        <v>4.2879413507566122</v>
      </c>
      <c r="J579" s="14">
        <f t="shared" si="143"/>
        <v>-12.122258006729043</v>
      </c>
      <c r="K579" s="14">
        <f t="shared" si="151"/>
        <v>-70.520058168645733</v>
      </c>
      <c r="L579" s="14">
        <f t="shared" si="152"/>
        <v>12.858288385676953</v>
      </c>
      <c r="M579" s="14">
        <f t="shared" si="145"/>
        <v>17.306585567480067</v>
      </c>
      <c r="N579" s="14">
        <f t="shared" si="153"/>
        <v>-2.6712787185197255</v>
      </c>
      <c r="O579" s="14">
        <f t="shared" si="144"/>
        <v>0</v>
      </c>
      <c r="P579" s="14">
        <f t="shared" si="154"/>
        <v>0</v>
      </c>
    </row>
    <row r="580" spans="1:16" x14ac:dyDescent="0.25">
      <c r="A580" s="14">
        <f t="shared" si="146"/>
        <v>2.7799999999999629</v>
      </c>
      <c r="B580" s="14">
        <f t="shared" si="139"/>
        <v>27.982012889675794</v>
      </c>
      <c r="C580" s="14">
        <f t="shared" si="140"/>
        <v>3.6158801306547446</v>
      </c>
      <c r="D580" s="14">
        <f t="shared" si="141"/>
        <v>3.6158801306547446</v>
      </c>
      <c r="E580" s="14">
        <f t="shared" si="147"/>
        <v>1</v>
      </c>
      <c r="F580" s="14">
        <f t="shared" si="142"/>
        <v>-5.1254029864862796</v>
      </c>
      <c r="G580" s="14">
        <f t="shared" si="148"/>
        <v>-1.7092031805358285</v>
      </c>
      <c r="H580" s="14">
        <f t="shared" si="149"/>
        <v>4.8320161694192088</v>
      </c>
      <c r="I580" s="14">
        <f t="shared" si="150"/>
        <v>4.2793953348539331</v>
      </c>
      <c r="J580" s="14">
        <f t="shared" si="143"/>
        <v>-12.147097925881946</v>
      </c>
      <c r="K580" s="14">
        <f t="shared" si="151"/>
        <v>-70.59275355498913</v>
      </c>
      <c r="L580" s="14">
        <f t="shared" si="152"/>
        <v>12.878866893206681</v>
      </c>
      <c r="M580" s="14">
        <f t="shared" si="145"/>
        <v>17.306585567480067</v>
      </c>
      <c r="N580" s="14">
        <f t="shared" si="153"/>
        <v>-2.7320142081491352</v>
      </c>
      <c r="O580" s="14">
        <f t="shared" si="144"/>
        <v>0</v>
      </c>
      <c r="P580" s="14">
        <f t="shared" si="154"/>
        <v>0</v>
      </c>
    </row>
    <row r="581" spans="1:16" x14ac:dyDescent="0.25">
      <c r="A581" s="14">
        <f t="shared" si="146"/>
        <v>2.7849999999999628</v>
      </c>
      <c r="B581" s="14">
        <f t="shared" si="139"/>
        <v>28.032340250988163</v>
      </c>
      <c r="C581" s="14">
        <f t="shared" si="140"/>
        <v>3.5541510121846969</v>
      </c>
      <c r="D581" s="14">
        <f t="shared" si="141"/>
        <v>3.5541510121846969</v>
      </c>
      <c r="E581" s="14">
        <f t="shared" si="147"/>
        <v>1</v>
      </c>
      <c r="F581" s="14">
        <f t="shared" si="142"/>
        <v>-5.1418215860409875</v>
      </c>
      <c r="G581" s="14">
        <f t="shared" si="148"/>
        <v>-1.7085266499307967</v>
      </c>
      <c r="H581" s="14">
        <f t="shared" si="149"/>
        <v>4.8496665771115959</v>
      </c>
      <c r="I581" s="14">
        <f t="shared" si="150"/>
        <v>4.2708527016042792</v>
      </c>
      <c r="J581" s="14">
        <f t="shared" si="143"/>
        <v>-12.171849592996388</v>
      </c>
      <c r="K581" s="14">
        <f t="shared" si="151"/>
        <v>-70.665072921551911</v>
      </c>
      <c r="L581" s="14">
        <f t="shared" si="152"/>
        <v>12.899383912161344</v>
      </c>
      <c r="M581" s="14">
        <f t="shared" si="145"/>
        <v>17.306585567480067</v>
      </c>
      <c r="N581" s="14">
        <f t="shared" si="153"/>
        <v>-2.7928734561141173</v>
      </c>
      <c r="O581" s="14">
        <f t="shared" si="144"/>
        <v>0</v>
      </c>
      <c r="P581" s="14">
        <f t="shared" si="154"/>
        <v>0</v>
      </c>
    </row>
    <row r="582" spans="1:16" x14ac:dyDescent="0.25">
      <c r="A582" s="14">
        <f t="shared" si="146"/>
        <v>2.7899999999999627</v>
      </c>
      <c r="B582" s="14">
        <f t="shared" si="139"/>
        <v>28.082667612300529</v>
      </c>
      <c r="C582" s="14">
        <f t="shared" si="140"/>
        <v>3.4921768937146638</v>
      </c>
      <c r="D582" s="14">
        <f t="shared" si="141"/>
        <v>3.4921768937146638</v>
      </c>
      <c r="E582" s="14">
        <f t="shared" si="147"/>
        <v>1</v>
      </c>
      <c r="F582" s="14">
        <f t="shared" si="142"/>
        <v>-5.1582172647131337</v>
      </c>
      <c r="G582" s="14">
        <f t="shared" si="148"/>
        <v>-1.7078324275388366</v>
      </c>
      <c r="H582" s="14">
        <f t="shared" si="149"/>
        <v>4.8672901854555013</v>
      </c>
      <c r="I582" s="14">
        <f t="shared" si="150"/>
        <v>4.262313539466585</v>
      </c>
      <c r="J582" s="14">
        <f t="shared" si="143"/>
        <v>-12.19651314206911</v>
      </c>
      <c r="K582" s="14">
        <f t="shared" si="151"/>
        <v>-70.73701903478765</v>
      </c>
      <c r="L582" s="14">
        <f t="shared" si="152"/>
        <v>12.919839377228522</v>
      </c>
      <c r="M582" s="14">
        <f t="shared" si="145"/>
        <v>17.306585567480067</v>
      </c>
      <c r="N582" s="14">
        <f t="shared" si="153"/>
        <v>-2.8538560218244626</v>
      </c>
      <c r="O582" s="14">
        <f t="shared" si="144"/>
        <v>0</v>
      </c>
      <c r="P582" s="14">
        <f t="shared" si="154"/>
        <v>0</v>
      </c>
    </row>
    <row r="583" spans="1:16" x14ac:dyDescent="0.25">
      <c r="A583" s="14">
        <f t="shared" si="146"/>
        <v>2.7949999999999626</v>
      </c>
      <c r="B583" s="14">
        <f t="shared" si="139"/>
        <v>28.132994973612895</v>
      </c>
      <c r="C583" s="14">
        <f t="shared" si="140"/>
        <v>3.4299577752446098</v>
      </c>
      <c r="D583" s="14">
        <f t="shared" si="141"/>
        <v>3.4299577752446098</v>
      </c>
      <c r="E583" s="14">
        <f t="shared" si="147"/>
        <v>1</v>
      </c>
      <c r="F583" s="14">
        <f t="shared" si="142"/>
        <v>-5.1745897355349246</v>
      </c>
      <c r="G583" s="14">
        <f t="shared" si="148"/>
        <v>-1.7071205954641331</v>
      </c>
      <c r="H583" s="14">
        <f t="shared" si="149"/>
        <v>4.8848867134914791</v>
      </c>
      <c r="I583" s="14">
        <f t="shared" si="150"/>
        <v>4.2537779364892643</v>
      </c>
      <c r="J583" s="14">
        <f t="shared" si="143"/>
        <v>-12.221088708501652</v>
      </c>
      <c r="K583" s="14">
        <f t="shared" si="151"/>
        <v>-70.808594635357736</v>
      </c>
      <c r="L583" s="14">
        <f t="shared" si="152"/>
        <v>12.940233226415568</v>
      </c>
      <c r="M583" s="14">
        <f t="shared" si="145"/>
        <v>17.306585567480067</v>
      </c>
      <c r="N583" s="14">
        <f t="shared" si="153"/>
        <v>-2.9149614653669711</v>
      </c>
      <c r="O583" s="14">
        <f t="shared" si="144"/>
        <v>0</v>
      </c>
      <c r="P583" s="14">
        <f t="shared" si="154"/>
        <v>0</v>
      </c>
    </row>
    <row r="584" spans="1:16" x14ac:dyDescent="0.25">
      <c r="A584" s="14">
        <f t="shared" si="146"/>
        <v>2.7999999999999625</v>
      </c>
      <c r="B584" s="14">
        <f t="shared" si="139"/>
        <v>28.183322334925261</v>
      </c>
      <c r="C584" s="14">
        <f t="shared" si="140"/>
        <v>3.3674936567745704</v>
      </c>
      <c r="D584" s="14">
        <f t="shared" si="141"/>
        <v>3.3674936567745704</v>
      </c>
      <c r="E584" s="14">
        <f t="shared" si="147"/>
        <v>1</v>
      </c>
      <c r="F584" s="14">
        <f t="shared" si="142"/>
        <v>-5.190938714574914</v>
      </c>
      <c r="G584" s="14">
        <f t="shared" si="148"/>
        <v>-1.7063912363381073</v>
      </c>
      <c r="H584" s="14">
        <f t="shared" si="149"/>
        <v>4.9024558832304814</v>
      </c>
      <c r="I584" s="14">
        <f t="shared" si="150"/>
        <v>4.2452459803075735</v>
      </c>
      <c r="J584" s="14">
        <f t="shared" si="143"/>
        <v>-12.245576429085499</v>
      </c>
      <c r="K584" s="14">
        <f t="shared" si="151"/>
        <v>-70.879802438400176</v>
      </c>
      <c r="L584" s="14">
        <f t="shared" si="152"/>
        <v>12.96056540101133</v>
      </c>
      <c r="M584" s="14">
        <f t="shared" si="145"/>
        <v>17.306585567480067</v>
      </c>
      <c r="N584" s="14">
        <f t="shared" si="153"/>
        <v>-2.9761893475123986</v>
      </c>
      <c r="O584" s="14">
        <f t="shared" si="144"/>
        <v>0</v>
      </c>
      <c r="P584" s="14">
        <f t="shared" si="154"/>
        <v>0</v>
      </c>
    </row>
    <row r="585" spans="1:16" x14ac:dyDescent="0.25">
      <c r="A585" s="14">
        <f t="shared" si="146"/>
        <v>2.8049999999999624</v>
      </c>
      <c r="B585" s="14">
        <f t="shared" si="139"/>
        <v>28.233649696237627</v>
      </c>
      <c r="C585" s="14">
        <f t="shared" si="140"/>
        <v>3.3047845383045313</v>
      </c>
      <c r="D585" s="14">
        <f t="shared" si="141"/>
        <v>3.3047845383045313</v>
      </c>
      <c r="E585" s="14">
        <f t="shared" si="147"/>
        <v>1</v>
      </c>
      <c r="F585" s="14">
        <f t="shared" si="142"/>
        <v>-5.207263920930651</v>
      </c>
      <c r="G585" s="14">
        <f t="shared" si="148"/>
        <v>-1.7056444333058591</v>
      </c>
      <c r="H585" s="14">
        <f t="shared" si="149"/>
        <v>4.919997419649607</v>
      </c>
      <c r="I585" s="14">
        <f t="shared" si="150"/>
        <v>4.2367177581410438</v>
      </c>
      <c r="J585" s="14">
        <f t="shared" si="143"/>
        <v>-12.269976441987252</v>
      </c>
      <c r="K585" s="14">
        <f t="shared" si="151"/>
        <v>-70.950645133795291</v>
      </c>
      <c r="L585" s="14">
        <f t="shared" si="152"/>
        <v>12.98083584554823</v>
      </c>
      <c r="M585" s="14">
        <f t="shared" si="145"/>
        <v>17.306585567480067</v>
      </c>
      <c r="N585" s="14">
        <f t="shared" si="153"/>
        <v>-3.0375392297223347</v>
      </c>
      <c r="O585" s="14">
        <f t="shared" si="144"/>
        <v>0</v>
      </c>
      <c r="P585" s="14">
        <f t="shared" si="154"/>
        <v>0</v>
      </c>
    </row>
    <row r="586" spans="1:16" x14ac:dyDescent="0.25">
      <c r="A586" s="14">
        <f t="shared" si="146"/>
        <v>2.8099999999999623</v>
      </c>
      <c r="B586" s="14">
        <f t="shared" si="139"/>
        <v>28.283977057549993</v>
      </c>
      <c r="C586" s="14">
        <f t="shared" si="140"/>
        <v>3.2418304198344856</v>
      </c>
      <c r="D586" s="14">
        <f t="shared" si="141"/>
        <v>3.2418304198344856</v>
      </c>
      <c r="E586" s="14">
        <f t="shared" si="147"/>
        <v>1</v>
      </c>
      <c r="F586" s="14">
        <f t="shared" si="142"/>
        <v>-5.2235650767211643</v>
      </c>
      <c r="G586" s="14">
        <f t="shared" si="148"/>
        <v>-1.7048802700127881</v>
      </c>
      <c r="H586" s="14">
        <f t="shared" si="149"/>
        <v>4.9375110506875934</v>
      </c>
      <c r="I586" s="14">
        <f t="shared" si="150"/>
        <v>4.22819335679098</v>
      </c>
      <c r="J586" s="14">
        <f t="shared" si="143"/>
        <v>-12.294288886733813</v>
      </c>
      <c r="K586" s="14">
        <f t="shared" si="151"/>
        <v>-71.021125386429105</v>
      </c>
      <c r="L586" s="14">
        <f t="shared" si="152"/>
        <v>13.001044507764671</v>
      </c>
      <c r="M586" s="14">
        <f t="shared" si="145"/>
        <v>17.306585567480067</v>
      </c>
      <c r="N586" s="14">
        <f t="shared" si="153"/>
        <v>-3.0990106741560037</v>
      </c>
      <c r="O586" s="14">
        <f t="shared" si="144"/>
        <v>0</v>
      </c>
      <c r="P586" s="14">
        <f t="shared" si="154"/>
        <v>0</v>
      </c>
    </row>
    <row r="587" spans="1:16" x14ac:dyDescent="0.25">
      <c r="A587" s="14">
        <f t="shared" si="146"/>
        <v>2.8149999999999622</v>
      </c>
      <c r="B587" s="14">
        <f t="shared" si="139"/>
        <v>28.334304418862359</v>
      </c>
      <c r="C587" s="14">
        <f t="shared" si="140"/>
        <v>3.1786313013644403</v>
      </c>
      <c r="D587" s="14">
        <f t="shared" si="141"/>
        <v>3.1786313013644403</v>
      </c>
      <c r="E587" s="14">
        <f t="shared" si="147"/>
        <v>1</v>
      </c>
      <c r="F587" s="14">
        <f t="shared" si="142"/>
        <v>-5.2398419070792164</v>
      </c>
      <c r="G587" s="14">
        <f t="shared" si="148"/>
        <v>-1.7040988305913076</v>
      </c>
      <c r="H587" s="14">
        <f t="shared" si="149"/>
        <v>4.9549965072400299</v>
      </c>
      <c r="I587" s="14">
        <f t="shared" si="150"/>
        <v>4.2196728626380233</v>
      </c>
      <c r="J587" s="14">
        <f t="shared" si="143"/>
        <v>-12.318513904197614</v>
      </c>
      <c r="K587" s="14">
        <f t="shared" si="151"/>
        <v>-71.091245836453638</v>
      </c>
      <c r="L587" s="14">
        <f t="shared" si="152"/>
        <v>13.021191338567823</v>
      </c>
      <c r="M587" s="14">
        <f t="shared" si="145"/>
        <v>17.306585567480067</v>
      </c>
      <c r="N587" s="14">
        <f t="shared" si="153"/>
        <v>-3.160603243676992</v>
      </c>
      <c r="O587" s="14">
        <f t="shared" si="144"/>
        <v>0</v>
      </c>
      <c r="P587" s="14">
        <f t="shared" si="154"/>
        <v>0</v>
      </c>
    </row>
    <row r="588" spans="1:16" x14ac:dyDescent="0.25">
      <c r="A588" s="14">
        <f t="shared" si="146"/>
        <v>2.8199999999999621</v>
      </c>
      <c r="B588" s="14">
        <f t="shared" si="139"/>
        <v>28.384631780174725</v>
      </c>
      <c r="C588" s="14">
        <f t="shared" si="140"/>
        <v>3.1151871828943953</v>
      </c>
      <c r="D588" s="14">
        <f t="shared" si="141"/>
        <v>3.1151871828943953</v>
      </c>
      <c r="E588" s="14">
        <f t="shared" si="147"/>
        <v>1</v>
      </c>
      <c r="F588" s="14">
        <f t="shared" si="142"/>
        <v>-5.2560941401434045</v>
      </c>
      <c r="G588" s="14">
        <f t="shared" si="148"/>
        <v>-1.7033001996477291</v>
      </c>
      <c r="H588" s="14">
        <f t="shared" si="149"/>
        <v>4.9724535231543232</v>
      </c>
      <c r="I588" s="14">
        <f t="shared" si="150"/>
        <v>4.2111563616397847</v>
      </c>
      <c r="J588" s="14">
        <f t="shared" si="143"/>
        <v>-12.342651636581842</v>
      </c>
      <c r="K588" s="14">
        <f t="shared" si="151"/>
        <v>-71.161009099544756</v>
      </c>
      <c r="L588" s="14">
        <f t="shared" si="152"/>
        <v>13.041276291996716</v>
      </c>
      <c r="M588" s="14">
        <f t="shared" si="145"/>
        <v>17.306585567480067</v>
      </c>
      <c r="N588" s="14">
        <f t="shared" si="153"/>
        <v>-3.2223165018599014</v>
      </c>
      <c r="O588" s="14">
        <f t="shared" si="144"/>
        <v>0</v>
      </c>
      <c r="P588" s="14">
        <f t="shared" si="154"/>
        <v>0</v>
      </c>
    </row>
    <row r="589" spans="1:16" x14ac:dyDescent="0.25">
      <c r="A589" s="14">
        <f t="shared" si="146"/>
        <v>2.824999999999962</v>
      </c>
      <c r="B589" s="14">
        <f t="shared" si="139"/>
        <v>28.434959141487091</v>
      </c>
      <c r="C589" s="14">
        <f t="shared" si="140"/>
        <v>3.0514980644243579</v>
      </c>
      <c r="D589" s="14">
        <f t="shared" si="141"/>
        <v>3.0514980644243579</v>
      </c>
      <c r="E589" s="14">
        <f t="shared" si="147"/>
        <v>1</v>
      </c>
      <c r="F589" s="14">
        <f t="shared" si="142"/>
        <v>-5.2723215070500649</v>
      </c>
      <c r="G589" s="14">
        <f t="shared" si="148"/>
        <v>-1.7024844622492663</v>
      </c>
      <c r="H589" s="14">
        <f t="shared" si="149"/>
        <v>4.9898818352244065</v>
      </c>
      <c r="I589" s="14">
        <f t="shared" si="150"/>
        <v>4.2026439393285386</v>
      </c>
      <c r="J589" s="14">
        <f t="shared" si="143"/>
        <v>-12.366702227405719</v>
      </c>
      <c r="K589" s="14">
        <f t="shared" si="151"/>
        <v>-71.230417767157263</v>
      </c>
      <c r="L589" s="14">
        <f t="shared" si="152"/>
        <v>13.061299325185702</v>
      </c>
      <c r="M589" s="14">
        <f t="shared" si="145"/>
        <v>17.306585567480067</v>
      </c>
      <c r="N589" s="14">
        <f t="shared" si="153"/>
        <v>-3.2841500129969301</v>
      </c>
      <c r="O589" s="14">
        <f t="shared" si="144"/>
        <v>0</v>
      </c>
      <c r="P589" s="14">
        <f t="shared" si="154"/>
        <v>0</v>
      </c>
    </row>
    <row r="590" spans="1:16" x14ac:dyDescent="0.25">
      <c r="A590" s="14">
        <f t="shared" si="146"/>
        <v>2.8299999999999619</v>
      </c>
      <c r="B590" s="14">
        <f t="shared" si="139"/>
        <v>28.485286502799458</v>
      </c>
      <c r="C590" s="14">
        <f t="shared" si="140"/>
        <v>2.9875639459543137</v>
      </c>
      <c r="D590" s="14">
        <f t="shared" si="141"/>
        <v>2.9875639459543137</v>
      </c>
      <c r="E590" s="14">
        <f t="shared" si="147"/>
        <v>1</v>
      </c>
      <c r="F590" s="14">
        <f t="shared" si="142"/>
        <v>-5.2885237419249904</v>
      </c>
      <c r="G590" s="14">
        <f t="shared" si="148"/>
        <v>-1.701651703911176</v>
      </c>
      <c r="H590" s="14">
        <f t="shared" si="149"/>
        <v>5.0072811831851913</v>
      </c>
      <c r="I590" s="14">
        <f t="shared" si="150"/>
        <v>4.1941356808089827</v>
      </c>
      <c r="J590" s="14">
        <f t="shared" si="143"/>
        <v>-12.390665821489794</v>
      </c>
      <c r="K590" s="14">
        <f t="shared" si="151"/>
        <v>-71.299474406777321</v>
      </c>
      <c r="L590" s="14">
        <f t="shared" si="152"/>
        <v>13.081260398328228</v>
      </c>
      <c r="M590" s="14">
        <f t="shared" si="145"/>
        <v>17.306585567480067</v>
      </c>
      <c r="N590" s="14">
        <f t="shared" si="153"/>
        <v>-3.3461033421043789</v>
      </c>
      <c r="O590" s="14">
        <f t="shared" si="144"/>
        <v>0</v>
      </c>
      <c r="P590" s="14">
        <f t="shared" si="154"/>
        <v>0</v>
      </c>
    </row>
    <row r="591" spans="1:16" x14ac:dyDescent="0.25">
      <c r="A591" s="14">
        <f t="shared" si="146"/>
        <v>2.8349999999999618</v>
      </c>
      <c r="B591" s="14">
        <f t="shared" si="139"/>
        <v>28.535613864111824</v>
      </c>
      <c r="C591" s="14">
        <f t="shared" si="140"/>
        <v>2.92338482748427</v>
      </c>
      <c r="D591" s="14">
        <f t="shared" si="141"/>
        <v>2.92338482748427</v>
      </c>
      <c r="E591" s="14">
        <f t="shared" si="147"/>
        <v>1</v>
      </c>
      <c r="F591" s="14">
        <f t="shared" si="142"/>
        <v>-5.3047005818749815</v>
      </c>
      <c r="G591" s="14">
        <f t="shared" si="148"/>
        <v>-1.70080201058404</v>
      </c>
      <c r="H591" s="14">
        <f t="shared" si="149"/>
        <v>5.0246513097067798</v>
      </c>
      <c r="I591" s="14">
        <f t="shared" si="150"/>
        <v>4.1856316707560621</v>
      </c>
      <c r="J591" s="14">
        <f t="shared" si="143"/>
        <v>-12.414542564941259</v>
      </c>
      <c r="K591" s="14">
        <f t="shared" si="151"/>
        <v>-71.368181562172254</v>
      </c>
      <c r="L591" s="14">
        <f t="shared" si="152"/>
        <v>13.101159474640955</v>
      </c>
      <c r="M591" s="14">
        <f t="shared" si="145"/>
        <v>17.306585567480067</v>
      </c>
      <c r="N591" s="14">
        <f t="shared" si="153"/>
        <v>-3.4081760549290854</v>
      </c>
      <c r="O591" s="14">
        <f t="shared" si="144"/>
        <v>0</v>
      </c>
      <c r="P591" s="14">
        <f t="shared" si="154"/>
        <v>0</v>
      </c>
    </row>
    <row r="592" spans="1:16" x14ac:dyDescent="0.25">
      <c r="A592" s="14">
        <f t="shared" si="146"/>
        <v>2.8399999999999617</v>
      </c>
      <c r="B592" s="14">
        <f t="shared" si="139"/>
        <v>28.58594122542419</v>
      </c>
      <c r="C592" s="14">
        <f t="shared" si="140"/>
        <v>2.8589607090142337</v>
      </c>
      <c r="D592" s="14">
        <f t="shared" si="141"/>
        <v>2.8589607090142337</v>
      </c>
      <c r="E592" s="14">
        <f t="shared" si="147"/>
        <v>1</v>
      </c>
      <c r="F592" s="14">
        <f t="shared" si="142"/>
        <v>-5.3208517669792075</v>
      </c>
      <c r="G592" s="14">
        <f t="shared" si="148"/>
        <v>-1.6999354686411725</v>
      </c>
      <c r="H592" s="14">
        <f t="shared" si="149"/>
        <v>5.0419919603884207</v>
      </c>
      <c r="I592" s="14">
        <f t="shared" si="150"/>
        <v>4.1771319934128561</v>
      </c>
      <c r="J592" s="14">
        <f t="shared" si="143"/>
        <v>-12.438332605139317</v>
      </c>
      <c r="K592" s="14">
        <f t="shared" si="151"/>
        <v>-71.436541753637741</v>
      </c>
      <c r="L592" s="14">
        <f t="shared" si="152"/>
        <v>13.120996520328214</v>
      </c>
      <c r="M592" s="14">
        <f t="shared" si="145"/>
        <v>17.306585567480067</v>
      </c>
      <c r="N592" s="14">
        <f t="shared" si="153"/>
        <v>-3.4703677179547818</v>
      </c>
      <c r="O592" s="14">
        <f t="shared" si="144"/>
        <v>0</v>
      </c>
      <c r="P592" s="14">
        <f t="shared" si="154"/>
        <v>0</v>
      </c>
    </row>
    <row r="593" spans="1:16" x14ac:dyDescent="0.25">
      <c r="A593" s="14">
        <f t="shared" si="146"/>
        <v>2.8449999999999616</v>
      </c>
      <c r="B593" s="14">
        <f t="shared" si="139"/>
        <v>28.636268586736556</v>
      </c>
      <c r="C593" s="14">
        <f t="shared" si="140"/>
        <v>2.7942915905441836</v>
      </c>
      <c r="D593" s="14">
        <f t="shared" si="141"/>
        <v>2.7942915905441836</v>
      </c>
      <c r="E593" s="14">
        <f t="shared" si="147"/>
        <v>1</v>
      </c>
      <c r="F593" s="14">
        <f t="shared" si="142"/>
        <v>-5.3369770402804182</v>
      </c>
      <c r="G593" s="14">
        <f t="shared" si="148"/>
        <v>-1.6990521648661743</v>
      </c>
      <c r="H593" s="14">
        <f t="shared" si="149"/>
        <v>5.059302883752256</v>
      </c>
      <c r="I593" s="14">
        <f t="shared" si="150"/>
        <v>4.1686367325885252</v>
      </c>
      <c r="J593" s="14">
        <f t="shared" si="143"/>
        <v>-12.462036090720556</v>
      </c>
      <c r="K593" s="14">
        <f t="shared" si="151"/>
        <v>-71.504557478242489</v>
      </c>
      <c r="L593" s="14">
        <f t="shared" si="152"/>
        <v>13.140771504546755</v>
      </c>
      <c r="M593" s="14">
        <f t="shared" si="145"/>
        <v>17.306585567480067</v>
      </c>
      <c r="N593" s="14">
        <f t="shared" si="153"/>
        <v>-3.5326778984083846</v>
      </c>
      <c r="O593" s="14">
        <f t="shared" si="144"/>
        <v>0</v>
      </c>
      <c r="P593" s="14">
        <f t="shared" si="154"/>
        <v>0</v>
      </c>
    </row>
    <row r="594" spans="1:16" x14ac:dyDescent="0.25">
      <c r="A594" s="14">
        <f t="shared" si="146"/>
        <v>2.8499999999999615</v>
      </c>
      <c r="B594" s="14">
        <f t="shared" si="139"/>
        <v>28.686595948048922</v>
      </c>
      <c r="C594" s="14">
        <f t="shared" si="140"/>
        <v>2.7293774720741411</v>
      </c>
      <c r="D594" s="14">
        <f t="shared" si="141"/>
        <v>2.7293774720741411</v>
      </c>
      <c r="E594" s="14">
        <f t="shared" si="147"/>
        <v>1</v>
      </c>
      <c r="F594" s="14">
        <f t="shared" si="142"/>
        <v>-5.3530761477759476</v>
      </c>
      <c r="G594" s="14">
        <f t="shared" si="148"/>
        <v>-1.698152186440592</v>
      </c>
      <c r="H594" s="14">
        <f t="shared" si="149"/>
        <v>5.0765838312367917</v>
      </c>
      <c r="I594" s="14">
        <f t="shared" si="150"/>
        <v>4.1601459716563225</v>
      </c>
      <c r="J594" s="14">
        <f t="shared" si="143"/>
        <v>-12.485653171564373</v>
      </c>
      <c r="K594" s="14">
        <f t="shared" si="151"/>
        <v>-71.572231210070157</v>
      </c>
      <c r="L594" s="14">
        <f t="shared" si="152"/>
        <v>13.16048439937086</v>
      </c>
      <c r="M594" s="14">
        <f t="shared" si="145"/>
        <v>17.306585567480067</v>
      </c>
      <c r="N594" s="14">
        <f t="shared" si="153"/>
        <v>-3.5951061642662063</v>
      </c>
      <c r="O594" s="14">
        <f t="shared" si="144"/>
        <v>0</v>
      </c>
      <c r="P594" s="14">
        <f t="shared" si="154"/>
        <v>0</v>
      </c>
    </row>
    <row r="595" spans="1:16" x14ac:dyDescent="0.25">
      <c r="A595" s="14">
        <f t="shared" si="146"/>
        <v>2.8549999999999613</v>
      </c>
      <c r="B595" s="14">
        <f t="shared" si="139"/>
        <v>28.736923309361288</v>
      </c>
      <c r="C595" s="14">
        <f t="shared" si="140"/>
        <v>2.6642183536040989</v>
      </c>
      <c r="D595" s="14">
        <f t="shared" si="141"/>
        <v>2.6642183536040989</v>
      </c>
      <c r="E595" s="14">
        <f t="shared" si="147"/>
        <v>1</v>
      </c>
      <c r="F595" s="14">
        <f t="shared" si="142"/>
        <v>-5.3691488384085977</v>
      </c>
      <c r="G595" s="14">
        <f t="shared" si="148"/>
        <v>-1.697235620931745</v>
      </c>
      <c r="H595" s="14">
        <f t="shared" si="149"/>
        <v>5.0938345571901751</v>
      </c>
      <c r="I595" s="14">
        <f t="shared" si="150"/>
        <v>4.1516597935516639</v>
      </c>
      <c r="J595" s="14">
        <f t="shared" si="143"/>
        <v>-12.509183998778422</v>
      </c>
      <c r="K595" s="14">
        <f t="shared" si="151"/>
        <v>-71.63956540045892</v>
      </c>
      <c r="L595" s="14">
        <f t="shared" si="152"/>
        <v>13.180135179757739</v>
      </c>
      <c r="M595" s="14">
        <f t="shared" si="145"/>
        <v>17.306585567480067</v>
      </c>
      <c r="N595" s="14">
        <f t="shared" si="153"/>
        <v>-3.6576520842600986</v>
      </c>
      <c r="O595" s="14">
        <f t="shared" si="144"/>
        <v>0</v>
      </c>
      <c r="P595" s="14">
        <f t="shared" si="154"/>
        <v>0</v>
      </c>
    </row>
    <row r="596" spans="1:16" x14ac:dyDescent="0.25">
      <c r="A596" s="14">
        <f t="shared" si="146"/>
        <v>2.8599999999999612</v>
      </c>
      <c r="B596" s="14">
        <f t="shared" si="139"/>
        <v>28.787250670673654</v>
      </c>
      <c r="C596" s="14">
        <f t="shared" si="140"/>
        <v>2.5988142351340571</v>
      </c>
      <c r="D596" s="14">
        <f t="shared" si="141"/>
        <v>2.5988142351340571</v>
      </c>
      <c r="E596" s="14">
        <f t="shared" si="147"/>
        <v>1</v>
      </c>
      <c r="F596" s="14">
        <f t="shared" si="142"/>
        <v>-5.3851948640573148</v>
      </c>
      <c r="G596" s="14">
        <f t="shared" si="148"/>
        <v>-1.6963025562806568</v>
      </c>
      <c r="H596" s="14">
        <f t="shared" si="149"/>
        <v>5.1110548188632245</v>
      </c>
      <c r="I596" s="14">
        <f t="shared" si="150"/>
        <v>4.1431782807702611</v>
      </c>
      <c r="J596" s="14">
        <f t="shared" si="143"/>
        <v>-12.532628724684105</v>
      </c>
      <c r="K596" s="14">
        <f t="shared" si="151"/>
        <v>-71.706562478238425</v>
      </c>
      <c r="L596" s="14">
        <f t="shared" si="152"/>
        <v>13.199723823513262</v>
      </c>
      <c r="M596" s="14">
        <f t="shared" si="145"/>
        <v>17.306585567480067</v>
      </c>
      <c r="N596" s="14">
        <f t="shared" si="153"/>
        <v>-3.720315227883519</v>
      </c>
      <c r="O596" s="14">
        <f t="shared" si="144"/>
        <v>0</v>
      </c>
      <c r="P596" s="14">
        <f t="shared" si="154"/>
        <v>0</v>
      </c>
    </row>
    <row r="597" spans="1:16" x14ac:dyDescent="0.25">
      <c r="A597" s="14">
        <f t="shared" si="146"/>
        <v>2.8649999999999611</v>
      </c>
      <c r="B597" s="14">
        <f t="shared" si="139"/>
        <v>28.83757803198602</v>
      </c>
      <c r="C597" s="14">
        <f t="shared" si="140"/>
        <v>2.5331651166640157</v>
      </c>
      <c r="D597" s="14">
        <f t="shared" si="141"/>
        <v>2.5331651166640157</v>
      </c>
      <c r="E597" s="14">
        <f t="shared" si="147"/>
        <v>1</v>
      </c>
      <c r="F597" s="14">
        <f t="shared" si="142"/>
        <v>-5.4012139795277303</v>
      </c>
      <c r="G597" s="14">
        <f t="shared" si="148"/>
        <v>-1.6953530807901236</v>
      </c>
      <c r="H597" s="14">
        <f t="shared" si="149"/>
        <v>5.1282443764022414</v>
      </c>
      <c r="I597" s="14">
        <f t="shared" si="150"/>
        <v>4.1347015153663103</v>
      </c>
      <c r="J597" s="14">
        <f t="shared" si="143"/>
        <v>-12.555987502802095</v>
      </c>
      <c r="K597" s="14">
        <f t="shared" si="151"/>
        <v>-71.773224849964208</v>
      </c>
      <c r="L597" s="14">
        <f t="shared" si="152"/>
        <v>13.219250311258005</v>
      </c>
      <c r="M597" s="14">
        <f t="shared" si="145"/>
        <v>17.306585567480067</v>
      </c>
      <c r="N597" s="14">
        <f t="shared" si="153"/>
        <v>-3.7830951653975293</v>
      </c>
      <c r="O597" s="14">
        <f t="shared" si="144"/>
        <v>0</v>
      </c>
      <c r="P597" s="14">
        <f t="shared" si="154"/>
        <v>0</v>
      </c>
    </row>
    <row r="598" spans="1:16" x14ac:dyDescent="0.25">
      <c r="A598" s="14">
        <f t="shared" si="146"/>
        <v>2.869999999999961</v>
      </c>
      <c r="B598" s="14">
        <f t="shared" si="139"/>
        <v>28.887905393298386</v>
      </c>
      <c r="C598" s="14">
        <f t="shared" si="140"/>
        <v>2.4672709981939676</v>
      </c>
      <c r="D598" s="14">
        <f t="shared" si="141"/>
        <v>2.4672709981939676</v>
      </c>
      <c r="E598" s="14">
        <f t="shared" si="147"/>
        <v>1</v>
      </c>
      <c r="F598" s="14">
        <f t="shared" si="142"/>
        <v>-5.4172059425425401</v>
      </c>
      <c r="G598" s="14">
        <f t="shared" si="148"/>
        <v>-1.6943872831129163</v>
      </c>
      <c r="H598" s="14">
        <f t="shared" si="149"/>
        <v>5.1454029928416141</v>
      </c>
      <c r="I598" s="14">
        <f t="shared" si="150"/>
        <v>4.1262295789507455</v>
      </c>
      <c r="J598" s="14">
        <f t="shared" si="143"/>
        <v>-12.579260487837887</v>
      </c>
      <c r="K598" s="14">
        <f t="shared" si="151"/>
        <v>-71.839554900149693</v>
      </c>
      <c r="L598" s="14">
        <f t="shared" si="152"/>
        <v>13.238714626393588</v>
      </c>
      <c r="M598" s="14">
        <f t="shared" si="145"/>
        <v>17.306585567480067</v>
      </c>
      <c r="N598" s="14">
        <f t="shared" si="153"/>
        <v>-3.8459914678367189</v>
      </c>
      <c r="O598" s="14">
        <f t="shared" si="144"/>
        <v>0</v>
      </c>
      <c r="P598" s="14">
        <f t="shared" si="154"/>
        <v>0</v>
      </c>
    </row>
    <row r="599" spans="1:16" x14ac:dyDescent="0.25">
      <c r="A599" s="14">
        <f t="shared" si="146"/>
        <v>2.8749999999999609</v>
      </c>
      <c r="B599" s="14">
        <f t="shared" si="139"/>
        <v>28.938232754610752</v>
      </c>
      <c r="C599" s="14">
        <f t="shared" si="140"/>
        <v>2.4011318797239269</v>
      </c>
      <c r="D599" s="14">
        <f t="shared" si="141"/>
        <v>2.4011318797239269</v>
      </c>
      <c r="E599" s="14">
        <f t="shared" si="147"/>
        <v>1</v>
      </c>
      <c r="F599" s="14">
        <f t="shared" si="142"/>
        <v>-5.4331705137317128</v>
      </c>
      <c r="G599" s="14">
        <f t="shared" si="148"/>
        <v>-1.693405252240106</v>
      </c>
      <c r="H599" s="14">
        <f t="shared" si="149"/>
        <v>5.1625304340961851</v>
      </c>
      <c r="I599" s="14">
        <f t="shared" si="150"/>
        <v>4.1177625526895447</v>
      </c>
      <c r="J599" s="14">
        <f t="shared" si="143"/>
        <v>-12.602447835667407</v>
      </c>
      <c r="K599" s="14">
        <f t="shared" si="151"/>
        <v>-71.905554991495691</v>
      </c>
      <c r="L599" s="14">
        <f t="shared" si="152"/>
        <v>13.258116755069343</v>
      </c>
      <c r="M599" s="14">
        <f t="shared" si="145"/>
        <v>17.306585567480067</v>
      </c>
      <c r="N599" s="14">
        <f t="shared" si="153"/>
        <v>-3.9090037070150561</v>
      </c>
      <c r="O599" s="14">
        <f t="shared" si="144"/>
        <v>0</v>
      </c>
      <c r="P599" s="14">
        <f t="shared" si="154"/>
        <v>0</v>
      </c>
    </row>
    <row r="600" spans="1:16" x14ac:dyDescent="0.25">
      <c r="A600" s="14">
        <f t="shared" si="146"/>
        <v>2.8799999999999608</v>
      </c>
      <c r="B600" s="14">
        <f t="shared" ref="B600:B663" si="155">IF(E600=0,B599,$B$19*A600)</f>
        <v>28.988560115923118</v>
      </c>
      <c r="C600" s="14">
        <f t="shared" si="140"/>
        <v>2.3347477612538867</v>
      </c>
      <c r="D600" s="14">
        <f t="shared" si="141"/>
        <v>2.3347477612538867</v>
      </c>
      <c r="E600" s="14">
        <f t="shared" si="147"/>
        <v>1</v>
      </c>
      <c r="F600" s="14">
        <f t="shared" si="142"/>
        <v>-5.4491074566225643</v>
      </c>
      <c r="G600" s="14">
        <f t="shared" si="148"/>
        <v>-1.6924070774895212</v>
      </c>
      <c r="H600" s="14">
        <f t="shared" si="149"/>
        <v>5.1796264689534333</v>
      </c>
      <c r="I600" s="14">
        <f t="shared" si="150"/>
        <v>4.1093005173020973</v>
      </c>
      <c r="J600" s="14">
        <f t="shared" si="143"/>
        <v>-12.62554970332264</v>
      </c>
      <c r="K600" s="14">
        <f t="shared" si="151"/>
        <v>-71.971227465117408</v>
      </c>
      <c r="L600" s="14">
        <f t="shared" si="152"/>
        <v>13.277456686149261</v>
      </c>
      <c r="M600" s="14">
        <f t="shared" si="145"/>
        <v>17.306585567480067</v>
      </c>
      <c r="N600" s="14">
        <f t="shared" si="153"/>
        <v>-3.9721314555316694</v>
      </c>
      <c r="O600" s="14">
        <f t="shared" si="144"/>
        <v>0</v>
      </c>
      <c r="P600" s="14">
        <f t="shared" si="154"/>
        <v>0</v>
      </c>
    </row>
    <row r="601" spans="1:16" x14ac:dyDescent="0.25">
      <c r="A601" s="14">
        <f t="shared" si="146"/>
        <v>2.8849999999999607</v>
      </c>
      <c r="B601" s="14">
        <f t="shared" si="155"/>
        <v>29.038887477235484</v>
      </c>
      <c r="C601" s="14">
        <f t="shared" ref="C601:C664" si="156">$B$20*A601+0.5*$B$16*A601^2+$B$17</f>
        <v>2.2681186427838398</v>
      </c>
      <c r="D601" s="14">
        <f t="shared" ref="D601:D664" si="157">IF(E601=1,C601,$B$18)</f>
        <v>2.2681186427838398</v>
      </c>
      <c r="E601" s="14">
        <f t="shared" si="147"/>
        <v>1</v>
      </c>
      <c r="F601" s="14">
        <f t="shared" ref="F601:F664" si="158">-$E$13*L600^2</f>
        <v>-5.4650165376296611</v>
      </c>
      <c r="G601" s="14">
        <f t="shared" si="148"/>
        <v>-1.6913928484943297</v>
      </c>
      <c r="H601" s="14">
        <f t="shared" si="149"/>
        <v>5.1966908690654217</v>
      </c>
      <c r="I601" s="14">
        <f t="shared" si="150"/>
        <v>4.1008435530596259</v>
      </c>
      <c r="J601" s="14">
        <f t="shared" ref="J601:J664" si="159">J600+(H601+$B$16)*$A$22</f>
        <v>-12.648566248977314</v>
      </c>
      <c r="K601" s="14">
        <f t="shared" si="151"/>
        <v>-72.036574640769189</v>
      </c>
      <c r="L601" s="14">
        <f t="shared" si="152"/>
        <v>13.296734411179262</v>
      </c>
      <c r="M601" s="14">
        <f t="shared" si="145"/>
        <v>17.306585567480067</v>
      </c>
      <c r="N601" s="14">
        <f t="shared" si="153"/>
        <v>-4.0353742867765563</v>
      </c>
      <c r="O601" s="14">
        <f t="shared" ref="O601:O664" si="160">IF(P601=1,N601,$B$18)</f>
        <v>0</v>
      </c>
      <c r="P601" s="14">
        <f t="shared" si="154"/>
        <v>0</v>
      </c>
    </row>
    <row r="602" spans="1:16" x14ac:dyDescent="0.25">
      <c r="A602" s="14">
        <f t="shared" si="146"/>
        <v>2.8899999999999606</v>
      </c>
      <c r="B602" s="14">
        <f t="shared" si="155"/>
        <v>29.08921483854785</v>
      </c>
      <c r="C602" s="14">
        <f t="shared" si="156"/>
        <v>2.2012445243137932</v>
      </c>
      <c r="D602" s="14">
        <f t="shared" si="157"/>
        <v>2.2012445243137932</v>
      </c>
      <c r="E602" s="14">
        <f t="shared" si="147"/>
        <v>1</v>
      </c>
      <c r="F602" s="14">
        <f t="shared" si="158"/>
        <v>-5.4808975260445996</v>
      </c>
      <c r="G602" s="14">
        <f t="shared" si="148"/>
        <v>-1.6903626551917466</v>
      </c>
      <c r="H602" s="14">
        <f t="shared" si="149"/>
        <v>5.2137234089405737</v>
      </c>
      <c r="I602" s="14">
        <f t="shared" si="150"/>
        <v>4.0923917397836673</v>
      </c>
      <c r="J602" s="14">
        <f t="shared" si="159"/>
        <v>-12.671497631932612</v>
      </c>
      <c r="K602" s="14">
        <f t="shared" si="151"/>
        <v>-72.101598817066645</v>
      </c>
      <c r="L602" s="14">
        <f t="shared" si="152"/>
        <v>13.315949924354754</v>
      </c>
      <c r="M602" s="14">
        <f t="shared" ref="M602:M665" si="161">IF(P602=0,M601,M601+I602*$A$22)</f>
        <v>17.306585567480067</v>
      </c>
      <c r="N602" s="14">
        <f t="shared" si="153"/>
        <v>-4.0987317749362191</v>
      </c>
      <c r="O602" s="14">
        <f t="shared" si="160"/>
        <v>0</v>
      </c>
      <c r="P602" s="14">
        <f t="shared" si="154"/>
        <v>0</v>
      </c>
    </row>
    <row r="603" spans="1:16" x14ac:dyDescent="0.25">
      <c r="A603" s="14">
        <f t="shared" si="146"/>
        <v>2.8949999999999605</v>
      </c>
      <c r="B603" s="14">
        <f t="shared" si="155"/>
        <v>29.139542199860216</v>
      </c>
      <c r="C603" s="14">
        <f t="shared" si="156"/>
        <v>2.1341254058437542</v>
      </c>
      <c r="D603" s="14">
        <f t="shared" si="157"/>
        <v>2.1341254058437542</v>
      </c>
      <c r="E603" s="14">
        <f t="shared" si="147"/>
        <v>1</v>
      </c>
      <c r="F603" s="14">
        <f t="shared" si="158"/>
        <v>-5.4967501940256245</v>
      </c>
      <c r="G603" s="14">
        <f t="shared" si="148"/>
        <v>-1.6893165878118721</v>
      </c>
      <c r="H603" s="14">
        <f t="shared" si="149"/>
        <v>5.2307238659352295</v>
      </c>
      <c r="I603" s="14">
        <f t="shared" si="150"/>
        <v>4.0839451568446083</v>
      </c>
      <c r="J603" s="14">
        <f t="shared" si="159"/>
        <v>-12.694344012602935</v>
      </c>
      <c r="K603" s="14">
        <f t="shared" si="151"/>
        <v>-72.166302271706599</v>
      </c>
      <c r="L603" s="14">
        <f t="shared" si="152"/>
        <v>13.335103222488474</v>
      </c>
      <c r="M603" s="14">
        <f t="shared" si="161"/>
        <v>17.306585567480067</v>
      </c>
      <c r="N603" s="14">
        <f t="shared" si="153"/>
        <v>-4.1622034949992335</v>
      </c>
      <c r="O603" s="14">
        <f t="shared" si="160"/>
        <v>0</v>
      </c>
      <c r="P603" s="14">
        <f t="shared" si="154"/>
        <v>0</v>
      </c>
    </row>
    <row r="604" spans="1:16" x14ac:dyDescent="0.25">
      <c r="A604" s="14">
        <f t="shared" si="146"/>
        <v>2.8999999999999604</v>
      </c>
      <c r="B604" s="14">
        <f t="shared" si="155"/>
        <v>29.189869561172582</v>
      </c>
      <c r="C604" s="14">
        <f t="shared" si="156"/>
        <v>2.0667612873737085</v>
      </c>
      <c r="D604" s="14">
        <f t="shared" si="157"/>
        <v>2.0667612873737085</v>
      </c>
      <c r="E604" s="14">
        <f t="shared" si="147"/>
        <v>1</v>
      </c>
      <c r="F604" s="14">
        <f t="shared" si="158"/>
        <v>-5.5125743165870968</v>
      </c>
      <c r="G604" s="14">
        <f t="shared" si="148"/>
        <v>-1.6882547368666463</v>
      </c>
      <c r="H604" s="14">
        <f t="shared" si="149"/>
        <v>5.2476920202449975</v>
      </c>
      <c r="I604" s="14">
        <f t="shared" si="150"/>
        <v>4.075503883160275</v>
      </c>
      <c r="J604" s="14">
        <f t="shared" si="159"/>
        <v>-12.71710555250171</v>
      </c>
      <c r="K604" s="14">
        <f t="shared" si="151"/>
        <v>-72.230687261684551</v>
      </c>
      <c r="L604" s="14">
        <f t="shared" si="152"/>
        <v>13.354194304978654</v>
      </c>
      <c r="M604" s="14">
        <f t="shared" si="161"/>
        <v>17.306585567480067</v>
      </c>
      <c r="N604" s="14">
        <f t="shared" si="153"/>
        <v>-4.2257890227617416</v>
      </c>
      <c r="O604" s="14">
        <f t="shared" si="160"/>
        <v>0</v>
      </c>
      <c r="P604" s="14">
        <f t="shared" si="154"/>
        <v>0</v>
      </c>
    </row>
    <row r="605" spans="1:16" x14ac:dyDescent="0.25">
      <c r="A605" s="14">
        <f t="shared" si="146"/>
        <v>2.9049999999999603</v>
      </c>
      <c r="B605" s="14">
        <f t="shared" si="155"/>
        <v>29.240196922484948</v>
      </c>
      <c r="C605" s="14">
        <f t="shared" si="156"/>
        <v>1.9991521689036631</v>
      </c>
      <c r="D605" s="14">
        <f t="shared" si="157"/>
        <v>1.9991521689036631</v>
      </c>
      <c r="E605" s="14">
        <f t="shared" si="147"/>
        <v>1</v>
      </c>
      <c r="F605" s="14">
        <f t="shared" si="158"/>
        <v>-5.5283696715888526</v>
      </c>
      <c r="G605" s="14">
        <f t="shared" si="148"/>
        <v>-1.6871771931389365</v>
      </c>
      <c r="H605" s="14">
        <f t="shared" si="149"/>
        <v>5.2646276548959525</v>
      </c>
      <c r="I605" s="14">
        <f t="shared" si="150"/>
        <v>4.06706799719458</v>
      </c>
      <c r="J605" s="14">
        <f t="shared" si="159"/>
        <v>-12.73978241422723</v>
      </c>
      <c r="K605" s="14">
        <f t="shared" si="151"/>
        <v>-72.294756023509848</v>
      </c>
      <c r="L605" s="14">
        <f t="shared" si="152"/>
        <v>13.373223173777431</v>
      </c>
      <c r="M605" s="14">
        <f t="shared" si="161"/>
        <v>17.306585567480067</v>
      </c>
      <c r="N605" s="14">
        <f t="shared" si="153"/>
        <v>-4.289487934832878</v>
      </c>
      <c r="O605" s="14">
        <f t="shared" si="160"/>
        <v>0</v>
      </c>
      <c r="P605" s="14">
        <f t="shared" si="154"/>
        <v>0</v>
      </c>
    </row>
    <row r="606" spans="1:16" x14ac:dyDescent="0.25">
      <c r="A606" s="14">
        <f t="shared" si="146"/>
        <v>2.9099999999999602</v>
      </c>
      <c r="B606" s="14">
        <f t="shared" si="155"/>
        <v>29.290524283797314</v>
      </c>
      <c r="C606" s="14">
        <f t="shared" si="156"/>
        <v>1.9312980504336252</v>
      </c>
      <c r="D606" s="14">
        <f t="shared" si="157"/>
        <v>1.9312980504336252</v>
      </c>
      <c r="E606" s="14">
        <f t="shared" si="147"/>
        <v>1</v>
      </c>
      <c r="F606" s="14">
        <f t="shared" si="158"/>
        <v>-5.5441360397253883</v>
      </c>
      <c r="G606" s="14">
        <f t="shared" si="148"/>
        <v>-1.6860840476717434</v>
      </c>
      <c r="H606" s="14">
        <f t="shared" si="149"/>
        <v>5.2815305557355989</v>
      </c>
      <c r="I606" s="14">
        <f t="shared" si="150"/>
        <v>4.0586375769562215</v>
      </c>
      <c r="J606" s="14">
        <f t="shared" si="159"/>
        <v>-12.762374761448552</v>
      </c>
      <c r="K606" s="14">
        <f t="shared" si="151"/>
        <v>-72.35851077341853</v>
      </c>
      <c r="L606" s="14">
        <f t="shared" si="152"/>
        <v>13.392189833359593</v>
      </c>
      <c r="M606" s="14">
        <f t="shared" si="161"/>
        <v>17.306585567480067</v>
      </c>
      <c r="N606" s="14">
        <f t="shared" si="153"/>
        <v>-4.3532998086401209</v>
      </c>
      <c r="O606" s="14">
        <f t="shared" si="160"/>
        <v>0</v>
      </c>
      <c r="P606" s="14">
        <f t="shared" si="154"/>
        <v>0</v>
      </c>
    </row>
    <row r="607" spans="1:16" x14ac:dyDescent="0.25">
      <c r="A607" s="14">
        <f t="shared" si="146"/>
        <v>2.9149999999999601</v>
      </c>
      <c r="B607" s="14">
        <f t="shared" si="155"/>
        <v>29.34085164510968</v>
      </c>
      <c r="C607" s="14">
        <f t="shared" si="156"/>
        <v>1.8631989319635807</v>
      </c>
      <c r="D607" s="14">
        <f t="shared" si="157"/>
        <v>1.8631989319635807</v>
      </c>
      <c r="E607" s="14">
        <f t="shared" si="147"/>
        <v>1</v>
      </c>
      <c r="F607" s="14">
        <f t="shared" si="158"/>
        <v>-5.5598732045149415</v>
      </c>
      <c r="G607" s="14">
        <f t="shared" si="148"/>
        <v>-1.6849753917575341</v>
      </c>
      <c r="H607" s="14">
        <f t="shared" si="149"/>
        <v>5.2984005114236874</v>
      </c>
      <c r="I607" s="14">
        <f t="shared" si="150"/>
        <v>4.0502126999974335</v>
      </c>
      <c r="J607" s="14">
        <f t="shared" si="159"/>
        <v>-12.784882758891433</v>
      </c>
      <c r="K607" s="14">
        <f t="shared" si="151"/>
        <v>-72.421953707583967</v>
      </c>
      <c r="L607" s="14">
        <f t="shared" si="152"/>
        <v>13.411094290691565</v>
      </c>
      <c r="M607" s="14">
        <f t="shared" si="161"/>
        <v>17.306585567480067</v>
      </c>
      <c r="N607" s="14">
        <f t="shared" si="153"/>
        <v>-4.4172242224345784</v>
      </c>
      <c r="O607" s="14">
        <f t="shared" si="160"/>
        <v>0</v>
      </c>
      <c r="P607" s="14">
        <f t="shared" si="154"/>
        <v>0</v>
      </c>
    </row>
    <row r="608" spans="1:16" x14ac:dyDescent="0.25">
      <c r="A608" s="14">
        <f t="shared" si="146"/>
        <v>2.91999999999996</v>
      </c>
      <c r="B608" s="14">
        <f t="shared" si="155"/>
        <v>29.391179006422046</v>
      </c>
      <c r="C608" s="14">
        <f t="shared" si="156"/>
        <v>1.7948548134935365</v>
      </c>
      <c r="D608" s="14">
        <f t="shared" si="157"/>
        <v>1.7948548134935365</v>
      </c>
      <c r="E608" s="14">
        <f t="shared" si="147"/>
        <v>1</v>
      </c>
      <c r="F608" s="14">
        <f t="shared" si="158"/>
        <v>-5.5755809522884174</v>
      </c>
      <c r="G608" s="14">
        <f t="shared" si="148"/>
        <v>-1.6838513169276834</v>
      </c>
      <c r="H608" s="14">
        <f t="shared" si="149"/>
        <v>5.3152373134228279</v>
      </c>
      <c r="I608" s="14">
        <f t="shared" si="150"/>
        <v>4.0417934434127947</v>
      </c>
      <c r="J608" s="14">
        <f t="shared" si="159"/>
        <v>-12.807306572324318</v>
      </c>
      <c r="K608" s="14">
        <f t="shared" si="151"/>
        <v>-72.485087002325017</v>
      </c>
      <c r="L608" s="14">
        <f t="shared" si="152"/>
        <v>13.42993655520071</v>
      </c>
      <c r="M608" s="14">
        <f t="shared" si="161"/>
        <v>17.306585567480067</v>
      </c>
      <c r="N608" s="14">
        <f t="shared" si="153"/>
        <v>-4.4812607552961996</v>
      </c>
      <c r="O608" s="14">
        <f t="shared" si="160"/>
        <v>0</v>
      </c>
      <c r="P608" s="14">
        <f t="shared" si="154"/>
        <v>0</v>
      </c>
    </row>
    <row r="609" spans="1:16" x14ac:dyDescent="0.25">
      <c r="A609" s="14">
        <f t="shared" si="146"/>
        <v>2.9249999999999599</v>
      </c>
      <c r="B609" s="14">
        <f t="shared" si="155"/>
        <v>29.441506367734412</v>
      </c>
      <c r="C609" s="14">
        <f t="shared" si="156"/>
        <v>1.7262656950234998</v>
      </c>
      <c r="D609" s="14">
        <f t="shared" si="157"/>
        <v>1.7262656950234998</v>
      </c>
      <c r="E609" s="14">
        <f t="shared" si="147"/>
        <v>1</v>
      </c>
      <c r="F609" s="14">
        <f t="shared" si="158"/>
        <v>-5.5912590721782056</v>
      </c>
      <c r="G609" s="14">
        <f t="shared" si="148"/>
        <v>-1.6827119149420617</v>
      </c>
      <c r="H609" s="14">
        <f t="shared" si="149"/>
        <v>5.33204075598894</v>
      </c>
      <c r="I609" s="14">
        <f t="shared" si="150"/>
        <v>4.0333798838380845</v>
      </c>
      <c r="J609" s="14">
        <f t="shared" si="159"/>
        <v>-12.829646368544374</v>
      </c>
      <c r="K609" s="14">
        <f t="shared" si="151"/>
        <v>-72.547912814312227</v>
      </c>
      <c r="L609" s="14">
        <f t="shared" si="152"/>
        <v>13.448716638744887</v>
      </c>
      <c r="M609" s="14">
        <f t="shared" si="161"/>
        <v>17.306585567480067</v>
      </c>
      <c r="N609" s="14">
        <f t="shared" si="153"/>
        <v>-4.5454089871389218</v>
      </c>
      <c r="O609" s="14">
        <f t="shared" si="160"/>
        <v>0</v>
      </c>
      <c r="P609" s="14">
        <f t="shared" si="154"/>
        <v>0</v>
      </c>
    </row>
    <row r="610" spans="1:16" x14ac:dyDescent="0.25">
      <c r="A610" s="14">
        <f t="shared" si="146"/>
        <v>2.9299999999999597</v>
      </c>
      <c r="B610" s="14">
        <f t="shared" si="155"/>
        <v>29.491833729046778</v>
      </c>
      <c r="C610" s="14">
        <f t="shared" si="156"/>
        <v>1.6574315765534564</v>
      </c>
      <c r="D610" s="14">
        <f t="shared" si="157"/>
        <v>1.6574315765534564</v>
      </c>
      <c r="E610" s="14">
        <f t="shared" si="147"/>
        <v>1</v>
      </c>
      <c r="F610" s="14">
        <f t="shared" si="158"/>
        <v>-5.606907356106861</v>
      </c>
      <c r="G610" s="14">
        <f t="shared" si="148"/>
        <v>-1.6815572777787169</v>
      </c>
      <c r="H610" s="14">
        <f t="shared" si="149"/>
        <v>5.3488106361615255</v>
      </c>
      <c r="I610" s="14">
        <f t="shared" si="150"/>
        <v>4.0249720974491909</v>
      </c>
      <c r="J610" s="14">
        <f t="shared" si="159"/>
        <v>-12.851902315363567</v>
      </c>
      <c r="K610" s="14">
        <f t="shared" si="151"/>
        <v>-72.610433280771502</v>
      </c>
      <c r="L610" s="14">
        <f t="shared" si="152"/>
        <v>13.46743455558229</v>
      </c>
      <c r="M610" s="14">
        <f t="shared" si="161"/>
        <v>17.306585567480067</v>
      </c>
      <c r="N610" s="14">
        <f t="shared" si="153"/>
        <v>-4.6096684987157399</v>
      </c>
      <c r="O610" s="14">
        <f t="shared" si="160"/>
        <v>0</v>
      </c>
      <c r="P610" s="14">
        <f t="shared" si="154"/>
        <v>0</v>
      </c>
    </row>
    <row r="611" spans="1:16" x14ac:dyDescent="0.25">
      <c r="A611" s="14">
        <f t="shared" si="146"/>
        <v>2.9349999999999596</v>
      </c>
      <c r="B611" s="14">
        <f t="shared" si="155"/>
        <v>29.542161090359144</v>
      </c>
      <c r="C611" s="14">
        <f t="shared" si="156"/>
        <v>1.5883524580834134</v>
      </c>
      <c r="D611" s="14">
        <f t="shared" si="157"/>
        <v>1.5883524580834134</v>
      </c>
      <c r="E611" s="14">
        <f t="shared" si="147"/>
        <v>1</v>
      </c>
      <c r="F611" s="14">
        <f t="shared" si="158"/>
        <v>-5.6225255987756508</v>
      </c>
      <c r="G611" s="14">
        <f t="shared" si="148"/>
        <v>-1.6803874976236945</v>
      </c>
      <c r="H611" s="14">
        <f t="shared" si="149"/>
        <v>5.3655467537537556</v>
      </c>
      <c r="I611" s="14">
        <f t="shared" si="150"/>
        <v>4.0165701599610726</v>
      </c>
      <c r="J611" s="14">
        <f t="shared" si="159"/>
        <v>-12.874074581594799</v>
      </c>
      <c r="K611" s="14">
        <f t="shared" si="151"/>
        <v>-72.672650519685817</v>
      </c>
      <c r="L611" s="14">
        <f t="shared" si="152"/>
        <v>13.486090322341573</v>
      </c>
      <c r="M611" s="14">
        <f t="shared" si="161"/>
        <v>17.306585567480067</v>
      </c>
      <c r="N611" s="14">
        <f t="shared" si="153"/>
        <v>-4.674038871623714</v>
      </c>
      <c r="O611" s="14">
        <f t="shared" si="160"/>
        <v>0</v>
      </c>
      <c r="P611" s="14">
        <f t="shared" si="154"/>
        <v>0</v>
      </c>
    </row>
    <row r="612" spans="1:16" x14ac:dyDescent="0.25">
      <c r="A612" s="14">
        <f t="shared" si="146"/>
        <v>2.9399999999999595</v>
      </c>
      <c r="B612" s="14">
        <f t="shared" si="155"/>
        <v>29.59248845167151</v>
      </c>
      <c r="C612" s="14">
        <f t="shared" si="156"/>
        <v>1.5190283396133708</v>
      </c>
      <c r="D612" s="14">
        <f t="shared" si="157"/>
        <v>1.5190283396133708</v>
      </c>
      <c r="E612" s="14">
        <f t="shared" si="147"/>
        <v>1</v>
      </c>
      <c r="F612" s="14">
        <f t="shared" si="158"/>
        <v>-5.6381135976530059</v>
      </c>
      <c r="G612" s="14">
        <f t="shared" si="148"/>
        <v>-1.6792026668609656</v>
      </c>
      <c r="H612" s="14">
        <f t="shared" si="149"/>
        <v>5.382248911342427</v>
      </c>
      <c r="I612" s="14">
        <f t="shared" si="150"/>
        <v>4.008174146626768</v>
      </c>
      <c r="J612" s="14">
        <f t="shared" si="159"/>
        <v>-12.896163337038088</v>
      </c>
      <c r="K612" s="14">
        <f t="shared" si="151"/>
        <v>-72.734566629994589</v>
      </c>
      <c r="L612" s="14">
        <f t="shared" si="152"/>
        <v>13.504683957992226</v>
      </c>
      <c r="M612" s="14">
        <f t="shared" si="161"/>
        <v>17.306585567480067</v>
      </c>
      <c r="N612" s="14">
        <f t="shared" si="153"/>
        <v>-4.7385196883089042</v>
      </c>
      <c r="O612" s="14">
        <f t="shared" si="160"/>
        <v>0</v>
      </c>
      <c r="P612" s="14">
        <f t="shared" si="154"/>
        <v>0</v>
      </c>
    </row>
    <row r="613" spans="1:16" x14ac:dyDescent="0.25">
      <c r="A613" s="14">
        <f t="shared" si="146"/>
        <v>2.9449999999999594</v>
      </c>
      <c r="B613" s="14">
        <f t="shared" si="155"/>
        <v>29.642815812983876</v>
      </c>
      <c r="C613" s="14">
        <f t="shared" si="156"/>
        <v>1.4494592211433286</v>
      </c>
      <c r="D613" s="14">
        <f t="shared" si="157"/>
        <v>1.4494592211433286</v>
      </c>
      <c r="E613" s="14">
        <f t="shared" si="147"/>
        <v>1</v>
      </c>
      <c r="F613" s="14">
        <f t="shared" si="158"/>
        <v>-5.6536711529628292</v>
      </c>
      <c r="G613" s="14">
        <f t="shared" si="148"/>
        <v>-1.6780028780624809</v>
      </c>
      <c r="H613" s="14">
        <f t="shared" si="149"/>
        <v>5.3989169142577182</v>
      </c>
      <c r="I613" s="14">
        <f t="shared" si="150"/>
        <v>3.9997841322364556</v>
      </c>
      <c r="J613" s="14">
        <f t="shared" si="159"/>
        <v>-12.9181687524668</v>
      </c>
      <c r="K613" s="14">
        <f t="shared" si="151"/>
        <v>-72.796183691791015</v>
      </c>
      <c r="L613" s="14">
        <f t="shared" si="152"/>
        <v>13.523215483815237</v>
      </c>
      <c r="M613" s="14">
        <f t="shared" si="161"/>
        <v>17.306585567480067</v>
      </c>
      <c r="N613" s="14">
        <f t="shared" si="153"/>
        <v>-4.8031105320712379</v>
      </c>
      <c r="O613" s="14">
        <f t="shared" si="160"/>
        <v>0</v>
      </c>
      <c r="P613" s="14">
        <f t="shared" si="154"/>
        <v>0</v>
      </c>
    </row>
    <row r="614" spans="1:16" x14ac:dyDescent="0.25">
      <c r="A614" s="14">
        <f t="shared" si="146"/>
        <v>2.9499999999999593</v>
      </c>
      <c r="B614" s="14">
        <f t="shared" si="155"/>
        <v>29.693143174296242</v>
      </c>
      <c r="C614" s="14">
        <f t="shared" si="156"/>
        <v>1.3796451026732797</v>
      </c>
      <c r="D614" s="14">
        <f t="shared" si="157"/>
        <v>1.3796451026732797</v>
      </c>
      <c r="E614" s="14">
        <f t="shared" si="147"/>
        <v>1</v>
      </c>
      <c r="F614" s="14">
        <f t="shared" si="158"/>
        <v>-5.6691980676727063</v>
      </c>
      <c r="G614" s="14">
        <f t="shared" si="148"/>
        <v>-1.6767882239783329</v>
      </c>
      <c r="H614" s="14">
        <f t="shared" si="149"/>
        <v>5.4155505705728144</v>
      </c>
      <c r="I614" s="14">
        <f t="shared" si="150"/>
        <v>3.991400191116564</v>
      </c>
      <c r="J614" s="14">
        <f t="shared" si="159"/>
        <v>-12.940090999613936</v>
      </c>
      <c r="K614" s="14">
        <f t="shared" si="151"/>
        <v>-72.857503766517013</v>
      </c>
      <c r="L614" s="14">
        <f t="shared" si="152"/>
        <v>13.541684923374008</v>
      </c>
      <c r="M614" s="14">
        <f t="shared" si="161"/>
        <v>17.306585567480067</v>
      </c>
      <c r="N614" s="14">
        <f t="shared" si="153"/>
        <v>-4.8678109870693076</v>
      </c>
      <c r="O614" s="14">
        <f t="shared" si="160"/>
        <v>0</v>
      </c>
      <c r="P614" s="14">
        <f t="shared" si="154"/>
        <v>0</v>
      </c>
    </row>
    <row r="615" spans="1:16" x14ac:dyDescent="0.25">
      <c r="A615" s="14">
        <f t="shared" si="146"/>
        <v>2.9549999999999592</v>
      </c>
      <c r="B615" s="14">
        <f t="shared" si="155"/>
        <v>29.743470535608608</v>
      </c>
      <c r="C615" s="14">
        <f t="shared" si="156"/>
        <v>1.3095859842032382</v>
      </c>
      <c r="D615" s="14">
        <f t="shared" si="157"/>
        <v>1.3095859842032382</v>
      </c>
      <c r="E615" s="14">
        <f t="shared" si="147"/>
        <v>1</v>
      </c>
      <c r="F615" s="14">
        <f t="shared" si="158"/>
        <v>-5.6846941474819825</v>
      </c>
      <c r="G615" s="14">
        <f t="shared" si="148"/>
        <v>-1.6755587975270538</v>
      </c>
      <c r="H615" s="14">
        <f t="shared" si="149"/>
        <v>5.4321496910933522</v>
      </c>
      <c r="I615" s="14">
        <f t="shared" si="150"/>
        <v>3.9830223971289289</v>
      </c>
      <c r="J615" s="14">
        <f t="shared" si="159"/>
        <v>-12.961930251158469</v>
      </c>
      <c r="K615" s="14">
        <f t="shared" si="151"/>
        <v>-72.918528897156406</v>
      </c>
      <c r="L615" s="14">
        <f t="shared" si="152"/>
        <v>13.560092302485545</v>
      </c>
      <c r="M615" s="14">
        <f t="shared" si="161"/>
        <v>17.306585567480067</v>
      </c>
      <c r="N615" s="14">
        <f t="shared" si="153"/>
        <v>-4.9326206383251003</v>
      </c>
      <c r="O615" s="14">
        <f t="shared" si="160"/>
        <v>0</v>
      </c>
      <c r="P615" s="14">
        <f t="shared" si="154"/>
        <v>0</v>
      </c>
    </row>
    <row r="616" spans="1:16" x14ac:dyDescent="0.25">
      <c r="A616" s="14">
        <f t="shared" si="146"/>
        <v>2.9599999999999591</v>
      </c>
      <c r="B616" s="14">
        <f t="shared" si="155"/>
        <v>29.793797896920978</v>
      </c>
      <c r="C616" s="14">
        <f t="shared" si="156"/>
        <v>1.2392818657332043</v>
      </c>
      <c r="D616" s="14">
        <f t="shared" si="157"/>
        <v>1.2392818657332043</v>
      </c>
      <c r="E616" s="14">
        <f t="shared" si="147"/>
        <v>1</v>
      </c>
      <c r="F616" s="14">
        <f t="shared" si="158"/>
        <v>-5.7001592008097592</v>
      </c>
      <c r="G616" s="14">
        <f t="shared" si="148"/>
        <v>-1.6743146917860003</v>
      </c>
      <c r="H616" s="14">
        <f t="shared" si="149"/>
        <v>5.4487140893467423</v>
      </c>
      <c r="I616" s="14">
        <f t="shared" si="150"/>
        <v>3.9746508236699989</v>
      </c>
      <c r="J616" s="14">
        <f t="shared" si="159"/>
        <v>-12.983686680711735</v>
      </c>
      <c r="K616" s="14">
        <f t="shared" si="151"/>
        <v>-72.979261108425746</v>
      </c>
      <c r="L616" s="14">
        <f t="shared" si="152"/>
        <v>13.578437649191894</v>
      </c>
      <c r="M616" s="14">
        <f t="shared" si="161"/>
        <v>17.306585567480067</v>
      </c>
      <c r="N616" s="14">
        <f t="shared" si="153"/>
        <v>-4.9975390717286592</v>
      </c>
      <c r="O616" s="14">
        <f t="shared" si="160"/>
        <v>0</v>
      </c>
      <c r="P616" s="14">
        <f t="shared" si="154"/>
        <v>0</v>
      </c>
    </row>
    <row r="617" spans="1:16" x14ac:dyDescent="0.25">
      <c r="A617" s="14">
        <f t="shared" si="146"/>
        <v>2.964999999999959</v>
      </c>
      <c r="B617" s="14">
        <f t="shared" si="155"/>
        <v>29.844125258233344</v>
      </c>
      <c r="C617" s="14">
        <f t="shared" si="156"/>
        <v>1.1687327472631566</v>
      </c>
      <c r="D617" s="14">
        <f t="shared" si="157"/>
        <v>1.1687327472631566</v>
      </c>
      <c r="E617" s="14">
        <f t="shared" si="147"/>
        <v>1</v>
      </c>
      <c r="F617" s="14">
        <f t="shared" si="158"/>
        <v>-5.7155930387827487</v>
      </c>
      <c r="G617" s="14">
        <f t="shared" si="148"/>
        <v>-1.6730559999818813</v>
      </c>
      <c r="H617" s="14">
        <f t="shared" si="149"/>
        <v>5.4652435815713138</v>
      </c>
      <c r="I617" s="14">
        <f t="shared" si="150"/>
        <v>3.9662855436700895</v>
      </c>
      <c r="J617" s="14">
        <f t="shared" si="159"/>
        <v>-13.005360462803878</v>
      </c>
      <c r="K617" s="14">
        <f t="shared" si="151"/>
        <v>-73.039702406963116</v>
      </c>
      <c r="L617" s="14">
        <f t="shared" si="152"/>
        <v>13.596720993731859</v>
      </c>
      <c r="M617" s="14">
        <f t="shared" si="161"/>
        <v>17.306585567480067</v>
      </c>
      <c r="N617" s="14">
        <f t="shared" si="153"/>
        <v>-5.0625658740426784</v>
      </c>
      <c r="O617" s="14">
        <f t="shared" si="160"/>
        <v>0</v>
      </c>
      <c r="P617" s="14">
        <f t="shared" si="154"/>
        <v>0</v>
      </c>
    </row>
    <row r="618" spans="1:16" x14ac:dyDescent="0.25">
      <c r="A618" s="14">
        <f t="shared" si="146"/>
        <v>2.9699999999999589</v>
      </c>
      <c r="B618" s="14">
        <f t="shared" si="155"/>
        <v>29.89445261954571</v>
      </c>
      <c r="C618" s="14">
        <f t="shared" si="156"/>
        <v>1.0979386287931092</v>
      </c>
      <c r="D618" s="14">
        <f t="shared" si="157"/>
        <v>1.0979386287931092</v>
      </c>
      <c r="E618" s="14">
        <f t="shared" si="147"/>
        <v>1</v>
      </c>
      <c r="F618" s="14">
        <f t="shared" si="158"/>
        <v>-5.7309954752230485</v>
      </c>
      <c r="G618" s="14">
        <f t="shared" si="148"/>
        <v>-1.671782815481383</v>
      </c>
      <c r="H618" s="14">
        <f t="shared" si="149"/>
        <v>5.4817379867053297</v>
      </c>
      <c r="I618" s="14">
        <f t="shared" si="150"/>
        <v>3.9579266295926825</v>
      </c>
      <c r="J618" s="14">
        <f t="shared" si="159"/>
        <v>-13.026951772870351</v>
      </c>
      <c r="K618" s="14">
        <f t="shared" si="151"/>
        <v>-73.099854781514864</v>
      </c>
      <c r="L618" s="14">
        <f t="shared" si="152"/>
        <v>13.614942368512946</v>
      </c>
      <c r="M618" s="14">
        <f t="shared" si="161"/>
        <v>17.306585567480067</v>
      </c>
      <c r="N618" s="14">
        <f t="shared" si="153"/>
        <v>-5.1277006329070298</v>
      </c>
      <c r="O618" s="14">
        <f t="shared" si="160"/>
        <v>0</v>
      </c>
      <c r="P618" s="14">
        <f t="shared" si="154"/>
        <v>0</v>
      </c>
    </row>
    <row r="619" spans="1:16" x14ac:dyDescent="0.25">
      <c r="A619" s="14">
        <f t="shared" si="146"/>
        <v>2.9749999999999588</v>
      </c>
      <c r="B619" s="14">
        <f t="shared" si="155"/>
        <v>29.944779980858076</v>
      </c>
      <c r="C619" s="14">
        <f t="shared" si="156"/>
        <v>1.0268995103230694</v>
      </c>
      <c r="D619" s="14">
        <f t="shared" si="157"/>
        <v>1.0268995103230694</v>
      </c>
      <c r="E619" s="14">
        <f t="shared" si="147"/>
        <v>1</v>
      </c>
      <c r="F619" s="14">
        <f t="shared" si="158"/>
        <v>-5.7463663266357958</v>
      </c>
      <c r="G619" s="14">
        <f t="shared" si="148"/>
        <v>-1.6704952317819188</v>
      </c>
      <c r="H619" s="14">
        <f t="shared" si="149"/>
        <v>5.4981971263758487</v>
      </c>
      <c r="I619" s="14">
        <f t="shared" si="150"/>
        <v>3.9495741534337729</v>
      </c>
      <c r="J619" s="14">
        <f t="shared" si="159"/>
        <v>-13.048460787238472</v>
      </c>
      <c r="K619" s="14">
        <f t="shared" si="151"/>
        <v>-73.159720203120372</v>
      </c>
      <c r="L619" s="14">
        <f t="shared" si="152"/>
        <v>13.633101808083595</v>
      </c>
      <c r="M619" s="14">
        <f t="shared" si="161"/>
        <v>17.306585567480067</v>
      </c>
      <c r="N619" s="14">
        <f t="shared" si="153"/>
        <v>-5.1929429368432221</v>
      </c>
      <c r="O619" s="14">
        <f t="shared" si="160"/>
        <v>0</v>
      </c>
      <c r="P619" s="14">
        <f t="shared" si="154"/>
        <v>0</v>
      </c>
    </row>
    <row r="620" spans="1:16" x14ac:dyDescent="0.25">
      <c r="A620" s="14">
        <f t="shared" si="146"/>
        <v>2.9799999999999587</v>
      </c>
      <c r="B620" s="14">
        <f t="shared" si="155"/>
        <v>29.995107342170442</v>
      </c>
      <c r="C620" s="14">
        <f t="shared" si="156"/>
        <v>0.95561539185303701</v>
      </c>
      <c r="D620" s="14">
        <f t="shared" si="157"/>
        <v>0.95561539185303701</v>
      </c>
      <c r="E620" s="14">
        <f t="shared" si="147"/>
        <v>1</v>
      </c>
      <c r="F620" s="14">
        <f t="shared" si="158"/>
        <v>-5.7617054121967373</v>
      </c>
      <c r="G620" s="14">
        <f t="shared" si="148"/>
        <v>-1.6691933425024834</v>
      </c>
      <c r="H620" s="14">
        <f t="shared" si="149"/>
        <v>5.5146208248874702</v>
      </c>
      <c r="I620" s="14">
        <f t="shared" si="150"/>
        <v>3.9412281867212604</v>
      </c>
      <c r="J620" s="14">
        <f t="shared" si="159"/>
        <v>-13.069887683114034</v>
      </c>
      <c r="K620" s="14">
        <f t="shared" si="151"/>
        <v>-73.219300625294707</v>
      </c>
      <c r="L620" s="14">
        <f t="shared" si="152"/>
        <v>13.651199349105635</v>
      </c>
      <c r="M620" s="14">
        <f t="shared" si="161"/>
        <v>17.306585567480067</v>
      </c>
      <c r="N620" s="14">
        <f t="shared" si="153"/>
        <v>-5.258292375258792</v>
      </c>
      <c r="O620" s="14">
        <f t="shared" si="160"/>
        <v>0</v>
      </c>
      <c r="P620" s="14">
        <f t="shared" si="154"/>
        <v>0</v>
      </c>
    </row>
    <row r="621" spans="1:16" x14ac:dyDescent="0.25">
      <c r="A621" s="14">
        <f t="shared" si="146"/>
        <v>2.9849999999999586</v>
      </c>
      <c r="B621" s="14">
        <f t="shared" si="155"/>
        <v>30.045434703482808</v>
      </c>
      <c r="C621" s="14">
        <f t="shared" si="156"/>
        <v>0.88408627338299084</v>
      </c>
      <c r="D621" s="14">
        <f t="shared" si="157"/>
        <v>0.88408627338299084</v>
      </c>
      <c r="E621" s="14">
        <f t="shared" si="147"/>
        <v>1</v>
      </c>
      <c r="F621" s="14">
        <f t="shared" si="158"/>
        <v>-5.7770125537396853</v>
      </c>
      <c r="G621" s="14">
        <f t="shared" si="148"/>
        <v>-1.6678772413746275</v>
      </c>
      <c r="H621" s="14">
        <f t="shared" si="149"/>
        <v>5.5310089092109127</v>
      </c>
      <c r="I621" s="14">
        <f t="shared" si="150"/>
        <v>3.9328888005143874</v>
      </c>
      <c r="J621" s="14">
        <f t="shared" si="159"/>
        <v>-13.09123263856798</v>
      </c>
      <c r="K621" s="14">
        <f t="shared" si="151"/>
        <v>-73.278597984209341</v>
      </c>
      <c r="L621" s="14">
        <f t="shared" si="152"/>
        <v>13.669235030327011</v>
      </c>
      <c r="M621" s="14">
        <f t="shared" si="161"/>
        <v>17.306585567480067</v>
      </c>
      <c r="N621" s="14">
        <f t="shared" si="153"/>
        <v>-5.3237485384516319</v>
      </c>
      <c r="O621" s="14">
        <f t="shared" si="160"/>
        <v>0</v>
      </c>
      <c r="P621" s="14">
        <f t="shared" si="154"/>
        <v>0</v>
      </c>
    </row>
    <row r="622" spans="1:16" x14ac:dyDescent="0.25">
      <c r="A622" s="14">
        <f t="shared" si="146"/>
        <v>2.9899999999999585</v>
      </c>
      <c r="B622" s="14">
        <f t="shared" si="155"/>
        <v>30.095762064795174</v>
      </c>
      <c r="C622" s="14">
        <f t="shared" si="156"/>
        <v>0.81231215491293796</v>
      </c>
      <c r="D622" s="14">
        <f t="shared" si="157"/>
        <v>0.81231215491293796</v>
      </c>
      <c r="E622" s="14">
        <f t="shared" si="147"/>
        <v>1</v>
      </c>
      <c r="F622" s="14">
        <f t="shared" si="158"/>
        <v>-5.7922875757438916</v>
      </c>
      <c r="G622" s="14">
        <f t="shared" si="148"/>
        <v>-1.6665470222335341</v>
      </c>
      <c r="H622" s="14">
        <f t="shared" si="149"/>
        <v>5.5473612089714859</v>
      </c>
      <c r="I622" s="14">
        <f t="shared" si="150"/>
        <v>3.9245560654032197</v>
      </c>
      <c r="J622" s="14">
        <f t="shared" si="159"/>
        <v>-13.112495832523123</v>
      </c>
      <c r="K622" s="14">
        <f t="shared" si="151"/>
        <v>-73.337614198870938</v>
      </c>
      <c r="L622" s="14">
        <f t="shared" si="152"/>
        <v>13.687208892554738</v>
      </c>
      <c r="M622" s="14">
        <f t="shared" si="161"/>
        <v>17.306585567480067</v>
      </c>
      <c r="N622" s="14">
        <f t="shared" si="153"/>
        <v>-5.3893110176142471</v>
      </c>
      <c r="O622" s="14">
        <f t="shared" si="160"/>
        <v>0</v>
      </c>
      <c r="P622" s="14">
        <f t="shared" si="154"/>
        <v>0</v>
      </c>
    </row>
    <row r="623" spans="1:16" x14ac:dyDescent="0.25">
      <c r="A623" s="14">
        <f t="shared" si="146"/>
        <v>2.9949999999999584</v>
      </c>
      <c r="B623" s="14">
        <f t="shared" si="155"/>
        <v>30.14608942610754</v>
      </c>
      <c r="C623" s="14">
        <f t="shared" si="156"/>
        <v>0.74029303644289968</v>
      </c>
      <c r="D623" s="14">
        <f t="shared" si="157"/>
        <v>0.74029303644289968</v>
      </c>
      <c r="E623" s="14">
        <f t="shared" si="147"/>
        <v>1</v>
      </c>
      <c r="F623" s="14">
        <f t="shared" si="158"/>
        <v>-5.8075303053213139</v>
      </c>
      <c r="G623" s="14">
        <f t="shared" si="148"/>
        <v>-1.6652027790092145</v>
      </c>
      <c r="H623" s="14">
        <f t="shared" si="149"/>
        <v>5.5636775564374199</v>
      </c>
      <c r="I623" s="14">
        <f t="shared" si="150"/>
        <v>3.9162300515081734</v>
      </c>
      <c r="J623" s="14">
        <f t="shared" si="159"/>
        <v>-13.133677444740936</v>
      </c>
      <c r="K623" s="14">
        <f t="shared" si="151"/>
        <v>-73.396351171297965</v>
      </c>
      <c r="L623" s="14">
        <f t="shared" si="152"/>
        <v>13.705120978628116</v>
      </c>
      <c r="M623" s="14">
        <f t="shared" si="161"/>
        <v>17.306585567480067</v>
      </c>
      <c r="N623" s="14">
        <f t="shared" si="153"/>
        <v>-5.4549794048379514</v>
      </c>
      <c r="O623" s="14">
        <f t="shared" si="160"/>
        <v>0</v>
      </c>
      <c r="P623" s="14">
        <f t="shared" si="154"/>
        <v>0</v>
      </c>
    </row>
    <row r="624" spans="1:16" x14ac:dyDescent="0.25">
      <c r="A624" s="14">
        <f t="shared" si="146"/>
        <v>2.9999999999999583</v>
      </c>
      <c r="B624" s="14">
        <f t="shared" si="155"/>
        <v>30.196416787419906</v>
      </c>
      <c r="C624" s="14">
        <f t="shared" si="156"/>
        <v>0.66802891797285469</v>
      </c>
      <c r="D624" s="14">
        <f t="shared" si="157"/>
        <v>0.66802891797285469</v>
      </c>
      <c r="E624" s="14">
        <f t="shared" si="147"/>
        <v>1</v>
      </c>
      <c r="F624" s="14">
        <f t="shared" si="158"/>
        <v>-5.8227405722038075</v>
      </c>
      <c r="G624" s="14">
        <f t="shared" si="148"/>
        <v>-1.6638446057178149</v>
      </c>
      <c r="H624" s="14">
        <f t="shared" si="149"/>
        <v>5.5799577865080714</v>
      </c>
      <c r="I624" s="14">
        <f t="shared" si="150"/>
        <v>3.9079108284795843</v>
      </c>
      <c r="J624" s="14">
        <f t="shared" si="159"/>
        <v>-13.154777655808395</v>
      </c>
      <c r="K624" s="14">
        <f t="shared" si="151"/>
        <v>-73.454810786695688</v>
      </c>
      <c r="L624" s="14">
        <f t="shared" si="152"/>
        <v>13.72297133339219</v>
      </c>
      <c r="M624" s="14">
        <f t="shared" si="161"/>
        <v>17.306585567480067</v>
      </c>
      <c r="N624" s="14">
        <f t="shared" si="153"/>
        <v>-5.5207532931169938</v>
      </c>
      <c r="O624" s="14">
        <f t="shared" si="160"/>
        <v>0</v>
      </c>
      <c r="P624" s="14">
        <f t="shared" si="154"/>
        <v>0</v>
      </c>
    </row>
    <row r="625" spans="1:16" x14ac:dyDescent="0.25">
      <c r="A625" s="14">
        <f t="shared" si="146"/>
        <v>3.0049999999999581</v>
      </c>
      <c r="B625" s="14">
        <f t="shared" si="155"/>
        <v>30.246744148732272</v>
      </c>
      <c r="C625" s="14">
        <f t="shared" si="156"/>
        <v>0.59551979950281719</v>
      </c>
      <c r="D625" s="14">
        <f t="shared" si="157"/>
        <v>0.59551979950281719</v>
      </c>
      <c r="E625" s="14">
        <f t="shared" si="147"/>
        <v>1</v>
      </c>
      <c r="F625" s="14">
        <f t="shared" si="158"/>
        <v>-5.8379182087302182</v>
      </c>
      <c r="G625" s="14">
        <f t="shared" si="148"/>
        <v>-1.6624725964530263</v>
      </c>
      <c r="H625" s="14">
        <f t="shared" si="149"/>
        <v>5.5962017367020085</v>
      </c>
      <c r="I625" s="14">
        <f t="shared" si="150"/>
        <v>3.899598465497319</v>
      </c>
      <c r="J625" s="14">
        <f t="shared" si="159"/>
        <v>-13.175796647124885</v>
      </c>
      <c r="K625" s="14">
        <f t="shared" si="151"/>
        <v>-73.512994913628987</v>
      </c>
      <c r="L625" s="14">
        <f t="shared" si="152"/>
        <v>13.740760003671429</v>
      </c>
      <c r="M625" s="14">
        <f t="shared" si="161"/>
        <v>17.306585567480067</v>
      </c>
      <c r="N625" s="14">
        <f t="shared" si="153"/>
        <v>-5.5866322763526179</v>
      </c>
      <c r="O625" s="14">
        <f t="shared" si="160"/>
        <v>0</v>
      </c>
      <c r="P625" s="14">
        <f t="shared" si="154"/>
        <v>0</v>
      </c>
    </row>
    <row r="626" spans="1:16" x14ac:dyDescent="0.25">
      <c r="A626" s="14">
        <f t="shared" si="146"/>
        <v>3.009999999999958</v>
      </c>
      <c r="B626" s="14">
        <f t="shared" si="155"/>
        <v>30.297071510044638</v>
      </c>
      <c r="C626" s="14">
        <f t="shared" si="156"/>
        <v>0.52276568103276588</v>
      </c>
      <c r="D626" s="14">
        <f t="shared" si="157"/>
        <v>0.52276568103276588</v>
      </c>
      <c r="E626" s="14">
        <f t="shared" si="147"/>
        <v>1</v>
      </c>
      <c r="F626" s="14">
        <f t="shared" si="158"/>
        <v>-5.8530630498333904</v>
      </c>
      <c r="G626" s="14">
        <f t="shared" si="148"/>
        <v>-1.6610868453776049</v>
      </c>
      <c r="H626" s="14">
        <f t="shared" si="149"/>
        <v>5.6124092471449751</v>
      </c>
      <c r="I626" s="14">
        <f t="shared" si="150"/>
        <v>3.8912930312704308</v>
      </c>
      <c r="J626" s="14">
        <f t="shared" si="159"/>
        <v>-13.19673460088916</v>
      </c>
      <c r="K626" s="14">
        <f t="shared" si="151"/>
        <v>-73.570905404193368</v>
      </c>
      <c r="L626" s="14">
        <f t="shared" si="152"/>
        <v>13.758487038243667</v>
      </c>
      <c r="M626" s="14">
        <f t="shared" si="161"/>
        <v>17.306585567480067</v>
      </c>
      <c r="N626" s="14">
        <f t="shared" si="153"/>
        <v>-5.652615949357064</v>
      </c>
      <c r="O626" s="14">
        <f t="shared" si="160"/>
        <v>0</v>
      </c>
      <c r="P626" s="14">
        <f t="shared" si="154"/>
        <v>0</v>
      </c>
    </row>
    <row r="627" spans="1:16" x14ac:dyDescent="0.25">
      <c r="A627" s="14">
        <f t="shared" si="146"/>
        <v>3.0149999999999579</v>
      </c>
      <c r="B627" s="14">
        <f t="shared" si="155"/>
        <v>30.347398871357004</v>
      </c>
      <c r="C627" s="14">
        <f t="shared" si="156"/>
        <v>0.44976656256272918</v>
      </c>
      <c r="D627" s="14">
        <f t="shared" si="157"/>
        <v>0.44976656256272918</v>
      </c>
      <c r="E627" s="14">
        <f t="shared" si="147"/>
        <v>1</v>
      </c>
      <c r="F627" s="14">
        <f t="shared" si="158"/>
        <v>-5.8681749330270883</v>
      </c>
      <c r="G627" s="14">
        <f t="shared" si="148"/>
        <v>-1.6596874467150065</v>
      </c>
      <c r="H627" s="14">
        <f t="shared" si="149"/>
        <v>5.628580160557731</v>
      </c>
      <c r="I627" s="14">
        <f t="shared" si="150"/>
        <v>3.8829945940368558</v>
      </c>
      <c r="J627" s="14">
        <f t="shared" si="159"/>
        <v>-13.217591700086372</v>
      </c>
      <c r="K627" s="14">
        <f t="shared" si="151"/>
        <v>-73.628544094184207</v>
      </c>
      <c r="L627" s="14">
        <f t="shared" si="152"/>
        <v>13.776152487814279</v>
      </c>
      <c r="M627" s="14">
        <f t="shared" si="161"/>
        <v>17.306585567480067</v>
      </c>
      <c r="N627" s="14">
        <f t="shared" si="153"/>
        <v>-5.7187039078574955</v>
      </c>
      <c r="O627" s="14">
        <f t="shared" si="160"/>
        <v>0</v>
      </c>
      <c r="P627" s="14">
        <f t="shared" si="154"/>
        <v>0</v>
      </c>
    </row>
    <row r="628" spans="1:16" x14ac:dyDescent="0.25">
      <c r="A628" s="14">
        <f t="shared" si="146"/>
        <v>3.0199999999999578</v>
      </c>
      <c r="B628" s="14">
        <f t="shared" si="155"/>
        <v>30.39772623266937</v>
      </c>
      <c r="C628" s="14">
        <f t="shared" si="156"/>
        <v>0.37652244409268576</v>
      </c>
      <c r="D628" s="14">
        <f t="shared" si="157"/>
        <v>0.37652244409268576</v>
      </c>
      <c r="E628" s="14">
        <f t="shared" si="147"/>
        <v>1</v>
      </c>
      <c r="F628" s="14">
        <f t="shared" si="158"/>
        <v>-5.8832536983928589</v>
      </c>
      <c r="G628" s="14">
        <f t="shared" si="148"/>
        <v>-1.6582744947411168</v>
      </c>
      <c r="H628" s="14">
        <f t="shared" si="149"/>
        <v>5.6447143222438054</v>
      </c>
      <c r="I628" s="14">
        <f t="shared" si="150"/>
        <v>3.8747032215631503</v>
      </c>
      <c r="J628" s="14">
        <f t="shared" si="159"/>
        <v>-13.238368128475152</v>
      </c>
      <c r="K628" s="14">
        <f t="shared" si="151"/>
        <v>-73.685912803263875</v>
      </c>
      <c r="L628" s="14">
        <f t="shared" si="152"/>
        <v>13.793756404990575</v>
      </c>
      <c r="M628" s="14">
        <f t="shared" si="161"/>
        <v>17.306585567480067</v>
      </c>
      <c r="N628" s="14">
        <f t="shared" si="153"/>
        <v>-5.7848957484998715</v>
      </c>
      <c r="O628" s="14">
        <f t="shared" si="160"/>
        <v>0</v>
      </c>
      <c r="P628" s="14">
        <f t="shared" si="154"/>
        <v>0</v>
      </c>
    </row>
    <row r="629" spans="1:16" x14ac:dyDescent="0.25">
      <c r="A629" s="14">
        <f t="shared" si="146"/>
        <v>3.0249999999999577</v>
      </c>
      <c r="B629" s="14">
        <f t="shared" si="155"/>
        <v>30.448053593981736</v>
      </c>
      <c r="C629" s="14">
        <f t="shared" si="156"/>
        <v>0.30303332562264274</v>
      </c>
      <c r="D629" s="14">
        <f t="shared" si="157"/>
        <v>0.30303332562264274</v>
      </c>
      <c r="E629" s="14">
        <f t="shared" si="147"/>
        <v>1</v>
      </c>
      <c r="F629" s="14">
        <f t="shared" si="158"/>
        <v>-5.8982991885667735</v>
      </c>
      <c r="G629" s="14">
        <f t="shared" si="148"/>
        <v>-1.6568480837761042</v>
      </c>
      <c r="H629" s="14">
        <f t="shared" si="149"/>
        <v>5.6608115800770928</v>
      </c>
      <c r="I629" s="14">
        <f t="shared" si="150"/>
        <v>3.8664189811442697</v>
      </c>
      <c r="J629" s="14">
        <f t="shared" si="159"/>
        <v>-13.259064070574766</v>
      </c>
      <c r="K629" s="14">
        <f t="shared" si="151"/>
        <v>-73.74301333512733</v>
      </c>
      <c r="L629" s="14">
        <f t="shared" si="152"/>
        <v>13.811298844256443</v>
      </c>
      <c r="M629" s="14">
        <f t="shared" si="161"/>
        <v>17.306585567480067</v>
      </c>
      <c r="N629" s="14">
        <f t="shared" si="153"/>
        <v>-5.8511910688527458</v>
      </c>
      <c r="O629" s="14">
        <f t="shared" si="160"/>
        <v>0</v>
      </c>
      <c r="P629" s="14">
        <f t="shared" si="154"/>
        <v>0</v>
      </c>
    </row>
    <row r="630" spans="1:16" x14ac:dyDescent="0.25">
      <c r="A630" s="14">
        <f t="shared" si="146"/>
        <v>3.0299999999999576</v>
      </c>
      <c r="B630" s="14">
        <f t="shared" si="155"/>
        <v>30.498380955294103</v>
      </c>
      <c r="C630" s="14">
        <f t="shared" si="156"/>
        <v>0.2292992071526001</v>
      </c>
      <c r="D630" s="14">
        <f t="shared" si="157"/>
        <v>0.2292992071526001</v>
      </c>
      <c r="E630" s="14">
        <f t="shared" si="147"/>
        <v>1</v>
      </c>
      <c r="F630" s="14">
        <f t="shared" si="158"/>
        <v>-5.9133112487261403</v>
      </c>
      <c r="G630" s="14">
        <f t="shared" si="148"/>
        <v>-1.6554083081763598</v>
      </c>
      <c r="H630" s="14">
        <f t="shared" si="149"/>
        <v>5.6768717844893937</v>
      </c>
      <c r="I630" s="14">
        <f t="shared" si="150"/>
        <v>3.8581419396033878</v>
      </c>
      <c r="J630" s="14">
        <f t="shared" si="159"/>
        <v>-13.279679711652319</v>
      </c>
      <c r="K630" s="14">
        <f t="shared" si="151"/>
        <v>-73.799847477665665</v>
      </c>
      <c r="L630" s="14">
        <f t="shared" si="152"/>
        <v>13.828779861947213</v>
      </c>
      <c r="M630" s="14">
        <f t="shared" si="161"/>
        <v>17.306585567480067</v>
      </c>
      <c r="N630" s="14">
        <f t="shared" si="153"/>
        <v>-5.9175894674110072</v>
      </c>
      <c r="O630" s="14">
        <f t="shared" si="160"/>
        <v>0</v>
      </c>
      <c r="P630" s="14">
        <f t="shared" si="154"/>
        <v>0</v>
      </c>
    </row>
    <row r="631" spans="1:16" x14ac:dyDescent="0.25">
      <c r="A631" s="14">
        <f t="shared" si="146"/>
        <v>3.0349999999999575</v>
      </c>
      <c r="B631" s="14">
        <f t="shared" si="155"/>
        <v>30.548708316606469</v>
      </c>
      <c r="C631" s="14">
        <f t="shared" si="156"/>
        <v>0.15532008868256497</v>
      </c>
      <c r="D631" s="14">
        <f t="shared" si="157"/>
        <v>0.15532008868256497</v>
      </c>
      <c r="E631" s="14">
        <f t="shared" si="147"/>
        <v>1</v>
      </c>
      <c r="F631" s="14">
        <f t="shared" si="158"/>
        <v>-5.928289726576101</v>
      </c>
      <c r="G631" s="14">
        <f t="shared" si="148"/>
        <v>-1.6539552623265596</v>
      </c>
      <c r="H631" s="14">
        <f t="shared" si="149"/>
        <v>5.6928947884578038</v>
      </c>
      <c r="I631" s="14">
        <f t="shared" si="150"/>
        <v>3.8498721632917552</v>
      </c>
      <c r="J631" s="14">
        <f t="shared" si="159"/>
        <v>-13.300215237710031</v>
      </c>
      <c r="K631" s="14">
        <f t="shared" si="151"/>
        <v>-73.856417003127945</v>
      </c>
      <c r="L631" s="14">
        <f t="shared" si="152"/>
        <v>13.846199516224761</v>
      </c>
      <c r="M631" s="14">
        <f t="shared" si="161"/>
        <v>17.306585567480067</v>
      </c>
      <c r="N631" s="14">
        <f t="shared" si="153"/>
        <v>-5.9840905435995575</v>
      </c>
      <c r="O631" s="14">
        <f t="shared" si="160"/>
        <v>0</v>
      </c>
      <c r="P631" s="14">
        <f t="shared" si="154"/>
        <v>0</v>
      </c>
    </row>
    <row r="632" spans="1:16" x14ac:dyDescent="0.25">
      <c r="A632" s="14">
        <f t="shared" si="146"/>
        <v>3.0399999999999574</v>
      </c>
      <c r="B632" s="14">
        <f t="shared" si="155"/>
        <v>30.599035677918835</v>
      </c>
      <c r="C632" s="14">
        <f t="shared" si="156"/>
        <v>8.1095970212516022E-2</v>
      </c>
      <c r="D632" s="14">
        <f t="shared" si="157"/>
        <v>8.1095970212516022E-2</v>
      </c>
      <c r="E632" s="14">
        <f t="shared" si="147"/>
        <v>1</v>
      </c>
      <c r="F632" s="14">
        <f t="shared" si="158"/>
        <v>-5.9432344723361865</v>
      </c>
      <c r="G632" s="14">
        <f t="shared" si="148"/>
        <v>-1.6524890406318198</v>
      </c>
      <c r="H632" s="14">
        <f t="shared" si="149"/>
        <v>5.7088804474920405</v>
      </c>
      <c r="I632" s="14">
        <f t="shared" si="150"/>
        <v>3.8416097180885962</v>
      </c>
      <c r="J632" s="14">
        <f t="shared" si="159"/>
        <v>-13.320670835472571</v>
      </c>
      <c r="K632" s="14">
        <f t="shared" si="151"/>
        <v>-73.912723668281231</v>
      </c>
      <c r="L632" s="14">
        <f t="shared" si="152"/>
        <v>13.863557867052824</v>
      </c>
      <c r="M632" s="14">
        <f t="shared" si="161"/>
        <v>17.306585567480067</v>
      </c>
      <c r="N632" s="14">
        <f t="shared" si="153"/>
        <v>-6.0506938977769202</v>
      </c>
      <c r="O632" s="14">
        <f t="shared" si="160"/>
        <v>0</v>
      </c>
      <c r="P632" s="14">
        <f t="shared" si="154"/>
        <v>0</v>
      </c>
    </row>
    <row r="633" spans="1:16" x14ac:dyDescent="0.25">
      <c r="A633" s="14">
        <f t="shared" si="146"/>
        <v>3.0449999999999573</v>
      </c>
      <c r="B633" s="14">
        <f t="shared" si="155"/>
        <v>30.649363039231201</v>
      </c>
      <c r="C633" s="14">
        <f t="shared" si="156"/>
        <v>6.6268517424674656E-3</v>
      </c>
      <c r="D633" s="14">
        <f t="shared" si="157"/>
        <v>6.6268517424674656E-3</v>
      </c>
      <c r="E633" s="14">
        <f t="shared" si="147"/>
        <v>1</v>
      </c>
      <c r="F633" s="14">
        <f t="shared" si="158"/>
        <v>-5.9581453387267898</v>
      </c>
      <c r="G633" s="14">
        <f t="shared" si="148"/>
        <v>-1.6510097375099657</v>
      </c>
      <c r="H633" s="14">
        <f t="shared" si="149"/>
        <v>5.7248286196216434</v>
      </c>
      <c r="I633" s="14">
        <f t="shared" si="150"/>
        <v>3.8333546694010465</v>
      </c>
      <c r="J633" s="14">
        <f t="shared" si="159"/>
        <v>-13.341046692374462</v>
      </c>
      <c r="K633" s="14">
        <f t="shared" si="151"/>
        <v>-73.968769214568937</v>
      </c>
      <c r="L633" s="14">
        <f t="shared" si="152"/>
        <v>13.880854976172555</v>
      </c>
      <c r="M633" s="14">
        <f t="shared" si="161"/>
        <v>17.306585567480067</v>
      </c>
      <c r="N633" s="14">
        <f t="shared" si="153"/>
        <v>-6.117399131238793</v>
      </c>
      <c r="O633" s="14">
        <f t="shared" si="160"/>
        <v>0</v>
      </c>
      <c r="P633" s="14">
        <f t="shared" si="154"/>
        <v>0</v>
      </c>
    </row>
    <row r="634" spans="1:16" x14ac:dyDescent="0.25">
      <c r="A634" s="14">
        <f t="shared" si="146"/>
        <v>3.0499999999999572</v>
      </c>
      <c r="B634" s="14">
        <f t="shared" si="155"/>
        <v>30.649363039231201</v>
      </c>
      <c r="C634" s="14">
        <f t="shared" si="156"/>
        <v>-6.8087266727566487E-2</v>
      </c>
      <c r="D634" s="14">
        <f t="shared" si="157"/>
        <v>0</v>
      </c>
      <c r="E634" s="14">
        <f t="shared" si="147"/>
        <v>0</v>
      </c>
      <c r="F634" s="14">
        <f t="shared" si="158"/>
        <v>-5.9730221809555664</v>
      </c>
      <c r="G634" s="14">
        <f t="shared" si="148"/>
        <v>-1.6495174473838852</v>
      </c>
      <c r="H634" s="14">
        <f t="shared" si="149"/>
        <v>5.7407391653830899</v>
      </c>
      <c r="I634" s="14">
        <f t="shared" si="150"/>
        <v>3.8251070821641271</v>
      </c>
      <c r="J634" s="14">
        <f t="shared" si="159"/>
        <v>-13.361342996547547</v>
      </c>
      <c r="K634" s="14">
        <f t="shared" si="151"/>
        <v>-74.024555368267357</v>
      </c>
      <c r="L634" s="14">
        <f t="shared" si="152"/>
        <v>13.898090907078293</v>
      </c>
      <c r="M634" s="14">
        <f t="shared" si="161"/>
        <v>17.306585567480067</v>
      </c>
      <c r="N634" s="14">
        <f t="shared" si="153"/>
        <v>-6.1842058462215306</v>
      </c>
      <c r="O634" s="14">
        <f t="shared" si="160"/>
        <v>0</v>
      </c>
      <c r="P634" s="14">
        <f t="shared" si="154"/>
        <v>0</v>
      </c>
    </row>
    <row r="635" spans="1:16" x14ac:dyDescent="0.25">
      <c r="A635" s="14">
        <f t="shared" si="146"/>
        <v>3.0549999999999571</v>
      </c>
      <c r="B635" s="14">
        <f t="shared" si="155"/>
        <v>30.649363039231201</v>
      </c>
      <c r="C635" s="14">
        <f t="shared" si="156"/>
        <v>-0.14304638519761426</v>
      </c>
      <c r="D635" s="14">
        <f t="shared" si="157"/>
        <v>0</v>
      </c>
      <c r="E635" s="14">
        <f t="shared" si="147"/>
        <v>0</v>
      </c>
      <c r="F635" s="14">
        <f t="shared" si="158"/>
        <v>-5.9878648567037827</v>
      </c>
      <c r="G635" s="14">
        <f t="shared" si="148"/>
        <v>-1.6480122646740074</v>
      </c>
      <c r="H635" s="14">
        <f t="shared" si="149"/>
        <v>5.7566119478068227</v>
      </c>
      <c r="I635" s="14">
        <f t="shared" si="150"/>
        <v>3.8168670208407569</v>
      </c>
      <c r="J635" s="14">
        <f t="shared" si="159"/>
        <v>-13.381559936808513</v>
      </c>
      <c r="K635" s="14">
        <f t="shared" si="151"/>
        <v>-74.080083840640398</v>
      </c>
      <c r="L635" s="14">
        <f t="shared" si="152"/>
        <v>13.915265724993555</v>
      </c>
      <c r="M635" s="14">
        <f t="shared" si="161"/>
        <v>17.306585567480067</v>
      </c>
      <c r="N635" s="14">
        <f t="shared" si="153"/>
        <v>-6.2511136459055727</v>
      </c>
      <c r="O635" s="14">
        <f t="shared" si="160"/>
        <v>0</v>
      </c>
      <c r="P635" s="14">
        <f t="shared" si="154"/>
        <v>0</v>
      </c>
    </row>
    <row r="636" spans="1:16" x14ac:dyDescent="0.25">
      <c r="A636" s="14">
        <f t="shared" si="146"/>
        <v>3.059999999999957</v>
      </c>
      <c r="B636" s="14">
        <f t="shared" si="155"/>
        <v>30.649363039231201</v>
      </c>
      <c r="C636" s="14">
        <f t="shared" si="156"/>
        <v>-0.21825050366765453</v>
      </c>
      <c r="D636" s="14">
        <f t="shared" si="157"/>
        <v>0</v>
      </c>
      <c r="E636" s="14">
        <f t="shared" si="147"/>
        <v>0</v>
      </c>
      <c r="F636" s="14">
        <f t="shared" si="158"/>
        <v>-6.0026732261125924</v>
      </c>
      <c r="G636" s="14">
        <f t="shared" si="148"/>
        <v>-1.6464942837908709</v>
      </c>
      <c r="H636" s="14">
        <f t="shared" si="149"/>
        <v>5.7724468324041709</v>
      </c>
      <c r="I636" s="14">
        <f t="shared" si="150"/>
        <v>3.8086345494218024</v>
      </c>
      <c r="J636" s="14">
        <f t="shared" si="159"/>
        <v>-13.401697702646493</v>
      </c>
      <c r="K636" s="14">
        <f t="shared" si="151"/>
        <v>-74.135356328092769</v>
      </c>
      <c r="L636" s="14">
        <f t="shared" si="152"/>
        <v>13.932379496847252</v>
      </c>
      <c r="M636" s="14">
        <f t="shared" si="161"/>
        <v>17.306585567480067</v>
      </c>
      <c r="N636" s="14">
        <f t="shared" si="153"/>
        <v>-6.3181221344188048</v>
      </c>
      <c r="O636" s="14">
        <f t="shared" si="160"/>
        <v>0</v>
      </c>
      <c r="P636" s="14">
        <f t="shared" si="154"/>
        <v>0</v>
      </c>
    </row>
    <row r="637" spans="1:16" x14ac:dyDescent="0.25">
      <c r="A637" s="14">
        <f t="shared" si="146"/>
        <v>3.0649999999999569</v>
      </c>
      <c r="B637" s="14">
        <f t="shared" si="155"/>
        <v>30.649363039231201</v>
      </c>
      <c r="C637" s="14">
        <f t="shared" si="156"/>
        <v>-0.2936996221376944</v>
      </c>
      <c r="D637" s="14">
        <f t="shared" si="157"/>
        <v>0</v>
      </c>
      <c r="E637" s="14">
        <f t="shared" si="147"/>
        <v>0</v>
      </c>
      <c r="F637" s="14">
        <f t="shared" si="158"/>
        <v>-6.0174471517692609</v>
      </c>
      <c r="G637" s="14">
        <f t="shared" si="148"/>
        <v>-1.6449635991278004</v>
      </c>
      <c r="H637" s="14">
        <f t="shared" si="149"/>
        <v>5.7882436871542042</v>
      </c>
      <c r="I637" s="14">
        <f t="shared" si="150"/>
        <v>3.8004097314261633</v>
      </c>
      <c r="J637" s="14">
        <f t="shared" si="159"/>
        <v>-13.421756484210722</v>
      </c>
      <c r="K637" s="14">
        <f t="shared" si="151"/>
        <v>-74.190374512321455</v>
      </c>
      <c r="L637" s="14">
        <f t="shared" si="152"/>
        <v>13.949432291250108</v>
      </c>
      <c r="M637" s="14">
        <f t="shared" si="161"/>
        <v>17.306585567480067</v>
      </c>
      <c r="N637" s="14">
        <f t="shared" si="153"/>
        <v>-6.3852309168398582</v>
      </c>
      <c r="O637" s="14">
        <f t="shared" si="160"/>
        <v>0</v>
      </c>
      <c r="P637" s="14">
        <f t="shared" si="154"/>
        <v>0</v>
      </c>
    </row>
    <row r="638" spans="1:16" x14ac:dyDescent="0.25">
      <c r="A638" s="14">
        <f t="shared" si="146"/>
        <v>3.0699999999999568</v>
      </c>
      <c r="B638" s="14">
        <f t="shared" si="155"/>
        <v>30.649363039231201</v>
      </c>
      <c r="C638" s="14">
        <f t="shared" si="156"/>
        <v>-0.36939374060774099</v>
      </c>
      <c r="D638" s="14">
        <f t="shared" si="157"/>
        <v>0</v>
      </c>
      <c r="E638" s="14">
        <f t="shared" si="147"/>
        <v>0</v>
      </c>
      <c r="F638" s="14">
        <f t="shared" si="158"/>
        <v>-6.0321864986933091</v>
      </c>
      <c r="G638" s="14">
        <f t="shared" si="148"/>
        <v>-1.6434203050536558</v>
      </c>
      <c r="H638" s="14">
        <f t="shared" si="149"/>
        <v>5.8040023824904825</v>
      </c>
      <c r="I638" s="14">
        <f t="shared" si="150"/>
        <v>3.792192629900895</v>
      </c>
      <c r="J638" s="14">
        <f t="shared" si="159"/>
        <v>-13.441736472298269</v>
      </c>
      <c r="K638" s="14">
        <f t="shared" si="151"/>
        <v>-74.245140060465374</v>
      </c>
      <c r="L638" s="14">
        <f t="shared" si="152"/>
        <v>13.966424178471316</v>
      </c>
      <c r="M638" s="14">
        <f t="shared" si="161"/>
        <v>17.306585567480067</v>
      </c>
      <c r="N638" s="14">
        <f t="shared" si="153"/>
        <v>-6.4524395992013499</v>
      </c>
      <c r="O638" s="14">
        <f t="shared" si="160"/>
        <v>0</v>
      </c>
      <c r="P638" s="14">
        <f t="shared" si="154"/>
        <v>0</v>
      </c>
    </row>
    <row r="639" spans="1:16" x14ac:dyDescent="0.25">
      <c r="A639" s="14">
        <f t="shared" si="146"/>
        <v>3.0749999999999567</v>
      </c>
      <c r="B639" s="14">
        <f t="shared" si="155"/>
        <v>30.649363039231201</v>
      </c>
      <c r="C639" s="14">
        <f t="shared" si="156"/>
        <v>-0.44533285907778009</v>
      </c>
      <c r="D639" s="14">
        <f t="shared" si="157"/>
        <v>0</v>
      </c>
      <c r="E639" s="14">
        <f t="shared" si="147"/>
        <v>0</v>
      </c>
      <c r="F639" s="14">
        <f t="shared" si="158"/>
        <v>-6.0468911343226335</v>
      </c>
      <c r="G639" s="14">
        <f t="shared" si="148"/>
        <v>-1.6418644959057263</v>
      </c>
      <c r="H639" s="14">
        <f t="shared" si="149"/>
        <v>5.8197227912877345</v>
      </c>
      <c r="I639" s="14">
        <f t="shared" si="150"/>
        <v>3.7839833074213662</v>
      </c>
      <c r="J639" s="14">
        <f t="shared" si="159"/>
        <v>-13.461637858341829</v>
      </c>
      <c r="K639" s="14">
        <f t="shared" si="151"/>
        <v>-74.299654625253581</v>
      </c>
      <c r="L639" s="14">
        <f t="shared" si="152"/>
        <v>13.983355230415393</v>
      </c>
      <c r="M639" s="14">
        <f t="shared" si="161"/>
        <v>17.306585567480067</v>
      </c>
      <c r="N639" s="14">
        <f t="shared" si="153"/>
        <v>-6.519747788493059</v>
      </c>
      <c r="O639" s="14">
        <f t="shared" si="160"/>
        <v>0</v>
      </c>
      <c r="P639" s="14">
        <f t="shared" si="154"/>
        <v>0</v>
      </c>
    </row>
    <row r="640" spans="1:16" x14ac:dyDescent="0.25">
      <c r="A640" s="14">
        <f t="shared" si="146"/>
        <v>3.0799999999999566</v>
      </c>
      <c r="B640" s="14">
        <f t="shared" si="155"/>
        <v>30.649363039231201</v>
      </c>
      <c r="C640" s="14">
        <f t="shared" si="156"/>
        <v>-0.52151697754782589</v>
      </c>
      <c r="D640" s="14">
        <f t="shared" si="157"/>
        <v>0</v>
      </c>
      <c r="E640" s="14">
        <f t="shared" si="147"/>
        <v>0</v>
      </c>
      <c r="F640" s="14">
        <f t="shared" si="158"/>
        <v>-6.0615609284995511</v>
      </c>
      <c r="G640" s="14">
        <f t="shared" si="148"/>
        <v>-1.6402962659826874</v>
      </c>
      <c r="H640" s="14">
        <f t="shared" si="149"/>
        <v>5.8354047888484644</v>
      </c>
      <c r="I640" s="14">
        <f t="shared" si="150"/>
        <v>3.7757818260914529</v>
      </c>
      <c r="J640" s="14">
        <f t="shared" si="159"/>
        <v>-13.481460834397588</v>
      </c>
      <c r="K640" s="14">
        <f t="shared" si="151"/>
        <v>-74.353919845151651</v>
      </c>
      <c r="L640" s="14">
        <f t="shared" si="152"/>
        <v>14.000225520599253</v>
      </c>
      <c r="M640" s="14">
        <f t="shared" si="161"/>
        <v>17.306585567480067</v>
      </c>
      <c r="N640" s="14">
        <f t="shared" si="153"/>
        <v>-6.5871550926650473</v>
      </c>
      <c r="O640" s="14">
        <f t="shared" si="160"/>
        <v>0</v>
      </c>
      <c r="P640" s="14">
        <f t="shared" si="154"/>
        <v>0</v>
      </c>
    </row>
    <row r="641" spans="1:16" x14ac:dyDescent="0.25">
      <c r="A641" s="14">
        <f t="shared" ref="A641:A704" si="162">A640+$A$22</f>
        <v>3.0849999999999564</v>
      </c>
      <c r="B641" s="14">
        <f t="shared" si="155"/>
        <v>30.649363039231201</v>
      </c>
      <c r="C641" s="14">
        <f t="shared" si="156"/>
        <v>-0.59794609601786419</v>
      </c>
      <c r="D641" s="14">
        <f t="shared" si="157"/>
        <v>0</v>
      </c>
      <c r="E641" s="14">
        <f t="shared" ref="E641:E704" si="163">IF(AND(C642-C641&lt;0,C641&lt;$B$18),0,1)</f>
        <v>0</v>
      </c>
      <c r="F641" s="14">
        <f t="shared" si="158"/>
        <v>-6.0761957534567976</v>
      </c>
      <c r="G641" s="14">
        <f t="shared" ref="G641:G704" si="164">$F641*COS(PI()/180*$K640)</f>
        <v>-1.638715709537673</v>
      </c>
      <c r="H641" s="14">
        <f t="shared" ref="H641:H704" si="165">$F641*SIN(PI()/180*$K640)</f>
        <v>5.8510482528894654</v>
      </c>
      <c r="I641" s="14">
        <f t="shared" ref="I641:I704" si="166">I640+G641*$A$22</f>
        <v>3.7675882475437645</v>
      </c>
      <c r="J641" s="14">
        <f t="shared" si="159"/>
        <v>-13.50120559313314</v>
      </c>
      <c r="K641" s="14">
        <f t="shared" ref="K641:K704" si="167">180/PI()*ATAN(J641/I641)</f>
        <v>-74.407937344506649</v>
      </c>
      <c r="L641" s="14">
        <f t="shared" ref="L641:L704" si="168">SQRT(I641^2+J641^2)</f>
        <v>14.017035124129478</v>
      </c>
      <c r="M641" s="14">
        <f t="shared" si="161"/>
        <v>17.306585567480067</v>
      </c>
      <c r="N641" s="14">
        <f t="shared" ref="N641:N704" si="169">N640+J641*$A$22</f>
        <v>-6.6546611206307134</v>
      </c>
      <c r="O641" s="14">
        <f t="shared" si="160"/>
        <v>0</v>
      </c>
      <c r="P641" s="14">
        <f t="shared" ref="P641:P704" si="170">IF(AND(N642-N641&lt;0,N641&lt;$B$18),0,1)</f>
        <v>0</v>
      </c>
    </row>
    <row r="642" spans="1:16" x14ac:dyDescent="0.25">
      <c r="A642" s="14">
        <f t="shared" si="162"/>
        <v>3.0899999999999563</v>
      </c>
      <c r="B642" s="14">
        <f t="shared" si="155"/>
        <v>30.649363039231201</v>
      </c>
      <c r="C642" s="14">
        <f t="shared" si="156"/>
        <v>-0.67462021448790921</v>
      </c>
      <c r="D642" s="14">
        <f t="shared" si="157"/>
        <v>0</v>
      </c>
      <c r="E642" s="14">
        <f t="shared" si="163"/>
        <v>0</v>
      </c>
      <c r="F642" s="14">
        <f t="shared" si="158"/>
        <v>-6.0907954838034648</v>
      </c>
      <c r="G642" s="14">
        <f t="shared" si="164"/>
        <v>-1.63712292077143</v>
      </c>
      <c r="H642" s="14">
        <f t="shared" si="165"/>
        <v>5.8666530635282585</v>
      </c>
      <c r="I642" s="14">
        <f t="shared" si="166"/>
        <v>3.7594026329399073</v>
      </c>
      <c r="J642" s="14">
        <f t="shared" si="159"/>
        <v>-13.520872327815498</v>
      </c>
      <c r="K642" s="14">
        <f t="shared" si="167"/>
        <v>-74.461708733690344</v>
      </c>
      <c r="L642" s="14">
        <f t="shared" si="168"/>
        <v>14.03378411767982</v>
      </c>
      <c r="M642" s="14">
        <f t="shared" si="161"/>
        <v>17.306585567480067</v>
      </c>
      <c r="N642" s="14">
        <f t="shared" si="169"/>
        <v>-6.7222654822697905</v>
      </c>
      <c r="O642" s="14">
        <f t="shared" si="160"/>
        <v>0</v>
      </c>
      <c r="P642" s="14">
        <f t="shared" si="170"/>
        <v>0</v>
      </c>
    </row>
    <row r="643" spans="1:16" x14ac:dyDescent="0.25">
      <c r="A643" s="14">
        <f t="shared" si="162"/>
        <v>3.0949999999999562</v>
      </c>
      <c r="B643" s="14">
        <f t="shared" si="155"/>
        <v>30.649363039231201</v>
      </c>
      <c r="C643" s="14">
        <f t="shared" si="156"/>
        <v>-0.75153933295795383</v>
      </c>
      <c r="D643" s="14">
        <f t="shared" si="157"/>
        <v>0</v>
      </c>
      <c r="E643" s="14">
        <f t="shared" si="163"/>
        <v>0</v>
      </c>
      <c r="F643" s="14">
        <f t="shared" si="158"/>
        <v>-6.1053599965109138</v>
      </c>
      <c r="G643" s="14">
        <f t="shared" si="164"/>
        <v>-1.6355179938255879</v>
      </c>
      <c r="H643" s="14">
        <f t="shared" si="165"/>
        <v>5.8822191032694855</v>
      </c>
      <c r="I643" s="14">
        <f t="shared" si="166"/>
        <v>3.7512250429707792</v>
      </c>
      <c r="J643" s="14">
        <f t="shared" si="159"/>
        <v>-13.540461232299151</v>
      </c>
      <c r="K643" s="14">
        <f t="shared" si="167"/>
        <v>-74.515235609240861</v>
      </c>
      <c r="L643" s="14">
        <f t="shared" si="168"/>
        <v>14.050472579468897</v>
      </c>
      <c r="M643" s="14">
        <f t="shared" si="161"/>
        <v>17.306585567480067</v>
      </c>
      <c r="N643" s="14">
        <f t="shared" si="169"/>
        <v>-6.7899677884312863</v>
      </c>
      <c r="O643" s="14">
        <f t="shared" si="160"/>
        <v>0</v>
      </c>
      <c r="P643" s="14">
        <f t="shared" si="170"/>
        <v>0</v>
      </c>
    </row>
    <row r="644" spans="1:16" x14ac:dyDescent="0.25">
      <c r="A644" s="14">
        <f t="shared" si="162"/>
        <v>3.0999999999999561</v>
      </c>
      <c r="B644" s="14">
        <f t="shared" si="155"/>
        <v>30.649363039231201</v>
      </c>
      <c r="C644" s="14">
        <f t="shared" si="156"/>
        <v>-0.82870345142799096</v>
      </c>
      <c r="D644" s="14">
        <f t="shared" si="157"/>
        <v>0</v>
      </c>
      <c r="E644" s="14">
        <f t="shared" si="163"/>
        <v>0</v>
      </c>
      <c r="F644" s="14">
        <f t="shared" si="158"/>
        <v>-6.1198891708986283</v>
      </c>
      <c r="G644" s="14">
        <f t="shared" si="164"/>
        <v>-1.6339010227760176</v>
      </c>
      <c r="H644" s="14">
        <f t="shared" si="165"/>
        <v>5.8977462569912067</v>
      </c>
      <c r="I644" s="14">
        <f t="shared" si="166"/>
        <v>3.743055537856899</v>
      </c>
      <c r="J644" s="14">
        <f t="shared" si="159"/>
        <v>-13.559972501014196</v>
      </c>
      <c r="K644" s="14">
        <f t="shared" si="167"/>
        <v>-74.56851955400289</v>
      </c>
      <c r="L644" s="14">
        <f t="shared" si="168"/>
        <v>14.067100589238082</v>
      </c>
      <c r="M644" s="14">
        <f t="shared" si="161"/>
        <v>17.306585567480067</v>
      </c>
      <c r="N644" s="14">
        <f t="shared" si="169"/>
        <v>-6.8577676509363572</v>
      </c>
      <c r="O644" s="14">
        <f t="shared" si="160"/>
        <v>0</v>
      </c>
      <c r="P644" s="14">
        <f t="shared" si="170"/>
        <v>0</v>
      </c>
    </row>
    <row r="645" spans="1:16" x14ac:dyDescent="0.25">
      <c r="A645" s="14">
        <f t="shared" si="162"/>
        <v>3.104999999999956</v>
      </c>
      <c r="B645" s="14">
        <f t="shared" si="155"/>
        <v>30.649363039231201</v>
      </c>
      <c r="C645" s="14">
        <f t="shared" si="156"/>
        <v>-0.90611256989803479</v>
      </c>
      <c r="D645" s="14">
        <f t="shared" si="157"/>
        <v>0</v>
      </c>
      <c r="E645" s="14">
        <f t="shared" si="163"/>
        <v>0</v>
      </c>
      <c r="F645" s="14">
        <f t="shared" si="158"/>
        <v>-6.1343828886200145</v>
      </c>
      <c r="G645" s="14">
        <f t="shared" si="164"/>
        <v>-1.6322721016262667</v>
      </c>
      <c r="H645" s="14">
        <f t="shared" si="165"/>
        <v>5.9132344119311391</v>
      </c>
      <c r="I645" s="14">
        <f t="shared" si="166"/>
        <v>3.7348941773487678</v>
      </c>
      <c r="J645" s="14">
        <f t="shared" si="159"/>
        <v>-13.579406328954541</v>
      </c>
      <c r="K645" s="14">
        <f t="shared" si="167"/>
        <v>-74.62156213726621</v>
      </c>
      <c r="L645" s="14">
        <f t="shared" si="168"/>
        <v>14.083668228229618</v>
      </c>
      <c r="M645" s="14">
        <f t="shared" si="161"/>
        <v>17.306585567480067</v>
      </c>
      <c r="N645" s="14">
        <f t="shared" si="169"/>
        <v>-6.9256646825811297</v>
      </c>
      <c r="O645" s="14">
        <f t="shared" si="160"/>
        <v>0</v>
      </c>
      <c r="P645" s="14">
        <f t="shared" si="170"/>
        <v>0</v>
      </c>
    </row>
    <row r="646" spans="1:16" x14ac:dyDescent="0.25">
      <c r="A646" s="14">
        <f t="shared" si="162"/>
        <v>3.1099999999999559</v>
      </c>
      <c r="B646" s="14">
        <f t="shared" si="155"/>
        <v>30.649363039231201</v>
      </c>
      <c r="C646" s="14">
        <f t="shared" si="156"/>
        <v>-0.98376668836807823</v>
      </c>
      <c r="D646" s="14">
        <f t="shared" si="157"/>
        <v>0</v>
      </c>
      <c r="E646" s="14">
        <f t="shared" si="163"/>
        <v>0</v>
      </c>
      <c r="F646" s="14">
        <f t="shared" si="158"/>
        <v>-6.1488410336481758</v>
      </c>
      <c r="G646" s="14">
        <f t="shared" si="164"/>
        <v>-1.6306313243011257</v>
      </c>
      <c r="H646" s="14">
        <f t="shared" si="165"/>
        <v>5.9286834576728351</v>
      </c>
      <c r="I646" s="14">
        <f t="shared" si="166"/>
        <v>3.7267410207272622</v>
      </c>
      <c r="J646" s="14">
        <f t="shared" si="159"/>
        <v>-13.598762911666176</v>
      </c>
      <c r="K646" s="14">
        <f t="shared" si="167"/>
        <v>-74.674364914902768</v>
      </c>
      <c r="L646" s="14">
        <f t="shared" si="168"/>
        <v>14.100175579164921</v>
      </c>
      <c r="M646" s="14">
        <f t="shared" si="161"/>
        <v>17.306585567480067</v>
      </c>
      <c r="N646" s="14">
        <f t="shared" si="169"/>
        <v>-6.9936584971394602</v>
      </c>
      <c r="O646" s="14">
        <f t="shared" si="160"/>
        <v>0</v>
      </c>
      <c r="P646" s="14">
        <f t="shared" si="170"/>
        <v>0</v>
      </c>
    </row>
    <row r="647" spans="1:16" x14ac:dyDescent="0.25">
      <c r="A647" s="14">
        <f t="shared" si="162"/>
        <v>3.1149999999999558</v>
      </c>
      <c r="B647" s="14">
        <f t="shared" si="155"/>
        <v>30.649363039231201</v>
      </c>
      <c r="C647" s="14">
        <f t="shared" si="156"/>
        <v>-1.0616658068381213</v>
      </c>
      <c r="D647" s="14">
        <f t="shared" si="157"/>
        <v>0</v>
      </c>
      <c r="E647" s="14">
        <f t="shared" si="163"/>
        <v>0</v>
      </c>
      <c r="F647" s="14">
        <f t="shared" si="158"/>
        <v>-6.1632634922616427</v>
      </c>
      <c r="G647" s="14">
        <f t="shared" si="164"/>
        <v>-1.628978784640251</v>
      </c>
      <c r="H647" s="14">
        <f t="shared" si="165"/>
        <v>5.9440932861318005</v>
      </c>
      <c r="I647" s="14">
        <f t="shared" si="166"/>
        <v>3.7185961268040608</v>
      </c>
      <c r="J647" s="14">
        <f t="shared" si="159"/>
        <v>-13.618042445235517</v>
      </c>
      <c r="K647" s="14">
        <f t="shared" si="167"/>
        <v>-74.726929429502192</v>
      </c>
      <c r="L647" s="14">
        <f t="shared" si="168"/>
        <v>14.116622726223094</v>
      </c>
      <c r="M647" s="14">
        <f t="shared" si="161"/>
        <v>17.306585567480067</v>
      </c>
      <c r="N647" s="14">
        <f t="shared" si="169"/>
        <v>-7.0617487093656379</v>
      </c>
      <c r="O647" s="14">
        <f t="shared" si="160"/>
        <v>0</v>
      </c>
      <c r="P647" s="14">
        <f t="shared" si="170"/>
        <v>0</v>
      </c>
    </row>
    <row r="648" spans="1:16" x14ac:dyDescent="0.25">
      <c r="A648" s="14">
        <f t="shared" si="162"/>
        <v>3.1199999999999557</v>
      </c>
      <c r="B648" s="14">
        <f t="shared" si="155"/>
        <v>30.649363039231201</v>
      </c>
      <c r="C648" s="14">
        <f t="shared" si="156"/>
        <v>-1.1398099253081639</v>
      </c>
      <c r="D648" s="14">
        <f t="shared" si="157"/>
        <v>0</v>
      </c>
      <c r="E648" s="14">
        <f t="shared" si="163"/>
        <v>0</v>
      </c>
      <c r="F648" s="14">
        <f t="shared" si="158"/>
        <v>-6.1776501530300685</v>
      </c>
      <c r="G648" s="14">
        <f t="shared" si="164"/>
        <v>-1.6273145763919095</v>
      </c>
      <c r="H648" s="14">
        <f t="shared" si="165"/>
        <v>5.9594637915415554</v>
      </c>
      <c r="I648" s="14">
        <f t="shared" si="166"/>
        <v>3.7104595539221013</v>
      </c>
      <c r="J648" s="14">
        <f t="shared" si="159"/>
        <v>-13.63724512627781</v>
      </c>
      <c r="K648" s="14">
        <f t="shared" si="167"/>
        <v>-74.779257210505932</v>
      </c>
      <c r="L648" s="14">
        <f t="shared" si="168"/>
        <v>14.133009755019618</v>
      </c>
      <c r="M648" s="14">
        <f t="shared" si="161"/>
        <v>17.306585567480067</v>
      </c>
      <c r="N648" s="14">
        <f t="shared" si="169"/>
        <v>-7.1299349349970269</v>
      </c>
      <c r="O648" s="14">
        <f t="shared" si="160"/>
        <v>0</v>
      </c>
      <c r="P648" s="14">
        <f t="shared" si="170"/>
        <v>0</v>
      </c>
    </row>
    <row r="649" spans="1:16" x14ac:dyDescent="0.25">
      <c r="A649" s="14">
        <f t="shared" si="162"/>
        <v>3.1249999999999556</v>
      </c>
      <c r="B649" s="14">
        <f t="shared" si="155"/>
        <v>30.649363039231201</v>
      </c>
      <c r="C649" s="14">
        <f t="shared" si="156"/>
        <v>-1.2181990437782062</v>
      </c>
      <c r="D649" s="14">
        <f t="shared" si="157"/>
        <v>0</v>
      </c>
      <c r="E649" s="14">
        <f t="shared" si="163"/>
        <v>0</v>
      </c>
      <c r="F649" s="14">
        <f t="shared" si="158"/>
        <v>-6.19200090679987</v>
      </c>
      <c r="G649" s="14">
        <f t="shared" si="164"/>
        <v>-1.6256387932067906</v>
      </c>
      <c r="H649" s="14">
        <f t="shared" si="165"/>
        <v>5.9747948704396183</v>
      </c>
      <c r="I649" s="14">
        <f t="shared" si="166"/>
        <v>3.7023313599560672</v>
      </c>
      <c r="J649" s="14">
        <f t="shared" si="159"/>
        <v>-13.656371151925612</v>
      </c>
      <c r="K649" s="14">
        <f t="shared" si="167"/>
        <v>-74.831349774339685</v>
      </c>
      <c r="L649" s="14">
        <f t="shared" si="168"/>
        <v>14.149336752585267</v>
      </c>
      <c r="M649" s="14">
        <f t="shared" si="161"/>
        <v>17.306585567480067</v>
      </c>
      <c r="N649" s="14">
        <f t="shared" si="169"/>
        <v>-7.1982167907566552</v>
      </c>
      <c r="O649" s="14">
        <f t="shared" si="160"/>
        <v>0</v>
      </c>
      <c r="P649" s="14">
        <f t="shared" si="170"/>
        <v>0</v>
      </c>
    </row>
    <row r="650" spans="1:16" x14ac:dyDescent="0.25">
      <c r="A650" s="14">
        <f t="shared" si="162"/>
        <v>3.1299999999999555</v>
      </c>
      <c r="B650" s="14">
        <f t="shared" si="155"/>
        <v>30.649363039231201</v>
      </c>
      <c r="C650" s="14">
        <f t="shared" si="156"/>
        <v>-1.2968331622482552</v>
      </c>
      <c r="D650" s="14">
        <f t="shared" si="157"/>
        <v>0</v>
      </c>
      <c r="E650" s="14">
        <f t="shared" si="163"/>
        <v>0</v>
      </c>
      <c r="F650" s="14">
        <f t="shared" si="158"/>
        <v>-6.2063156466798661</v>
      </c>
      <c r="G650" s="14">
        <f t="shared" si="164"/>
        <v>-1.6239515286319359</v>
      </c>
      <c r="H650" s="14">
        <f t="shared" si="165"/>
        <v>5.9900864216534746</v>
      </c>
      <c r="I650" s="14">
        <f t="shared" si="166"/>
        <v>3.6942116023129077</v>
      </c>
      <c r="J650" s="14">
        <f t="shared" si="159"/>
        <v>-13.675420719817344</v>
      </c>
      <c r="K650" s="14">
        <f t="shared" si="167"/>
        <v>-74.88320862454465</v>
      </c>
      <c r="L650" s="14">
        <f t="shared" si="168"/>
        <v>14.165603807345201</v>
      </c>
      <c r="M650" s="14">
        <f t="shared" si="161"/>
        <v>17.306585567480067</v>
      </c>
      <c r="N650" s="14">
        <f t="shared" si="169"/>
        <v>-7.2665938943557418</v>
      </c>
      <c r="O650" s="14">
        <f t="shared" si="160"/>
        <v>0</v>
      </c>
      <c r="P650" s="14">
        <f t="shared" si="170"/>
        <v>0</v>
      </c>
    </row>
    <row r="651" spans="1:16" x14ac:dyDescent="0.25">
      <c r="A651" s="14">
        <f t="shared" si="162"/>
        <v>3.1349999999999554</v>
      </c>
      <c r="B651" s="14">
        <f t="shared" si="155"/>
        <v>30.649363039231201</v>
      </c>
      <c r="C651" s="14">
        <f t="shared" si="156"/>
        <v>-1.3757122807182895</v>
      </c>
      <c r="D651" s="14">
        <f t="shared" si="157"/>
        <v>0</v>
      </c>
      <c r="E651" s="14">
        <f t="shared" si="163"/>
        <v>0</v>
      </c>
      <c r="F651" s="14">
        <f t="shared" si="158"/>
        <v>-6.2205942680268587</v>
      </c>
      <c r="G651" s="14">
        <f t="shared" si="164"/>
        <v>-1.6222528761047368</v>
      </c>
      <c r="H651" s="14">
        <f t="shared" si="165"/>
        <v>6.0053383462864538</v>
      </c>
      <c r="I651" s="14">
        <f t="shared" si="166"/>
        <v>3.686100337932384</v>
      </c>
      <c r="J651" s="14">
        <f t="shared" si="159"/>
        <v>-13.694394028085911</v>
      </c>
      <c r="K651" s="14">
        <f t="shared" si="167"/>
        <v>-74.934835251907074</v>
      </c>
      <c r="L651" s="14">
        <f t="shared" si="168"/>
        <v>14.181811009098249</v>
      </c>
      <c r="M651" s="14">
        <f t="shared" si="161"/>
        <v>17.306585567480067</v>
      </c>
      <c r="N651" s="14">
        <f t="shared" si="169"/>
        <v>-7.3350658644961717</v>
      </c>
      <c r="O651" s="14">
        <f t="shared" si="160"/>
        <v>0</v>
      </c>
      <c r="P651" s="14">
        <f t="shared" si="170"/>
        <v>0</v>
      </c>
    </row>
    <row r="652" spans="1:16" x14ac:dyDescent="0.25">
      <c r="A652" s="14">
        <f t="shared" si="162"/>
        <v>3.1399999999999553</v>
      </c>
      <c r="B652" s="14">
        <f t="shared" si="155"/>
        <v>30.649363039231201</v>
      </c>
      <c r="C652" s="14">
        <f t="shared" si="156"/>
        <v>-1.4548363991883377</v>
      </c>
      <c r="D652" s="14">
        <f t="shared" si="157"/>
        <v>0</v>
      </c>
      <c r="E652" s="14">
        <f t="shared" si="163"/>
        <v>0</v>
      </c>
      <c r="F652" s="14">
        <f t="shared" si="158"/>
        <v>-6.2348366684311891</v>
      </c>
      <c r="G652" s="14">
        <f t="shared" si="164"/>
        <v>-1.6205429289470386</v>
      </c>
      <c r="H652" s="14">
        <f t="shared" si="165"/>
        <v>6.0205505477035812</v>
      </c>
      <c r="I652" s="14">
        <f t="shared" si="166"/>
        <v>3.677997623287649</v>
      </c>
      <c r="J652" s="14">
        <f t="shared" si="159"/>
        <v>-13.713291275347393</v>
      </c>
      <c r="K652" s="14">
        <f t="shared" si="167"/>
        <v>-74.986231134586632</v>
      </c>
      <c r="L652" s="14">
        <f t="shared" si="168"/>
        <v>14.19795844899641</v>
      </c>
      <c r="M652" s="14">
        <f t="shared" si="161"/>
        <v>17.306585567480067</v>
      </c>
      <c r="N652" s="14">
        <f t="shared" si="169"/>
        <v>-7.4036323208729087</v>
      </c>
      <c r="O652" s="14">
        <f t="shared" si="160"/>
        <v>0</v>
      </c>
      <c r="P652" s="14">
        <f t="shared" si="170"/>
        <v>0</v>
      </c>
    </row>
    <row r="653" spans="1:16" x14ac:dyDescent="0.25">
      <c r="A653" s="14">
        <f t="shared" si="162"/>
        <v>3.1449999999999552</v>
      </c>
      <c r="B653" s="14">
        <f t="shared" si="155"/>
        <v>30.649363039231201</v>
      </c>
      <c r="C653" s="14">
        <f t="shared" si="156"/>
        <v>-1.5342055176583784</v>
      </c>
      <c r="D653" s="14">
        <f t="shared" si="157"/>
        <v>0</v>
      </c>
      <c r="E653" s="14">
        <f t="shared" si="163"/>
        <v>0</v>
      </c>
      <c r="F653" s="14">
        <f t="shared" si="158"/>
        <v>-6.2490427477022843</v>
      </c>
      <c r="G653" s="14">
        <f t="shared" si="164"/>
        <v>-1.6188217803593128</v>
      </c>
      <c r="H653" s="14">
        <f t="shared" si="165"/>
        <v>6.0357229315173857</v>
      </c>
      <c r="I653" s="14">
        <f t="shared" si="166"/>
        <v>3.6699035143858523</v>
      </c>
      <c r="J653" s="14">
        <f t="shared" si="159"/>
        <v>-13.732112660689806</v>
      </c>
      <c r="K653" s="14">
        <f t="shared" si="167"/>
        <v>-75.037397738243101</v>
      </c>
      <c r="L653" s="14">
        <f t="shared" si="168"/>
        <v>14.214046219524505</v>
      </c>
      <c r="M653" s="14">
        <f t="shared" si="161"/>
        <v>17.306585567480067</v>
      </c>
      <c r="N653" s="14">
        <f t="shared" si="169"/>
        <v>-7.4722928841763574</v>
      </c>
      <c r="O653" s="14">
        <f t="shared" si="160"/>
        <v>0</v>
      </c>
      <c r="P653" s="14">
        <f t="shared" si="170"/>
        <v>0</v>
      </c>
    </row>
    <row r="654" spans="1:16" x14ac:dyDescent="0.25">
      <c r="A654" s="14">
        <f t="shared" si="162"/>
        <v>3.1499999999999551</v>
      </c>
      <c r="B654" s="14">
        <f t="shared" si="155"/>
        <v>30.649363039231201</v>
      </c>
      <c r="C654" s="14">
        <f t="shared" si="156"/>
        <v>-1.6138196361284258</v>
      </c>
      <c r="D654" s="14">
        <f t="shared" si="157"/>
        <v>0</v>
      </c>
      <c r="E654" s="14">
        <f t="shared" si="163"/>
        <v>0</v>
      </c>
      <c r="F654" s="14">
        <f t="shared" si="158"/>
        <v>-6.2632124078541445</v>
      </c>
      <c r="G654" s="14">
        <f t="shared" si="164"/>
        <v>-1.6170895234149538</v>
      </c>
      <c r="H654" s="14">
        <f t="shared" si="165"/>
        <v>6.0508554055736372</v>
      </c>
      <c r="I654" s="14">
        <f t="shared" si="166"/>
        <v>3.6618180667687774</v>
      </c>
      <c r="J654" s="14">
        <f t="shared" si="159"/>
        <v>-13.750858383661937</v>
      </c>
      <c r="K654" s="14">
        <f t="shared" si="167"/>
        <v>-75.088336516161917</v>
      </c>
      <c r="L654" s="14">
        <f t="shared" si="168"/>
        <v>14.230074414480059</v>
      </c>
      <c r="M654" s="14">
        <f t="shared" si="161"/>
        <v>17.306585567480067</v>
      </c>
      <c r="N654" s="14">
        <f t="shared" si="169"/>
        <v>-7.5410471760946667</v>
      </c>
      <c r="O654" s="14">
        <f t="shared" si="160"/>
        <v>0</v>
      </c>
      <c r="P654" s="14">
        <f t="shared" si="170"/>
        <v>0</v>
      </c>
    </row>
    <row r="655" spans="1:16" x14ac:dyDescent="0.25">
      <c r="A655" s="14">
        <f t="shared" si="162"/>
        <v>3.154999999999955</v>
      </c>
      <c r="B655" s="14">
        <f t="shared" si="155"/>
        <v>30.649363039231201</v>
      </c>
      <c r="C655" s="14">
        <f t="shared" si="156"/>
        <v>-1.6936787545984586</v>
      </c>
      <c r="D655" s="14">
        <f t="shared" si="157"/>
        <v>0</v>
      </c>
      <c r="E655" s="14">
        <f t="shared" si="163"/>
        <v>0</v>
      </c>
      <c r="F655" s="14">
        <f t="shared" si="158"/>
        <v>-6.2773455530908393</v>
      </c>
      <c r="G655" s="14">
        <f t="shared" si="164"/>
        <v>-1.615346251054623</v>
      </c>
      <c r="H655" s="14">
        <f t="shared" si="165"/>
        <v>6.0659478799370765</v>
      </c>
      <c r="I655" s="14">
        <f t="shared" si="166"/>
        <v>3.6537413355135042</v>
      </c>
      <c r="J655" s="14">
        <f t="shared" si="159"/>
        <v>-13.769528644262252</v>
      </c>
      <c r="K655" s="14">
        <f t="shared" si="167"/>
        <v>-75.139048909378118</v>
      </c>
      <c r="L655" s="14">
        <f t="shared" si="168"/>
        <v>14.246043128953339</v>
      </c>
      <c r="M655" s="14">
        <f t="shared" si="161"/>
        <v>17.306585567480067</v>
      </c>
      <c r="N655" s="14">
        <f t="shared" si="169"/>
        <v>-7.6098948193159783</v>
      </c>
      <c r="O655" s="14">
        <f t="shared" si="160"/>
        <v>0</v>
      </c>
      <c r="P655" s="14">
        <f t="shared" si="170"/>
        <v>0</v>
      </c>
    </row>
    <row r="656" spans="1:16" x14ac:dyDescent="0.25">
      <c r="A656" s="14">
        <f t="shared" si="162"/>
        <v>3.1599999999999548</v>
      </c>
      <c r="B656" s="14">
        <f t="shared" si="155"/>
        <v>30.649363039231201</v>
      </c>
      <c r="C656" s="14">
        <f t="shared" si="156"/>
        <v>-1.7737828730684981</v>
      </c>
      <c r="D656" s="14">
        <f t="shared" si="157"/>
        <v>0</v>
      </c>
      <c r="E656" s="14">
        <f t="shared" si="163"/>
        <v>0</v>
      </c>
      <c r="F656" s="14">
        <f t="shared" si="158"/>
        <v>-6.2914420897919578</v>
      </c>
      <c r="G656" s="14">
        <f t="shared" si="164"/>
        <v>-1.613592056080714</v>
      </c>
      <c r="H656" s="14">
        <f t="shared" si="165"/>
        <v>6.0810002668770711</v>
      </c>
      <c r="I656" s="14">
        <f t="shared" si="166"/>
        <v>3.6456733752331005</v>
      </c>
      <c r="J656" s="14">
        <f t="shared" si="159"/>
        <v>-13.788123642927866</v>
      </c>
      <c r="K656" s="14">
        <f t="shared" si="167"/>
        <v>-75.189536346799116</v>
      </c>
      <c r="L656" s="14">
        <f t="shared" si="168"/>
        <v>14.261952459307594</v>
      </c>
      <c r="M656" s="14">
        <f t="shared" si="161"/>
        <v>17.306585567480067</v>
      </c>
      <c r="N656" s="14">
        <f t="shared" si="169"/>
        <v>-7.6788354375306174</v>
      </c>
      <c r="O656" s="14">
        <f t="shared" si="160"/>
        <v>0</v>
      </c>
      <c r="P656" s="14">
        <f t="shared" si="170"/>
        <v>0</v>
      </c>
    </row>
    <row r="657" spans="1:16" x14ac:dyDescent="0.25">
      <c r="A657" s="14">
        <f t="shared" si="162"/>
        <v>3.1649999999999547</v>
      </c>
      <c r="B657" s="14">
        <f t="shared" si="155"/>
        <v>30.649363039231201</v>
      </c>
      <c r="C657" s="14">
        <f t="shared" si="156"/>
        <v>-1.8541319915385515</v>
      </c>
      <c r="D657" s="14">
        <f t="shared" si="157"/>
        <v>0</v>
      </c>
      <c r="E657" s="14">
        <f t="shared" si="163"/>
        <v>0</v>
      </c>
      <c r="F657" s="14">
        <f t="shared" si="158"/>
        <v>-6.3055019264980476</v>
      </c>
      <c r="G657" s="14">
        <f t="shared" si="164"/>
        <v>-1.6118270311518763</v>
      </c>
      <c r="H657" s="14">
        <f t="shared" si="165"/>
        <v>6.0960124808532603</v>
      </c>
      <c r="I657" s="14">
        <f t="shared" si="166"/>
        <v>3.6376142400773412</v>
      </c>
      <c r="J657" s="14">
        <f t="shared" si="159"/>
        <v>-13.8066435805236</v>
      </c>
      <c r="K657" s="14">
        <f t="shared" si="167"/>
        <v>-75.239800245325981</v>
      </c>
      <c r="L657" s="14">
        <f t="shared" si="168"/>
        <v>14.277802503159476</v>
      </c>
      <c r="M657" s="14">
        <f t="shared" si="161"/>
        <v>17.306585567480067</v>
      </c>
      <c r="N657" s="14">
        <f t="shared" si="169"/>
        <v>-7.7478686554332352</v>
      </c>
      <c r="O657" s="14">
        <f t="shared" si="160"/>
        <v>0</v>
      </c>
      <c r="P657" s="14">
        <f t="shared" si="170"/>
        <v>0</v>
      </c>
    </row>
    <row r="658" spans="1:16" x14ac:dyDescent="0.25">
      <c r="A658" s="14">
        <f t="shared" si="162"/>
        <v>3.1699999999999546</v>
      </c>
      <c r="B658" s="14">
        <f t="shared" si="155"/>
        <v>30.649363039231201</v>
      </c>
      <c r="C658" s="14">
        <f t="shared" si="156"/>
        <v>-1.9347261100085831</v>
      </c>
      <c r="D658" s="14">
        <f t="shared" si="157"/>
        <v>0</v>
      </c>
      <c r="E658" s="14">
        <f t="shared" si="163"/>
        <v>0</v>
      </c>
      <c r="F658" s="14">
        <f t="shared" si="158"/>
        <v>-6.3195249738960371</v>
      </c>
      <c r="G658" s="14">
        <f t="shared" si="164"/>
        <v>-1.6100512687776498</v>
      </c>
      <c r="H658" s="14">
        <f t="shared" si="165"/>
        <v>6.1109844385011476</v>
      </c>
      <c r="I658" s="14">
        <f t="shared" si="166"/>
        <v>3.629563983733453</v>
      </c>
      <c r="J658" s="14">
        <f t="shared" si="159"/>
        <v>-13.825088658331094</v>
      </c>
      <c r="K658" s="14">
        <f t="shared" si="167"/>
        <v>-75.289842009973427</v>
      </c>
      <c r="L658" s="14">
        <f t="shared" si="168"/>
        <v>14.293593359359644</v>
      </c>
      <c r="M658" s="14">
        <f t="shared" si="161"/>
        <v>17.306585567480067</v>
      </c>
      <c r="N658" s="14">
        <f t="shared" si="169"/>
        <v>-7.8169940987248907</v>
      </c>
      <c r="O658" s="14">
        <f t="shared" si="160"/>
        <v>0</v>
      </c>
      <c r="P658" s="14">
        <f t="shared" si="170"/>
        <v>0</v>
      </c>
    </row>
    <row r="659" spans="1:16" x14ac:dyDescent="0.25">
      <c r="A659" s="14">
        <f t="shared" si="162"/>
        <v>3.1749999999999545</v>
      </c>
      <c r="B659" s="14">
        <f t="shared" si="155"/>
        <v>30.649363039231201</v>
      </c>
      <c r="C659" s="14">
        <f t="shared" si="156"/>
        <v>-2.0155652284786285</v>
      </c>
      <c r="D659" s="14">
        <f t="shared" si="157"/>
        <v>0</v>
      </c>
      <c r="E659" s="14">
        <f t="shared" si="163"/>
        <v>0</v>
      </c>
      <c r="F659" s="14">
        <f t="shared" si="158"/>
        <v>-6.3335111448046328</v>
      </c>
      <c r="G659" s="14">
        <f t="shared" si="164"/>
        <v>-1.6082648613131658</v>
      </c>
      <c r="H659" s="14">
        <f t="shared" si="165"/>
        <v>6.1259160586176691</v>
      </c>
      <c r="I659" s="14">
        <f t="shared" si="166"/>
        <v>3.621522659426887</v>
      </c>
      <c r="J659" s="14">
        <f t="shared" si="159"/>
        <v>-13.843459078038006</v>
      </c>
      <c r="K659" s="14">
        <f t="shared" si="167"/>
        <v>-75.339663033988543</v>
      </c>
      <c r="L659" s="14">
        <f t="shared" si="168"/>
        <v>14.309325127973551</v>
      </c>
      <c r="M659" s="14">
        <f t="shared" si="161"/>
        <v>17.306585567480067</v>
      </c>
      <c r="N659" s="14">
        <f t="shared" si="169"/>
        <v>-7.8862113941150804</v>
      </c>
      <c r="O659" s="14">
        <f t="shared" si="160"/>
        <v>0</v>
      </c>
      <c r="P659" s="14">
        <f t="shared" si="170"/>
        <v>0</v>
      </c>
    </row>
    <row r="660" spans="1:16" x14ac:dyDescent="0.25">
      <c r="A660" s="14">
        <f t="shared" si="162"/>
        <v>3.1799999999999544</v>
      </c>
      <c r="B660" s="14">
        <f t="shared" si="155"/>
        <v>30.649363039231201</v>
      </c>
      <c r="C660" s="14">
        <f t="shared" si="156"/>
        <v>-2.0966493469486736</v>
      </c>
      <c r="D660" s="14">
        <f t="shared" si="157"/>
        <v>0</v>
      </c>
      <c r="E660" s="14">
        <f t="shared" si="163"/>
        <v>0</v>
      </c>
      <c r="F660" s="14">
        <f t="shared" si="158"/>
        <v>-6.3474603541597139</v>
      </c>
      <c r="G660" s="14">
        <f t="shared" si="164"/>
        <v>-1.606467900953946</v>
      </c>
      <c r="H660" s="14">
        <f t="shared" si="165"/>
        <v>6.1408072621467271</v>
      </c>
      <c r="I660" s="14">
        <f t="shared" si="166"/>
        <v>3.6134903199221173</v>
      </c>
      <c r="J660" s="14">
        <f t="shared" si="159"/>
        <v>-13.861755041727273</v>
      </c>
      <c r="K660" s="14">
        <f t="shared" si="167"/>
        <v>-75.38926469896812</v>
      </c>
      <c r="L660" s="14">
        <f t="shared" si="168"/>
        <v>14.324997910262407</v>
      </c>
      <c r="M660" s="14">
        <f t="shared" si="161"/>
        <v>17.306585567480067</v>
      </c>
      <c r="N660" s="14">
        <f t="shared" si="169"/>
        <v>-7.9555201693237168</v>
      </c>
      <c r="O660" s="14">
        <f t="shared" si="160"/>
        <v>0</v>
      </c>
      <c r="P660" s="14">
        <f t="shared" si="170"/>
        <v>0</v>
      </c>
    </row>
    <row r="661" spans="1:16" x14ac:dyDescent="0.25">
      <c r="A661" s="14">
        <f t="shared" si="162"/>
        <v>3.1849999999999543</v>
      </c>
      <c r="B661" s="14">
        <f t="shared" si="155"/>
        <v>30.649363039231201</v>
      </c>
      <c r="C661" s="14">
        <f t="shared" si="156"/>
        <v>-2.1779784654187111</v>
      </c>
      <c r="D661" s="14">
        <f t="shared" si="157"/>
        <v>0</v>
      </c>
      <c r="E661" s="14">
        <f t="shared" si="163"/>
        <v>0</v>
      </c>
      <c r="F661" s="14">
        <f t="shared" si="158"/>
        <v>-6.3613725189996924</v>
      </c>
      <c r="G661" s="14">
        <f t="shared" si="164"/>
        <v>-1.6046604797307709</v>
      </c>
      <c r="H661" s="14">
        <f t="shared" si="165"/>
        <v>6.1556579721646907</v>
      </c>
      <c r="I661" s="14">
        <f t="shared" si="166"/>
        <v>3.6054670175234635</v>
      </c>
      <c r="J661" s="14">
        <f t="shared" si="159"/>
        <v>-13.879976751866449</v>
      </c>
      <c r="K661" s="14">
        <f t="shared" si="167"/>
        <v>-75.438648374974747</v>
      </c>
      <c r="L661" s="14">
        <f t="shared" si="168"/>
        <v>14.340611808664324</v>
      </c>
      <c r="M661" s="14">
        <f t="shared" si="161"/>
        <v>17.306585567480067</v>
      </c>
      <c r="N661" s="14">
        <f t="shared" si="169"/>
        <v>-8.0249200530830489</v>
      </c>
      <c r="O661" s="14">
        <f t="shared" si="160"/>
        <v>0</v>
      </c>
      <c r="P661" s="14">
        <f t="shared" si="170"/>
        <v>0</v>
      </c>
    </row>
    <row r="662" spans="1:16" x14ac:dyDescent="0.25">
      <c r="A662" s="14">
        <f t="shared" si="162"/>
        <v>3.1899999999999542</v>
      </c>
      <c r="B662" s="14">
        <f t="shared" si="155"/>
        <v>30.649363039231201</v>
      </c>
      <c r="C662" s="14">
        <f t="shared" si="156"/>
        <v>-2.2595525838887625</v>
      </c>
      <c r="D662" s="14">
        <f t="shared" si="157"/>
        <v>0</v>
      </c>
      <c r="E662" s="14">
        <f t="shared" si="163"/>
        <v>0</v>
      </c>
      <c r="F662" s="14">
        <f t="shared" si="158"/>
        <v>-6.3752475584508819</v>
      </c>
      <c r="G662" s="14">
        <f t="shared" si="164"/>
        <v>-1.6028426895046484</v>
      </c>
      <c r="H662" s="14">
        <f t="shared" si="165"/>
        <v>6.1704681138658701</v>
      </c>
      <c r="I662" s="14">
        <f t="shared" si="166"/>
        <v>3.5974528040759401</v>
      </c>
      <c r="J662" s="14">
        <f t="shared" si="159"/>
        <v>-13.89812441129712</v>
      </c>
      <c r="K662" s="14">
        <f t="shared" si="167"/>
        <v>-75.487815420651643</v>
      </c>
      <c r="L662" s="14">
        <f t="shared" si="168"/>
        <v>14.356166926775641</v>
      </c>
      <c r="M662" s="14">
        <f t="shared" si="161"/>
        <v>17.306585567480067</v>
      </c>
      <c r="N662" s="14">
        <f t="shared" si="169"/>
        <v>-8.0944106751395353</v>
      </c>
      <c r="O662" s="14">
        <f t="shared" si="160"/>
        <v>0</v>
      </c>
      <c r="P662" s="14">
        <f t="shared" si="170"/>
        <v>0</v>
      </c>
    </row>
    <row r="663" spans="1:16" x14ac:dyDescent="0.25">
      <c r="A663" s="14">
        <f t="shared" si="162"/>
        <v>3.1949999999999541</v>
      </c>
      <c r="B663" s="14">
        <f t="shared" si="155"/>
        <v>30.649363039231201</v>
      </c>
      <c r="C663" s="14">
        <f t="shared" si="156"/>
        <v>-2.3413717023587992</v>
      </c>
      <c r="D663" s="14">
        <f t="shared" si="157"/>
        <v>0</v>
      </c>
      <c r="E663" s="14">
        <f t="shared" si="163"/>
        <v>0</v>
      </c>
      <c r="F663" s="14">
        <f t="shared" si="158"/>
        <v>-6.3890853937128496</v>
      </c>
      <c r="G663" s="14">
        <f t="shared" si="164"/>
        <v>-1.6010146219618497</v>
      </c>
      <c r="H663" s="14">
        <f t="shared" si="165"/>
        <v>6.1852376145479839</v>
      </c>
      <c r="I663" s="14">
        <f t="shared" si="166"/>
        <v>3.589447730966131</v>
      </c>
      <c r="J663" s="14">
        <f t="shared" si="159"/>
        <v>-13.916198223224381</v>
      </c>
      <c r="K663" s="14">
        <f t="shared" si="167"/>
        <v>-75.536767183336153</v>
      </c>
      <c r="L663" s="14">
        <f t="shared" si="168"/>
        <v>14.371663369332421</v>
      </c>
      <c r="M663" s="14">
        <f t="shared" si="161"/>
        <v>17.306585567480067</v>
      </c>
      <c r="N663" s="14">
        <f t="shared" si="169"/>
        <v>-8.163991666255658</v>
      </c>
      <c r="O663" s="14">
        <f t="shared" si="160"/>
        <v>0</v>
      </c>
      <c r="P663" s="14">
        <f t="shared" si="170"/>
        <v>0</v>
      </c>
    </row>
    <row r="664" spans="1:16" x14ac:dyDescent="0.25">
      <c r="A664" s="14">
        <f t="shared" si="162"/>
        <v>3.199999999999954</v>
      </c>
      <c r="B664" s="14">
        <f t="shared" ref="B664:B727" si="171">IF(E664=0,B663,$B$19*A664)</f>
        <v>30.649363039231201</v>
      </c>
      <c r="C664" s="14">
        <f t="shared" si="156"/>
        <v>-2.4234358208288427</v>
      </c>
      <c r="D664" s="14">
        <f t="shared" si="157"/>
        <v>0</v>
      </c>
      <c r="E664" s="14">
        <f t="shared" si="163"/>
        <v>0</v>
      </c>
      <c r="F664" s="14">
        <f t="shared" si="158"/>
        <v>-6.4028859480437497</v>
      </c>
      <c r="G664" s="14">
        <f t="shared" si="164"/>
        <v>-1.5991763686090381</v>
      </c>
      <c r="H664" s="14">
        <f t="shared" si="165"/>
        <v>6.1999664035975641</v>
      </c>
      <c r="I664" s="14">
        <f t="shared" si="166"/>
        <v>3.581451849123086</v>
      </c>
      <c r="J664" s="14">
        <f t="shared" si="159"/>
        <v>-13.934198391206394</v>
      </c>
      <c r="K664" s="14">
        <f t="shared" si="167"/>
        <v>-75.585504999172073</v>
      </c>
      <c r="L664" s="14">
        <f t="shared" si="168"/>
        <v>14.387101242192118</v>
      </c>
      <c r="M664" s="14">
        <f t="shared" si="161"/>
        <v>17.306585567480067</v>
      </c>
      <c r="N664" s="14">
        <f t="shared" si="169"/>
        <v>-8.2336626582116903</v>
      </c>
      <c r="O664" s="14">
        <f t="shared" si="160"/>
        <v>0</v>
      </c>
      <c r="P664" s="14">
        <f t="shared" si="170"/>
        <v>0</v>
      </c>
    </row>
    <row r="665" spans="1:16" x14ac:dyDescent="0.25">
      <c r="A665" s="14">
        <f t="shared" si="162"/>
        <v>3.2049999999999539</v>
      </c>
      <c r="B665" s="14">
        <f t="shared" si="171"/>
        <v>30.649363039231201</v>
      </c>
      <c r="C665" s="14">
        <f t="shared" ref="C665:C728" si="172">$B$20*A665+0.5*$B$16*A665^2+$B$17</f>
        <v>-2.5057449392988786</v>
      </c>
      <c r="D665" s="14">
        <f t="shared" ref="D665:D728" si="173">IF(E665=1,C665,$B$18)</f>
        <v>0</v>
      </c>
      <c r="E665" s="14">
        <f t="shared" si="163"/>
        <v>0</v>
      </c>
      <c r="F665" s="14">
        <f t="shared" ref="F665:F728" si="174">-$E$13*L664^2</f>
        <v>-6.4166491467456659</v>
      </c>
      <c r="G665" s="14">
        <f t="shared" si="164"/>
        <v>-1.5973280207684708</v>
      </c>
      <c r="H665" s="14">
        <f t="shared" si="165"/>
        <v>6.214654412475384</v>
      </c>
      <c r="I665" s="14">
        <f t="shared" si="166"/>
        <v>3.5734652090192438</v>
      </c>
      <c r="J665" s="14">
        <f t="shared" ref="J665:J728" si="175">J664+(H665+$B$16)*$A$22</f>
        <v>-13.952125119144016</v>
      </c>
      <c r="K665" s="14">
        <f t="shared" si="167"/>
        <v>-75.634030193220752</v>
      </c>
      <c r="L665" s="14">
        <f t="shared" si="168"/>
        <v>14.402480652315433</v>
      </c>
      <c r="M665" s="14">
        <f t="shared" si="161"/>
        <v>17.306585567480067</v>
      </c>
      <c r="N665" s="14">
        <f t="shared" si="169"/>
        <v>-8.30342328380741</v>
      </c>
      <c r="O665" s="14">
        <f t="shared" ref="O665:O728" si="176">IF(P665=1,N665,$B$18)</f>
        <v>0</v>
      </c>
      <c r="P665" s="14">
        <f t="shared" si="170"/>
        <v>0</v>
      </c>
    </row>
    <row r="666" spans="1:16" x14ac:dyDescent="0.25">
      <c r="A666" s="14">
        <f t="shared" si="162"/>
        <v>3.2099999999999538</v>
      </c>
      <c r="B666" s="14">
        <f t="shared" si="171"/>
        <v>30.649363039231201</v>
      </c>
      <c r="C666" s="14">
        <f t="shared" si="172"/>
        <v>-2.5882990577689284</v>
      </c>
      <c r="D666" s="14">
        <f t="shared" si="173"/>
        <v>0</v>
      </c>
      <c r="E666" s="14">
        <f t="shared" si="163"/>
        <v>0</v>
      </c>
      <c r="F666" s="14">
        <f t="shared" si="174"/>
        <v>-6.4303749171499316</v>
      </c>
      <c r="G666" s="14">
        <f t="shared" si="164"/>
        <v>-1.5954696695732808</v>
      </c>
      <c r="H666" s="14">
        <f t="shared" si="165"/>
        <v>6.2293015747018314</v>
      </c>
      <c r="I666" s="14">
        <f t="shared" si="166"/>
        <v>3.5654878606713774</v>
      </c>
      <c r="J666" s="14">
        <f t="shared" si="175"/>
        <v>-13.969978611270507</v>
      </c>
      <c r="K666" s="14">
        <f t="shared" si="167"/>
        <v>-75.682344079570868</v>
      </c>
      <c r="L666" s="14">
        <f t="shared" si="168"/>
        <v>14.417801707748321</v>
      </c>
      <c r="M666" s="14">
        <f t="shared" ref="M666:M729" si="177">IF(P666=0,M665,M665+I666*$A$22)</f>
        <v>17.306585567480067</v>
      </c>
      <c r="N666" s="14">
        <f t="shared" si="169"/>
        <v>-8.373273176863762</v>
      </c>
      <c r="O666" s="14">
        <f t="shared" si="176"/>
        <v>0</v>
      </c>
      <c r="P666" s="14">
        <f t="shared" si="170"/>
        <v>0</v>
      </c>
    </row>
    <row r="667" spans="1:16" x14ac:dyDescent="0.25">
      <c r="A667" s="14">
        <f t="shared" si="162"/>
        <v>3.2149999999999537</v>
      </c>
      <c r="B667" s="14">
        <f t="shared" si="171"/>
        <v>30.649363039231201</v>
      </c>
      <c r="C667" s="14">
        <f t="shared" si="172"/>
        <v>-2.6710981762389707</v>
      </c>
      <c r="D667" s="14">
        <f t="shared" si="173"/>
        <v>0</v>
      </c>
      <c r="E667" s="14">
        <f t="shared" si="163"/>
        <v>0</v>
      </c>
      <c r="F667" s="14">
        <f t="shared" si="174"/>
        <v>-6.4440631886024624</v>
      </c>
      <c r="G667" s="14">
        <f t="shared" si="164"/>
        <v>-1.5936014059628545</v>
      </c>
      <c r="H667" s="14">
        <f t="shared" si="165"/>
        <v>6.2439078258422862</v>
      </c>
      <c r="I667" s="14">
        <f t="shared" si="166"/>
        <v>3.5575198536415629</v>
      </c>
      <c r="J667" s="14">
        <f t="shared" si="175"/>
        <v>-13.987759072141296</v>
      </c>
      <c r="K667" s="14">
        <f t="shared" si="167"/>
        <v>-75.73044796144714</v>
      </c>
      <c r="L667" s="14">
        <f t="shared" si="168"/>
        <v>14.433064517604187</v>
      </c>
      <c r="M667" s="14">
        <f t="shared" si="177"/>
        <v>17.306585567480067</v>
      </c>
      <c r="N667" s="14">
        <f t="shared" si="169"/>
        <v>-8.4432119722244678</v>
      </c>
      <c r="O667" s="14">
        <f t="shared" si="176"/>
        <v>0</v>
      </c>
      <c r="P667" s="14">
        <f t="shared" si="170"/>
        <v>0</v>
      </c>
    </row>
    <row r="668" spans="1:16" x14ac:dyDescent="0.25">
      <c r="A668" s="14">
        <f t="shared" si="162"/>
        <v>3.2199999999999536</v>
      </c>
      <c r="B668" s="14">
        <f t="shared" si="171"/>
        <v>30.649363039231201</v>
      </c>
      <c r="C668" s="14">
        <f t="shared" si="172"/>
        <v>-2.7541422947090055</v>
      </c>
      <c r="D668" s="14">
        <f t="shared" si="173"/>
        <v>0</v>
      </c>
      <c r="E668" s="14">
        <f t="shared" si="163"/>
        <v>0</v>
      </c>
      <c r="F668" s="14">
        <f t="shared" si="174"/>
        <v>-6.4577138924490747</v>
      </c>
      <c r="G668" s="14">
        <f t="shared" si="164"/>
        <v>-1.5917233206782595</v>
      </c>
      <c r="H668" s="14">
        <f t="shared" si="165"/>
        <v>6.2584731034924763</v>
      </c>
      <c r="I668" s="14">
        <f t="shared" si="166"/>
        <v>3.5495612370381715</v>
      </c>
      <c r="J668" s="14">
        <f t="shared" si="175"/>
        <v>-14.005466706623833</v>
      </c>
      <c r="K668" s="14">
        <f t="shared" si="167"/>
        <v>-75.778343131317712</v>
      </c>
      <c r="L668" s="14">
        <f t="shared" si="168"/>
        <v>14.448269192046244</v>
      </c>
      <c r="M668" s="14">
        <f t="shared" si="177"/>
        <v>17.306585567480067</v>
      </c>
      <c r="N668" s="14">
        <f t="shared" si="169"/>
        <v>-8.5132393057575868</v>
      </c>
      <c r="O668" s="14">
        <f t="shared" si="176"/>
        <v>0</v>
      </c>
      <c r="P668" s="14">
        <f t="shared" si="170"/>
        <v>0</v>
      </c>
    </row>
    <row r="669" spans="1:16" x14ac:dyDescent="0.25">
      <c r="A669" s="14">
        <f t="shared" si="162"/>
        <v>3.2249999999999535</v>
      </c>
      <c r="B669" s="14">
        <f t="shared" si="171"/>
        <v>30.649363039231201</v>
      </c>
      <c r="C669" s="14">
        <f t="shared" si="172"/>
        <v>-2.837431413179047</v>
      </c>
      <c r="D669" s="14">
        <f t="shared" si="173"/>
        <v>0</v>
      </c>
      <c r="E669" s="14">
        <f t="shared" si="163"/>
        <v>0</v>
      </c>
      <c r="F669" s="14">
        <f t="shared" si="174"/>
        <v>-6.4713269620208109</v>
      </c>
      <c r="G669" s="14">
        <f t="shared" si="164"/>
        <v>-1.589835504257785</v>
      </c>
      <c r="H669" s="14">
        <f t="shared" si="165"/>
        <v>6.272997347263817</v>
      </c>
      <c r="I669" s="14">
        <f t="shared" si="166"/>
        <v>3.5416120595168827</v>
      </c>
      <c r="J669" s="14">
        <f t="shared" si="175"/>
        <v>-14.023101719887514</v>
      </c>
      <c r="K669" s="14">
        <f t="shared" si="167"/>
        <v>-75.826030871000498</v>
      </c>
      <c r="L669" s="14">
        <f t="shared" si="168"/>
        <v>14.463415842270026</v>
      </c>
      <c r="M669" s="14">
        <f t="shared" si="177"/>
        <v>17.306585567480067</v>
      </c>
      <c r="N669" s="14">
        <f t="shared" si="169"/>
        <v>-8.5833548143570244</v>
      </c>
      <c r="O669" s="14">
        <f t="shared" si="176"/>
        <v>0</v>
      </c>
      <c r="P669" s="14">
        <f t="shared" si="170"/>
        <v>0</v>
      </c>
    </row>
    <row r="670" spans="1:16" x14ac:dyDescent="0.25">
      <c r="A670" s="14">
        <f t="shared" si="162"/>
        <v>3.2299999999999534</v>
      </c>
      <c r="B670" s="14">
        <f t="shared" si="171"/>
        <v>30.649363039231201</v>
      </c>
      <c r="C670" s="14">
        <f t="shared" si="172"/>
        <v>-2.9209655316490952</v>
      </c>
      <c r="D670" s="14">
        <f t="shared" si="173"/>
        <v>0</v>
      </c>
      <c r="E670" s="14">
        <f t="shared" si="163"/>
        <v>0</v>
      </c>
      <c r="F670" s="14">
        <f t="shared" si="174"/>
        <v>-6.4849023326192539</v>
      </c>
      <c r="G670" s="14">
        <f t="shared" si="164"/>
        <v>-1.5879380470325228</v>
      </c>
      <c r="H670" s="14">
        <f t="shared" si="165"/>
        <v>6.2874804987687378</v>
      </c>
      <c r="I670" s="14">
        <f t="shared" si="166"/>
        <v>3.53367236928172</v>
      </c>
      <c r="J670" s="14">
        <f t="shared" si="175"/>
        <v>-14.04066431739367</v>
      </c>
      <c r="K670" s="14">
        <f t="shared" si="167"/>
        <v>-75.873512451768264</v>
      </c>
      <c r="L670" s="14">
        <f t="shared" si="168"/>
        <v>14.478504580486099</v>
      </c>
      <c r="M670" s="14">
        <f t="shared" si="177"/>
        <v>17.306585567480067</v>
      </c>
      <c r="N670" s="14">
        <f t="shared" si="169"/>
        <v>-8.6535581359439924</v>
      </c>
      <c r="O670" s="14">
        <f t="shared" si="176"/>
        <v>0</v>
      </c>
      <c r="P670" s="14">
        <f t="shared" si="170"/>
        <v>0</v>
      </c>
    </row>
    <row r="671" spans="1:16" x14ac:dyDescent="0.25">
      <c r="A671" s="14">
        <f t="shared" si="162"/>
        <v>3.2349999999999532</v>
      </c>
      <c r="B671" s="14">
        <f t="shared" si="171"/>
        <v>30.649363039231201</v>
      </c>
      <c r="C671" s="14">
        <f t="shared" si="172"/>
        <v>-3.004744650119143</v>
      </c>
      <c r="D671" s="14">
        <f t="shared" si="173"/>
        <v>0</v>
      </c>
      <c r="E671" s="14">
        <f t="shared" si="163"/>
        <v>0</v>
      </c>
      <c r="F671" s="14">
        <f t="shared" si="174"/>
        <v>-6.4984399415018652</v>
      </c>
      <c r="G671" s="14">
        <f t="shared" si="164"/>
        <v>-1.5860310391220585</v>
      </c>
      <c r="H671" s="14">
        <f t="shared" si="165"/>
        <v>6.3019225016060112</v>
      </c>
      <c r="I671" s="14">
        <f t="shared" si="166"/>
        <v>3.5257422140861099</v>
      </c>
      <c r="J671" s="14">
        <f t="shared" si="175"/>
        <v>-14.05815470488564</v>
      </c>
      <c r="K671" s="14">
        <f t="shared" si="167"/>
        <v>-75.920789134452505</v>
      </c>
      <c r="L671" s="14">
        <f t="shared" si="168"/>
        <v>14.493535519902903</v>
      </c>
      <c r="M671" s="14">
        <f t="shared" si="177"/>
        <v>17.306585567480067</v>
      </c>
      <c r="N671" s="14">
        <f t="shared" si="169"/>
        <v>-8.7238489094684208</v>
      </c>
      <c r="O671" s="14">
        <f t="shared" si="176"/>
        <v>0</v>
      </c>
      <c r="P671" s="14">
        <f t="shared" si="170"/>
        <v>0</v>
      </c>
    </row>
    <row r="672" spans="1:16" x14ac:dyDescent="0.25">
      <c r="A672" s="14">
        <f t="shared" si="162"/>
        <v>3.2399999999999531</v>
      </c>
      <c r="B672" s="14">
        <f t="shared" si="171"/>
        <v>30.649363039231201</v>
      </c>
      <c r="C672" s="14">
        <f t="shared" si="172"/>
        <v>-3.0887687685891763</v>
      </c>
      <c r="D672" s="14">
        <f t="shared" si="173"/>
        <v>0</v>
      </c>
      <c r="E672" s="14">
        <f t="shared" si="163"/>
        <v>0</v>
      </c>
      <c r="F672" s="14">
        <f t="shared" si="174"/>
        <v>-6.5119397278673006</v>
      </c>
      <c r="G672" s="14">
        <f t="shared" si="164"/>
        <v>-1.5841145704302231</v>
      </c>
      <c r="H672" s="14">
        <f t="shared" si="165"/>
        <v>6.3163233013460545</v>
      </c>
      <c r="I672" s="14">
        <f t="shared" si="166"/>
        <v>3.5178216412339589</v>
      </c>
      <c r="J672" s="14">
        <f t="shared" si="175"/>
        <v>-14.07557308837891</v>
      </c>
      <c r="K672" s="14">
        <f t="shared" si="167"/>
        <v>-75.96786216954645</v>
      </c>
      <c r="L672" s="14">
        <f t="shared" si="168"/>
        <v>14.508508774709776</v>
      </c>
      <c r="M672" s="14">
        <f t="shared" si="177"/>
        <v>17.306585567480067</v>
      </c>
      <c r="N672" s="14">
        <f t="shared" si="169"/>
        <v>-8.7942267749103156</v>
      </c>
      <c r="O672" s="14">
        <f t="shared" si="176"/>
        <v>0</v>
      </c>
      <c r="P672" s="14">
        <f t="shared" si="170"/>
        <v>0</v>
      </c>
    </row>
    <row r="673" spans="1:16" x14ac:dyDescent="0.25">
      <c r="A673" s="14">
        <f t="shared" si="162"/>
        <v>3.244999999999953</v>
      </c>
      <c r="B673" s="14">
        <f t="shared" si="171"/>
        <v>30.649363039231201</v>
      </c>
      <c r="C673" s="14">
        <f t="shared" si="172"/>
        <v>-3.1730378870592162</v>
      </c>
      <c r="D673" s="14">
        <f t="shared" si="173"/>
        <v>0</v>
      </c>
      <c r="E673" s="14">
        <f t="shared" si="163"/>
        <v>0</v>
      </c>
      <c r="F673" s="14">
        <f t="shared" si="174"/>
        <v>-6.5254016328407474</v>
      </c>
      <c r="G673" s="14">
        <f t="shared" si="164"/>
        <v>-1.5821887306409117</v>
      </c>
      <c r="H673" s="14">
        <f t="shared" si="165"/>
        <v>6.3306828455162396</v>
      </c>
      <c r="I673" s="14">
        <f t="shared" si="166"/>
        <v>3.5099106975807541</v>
      </c>
      <c r="J673" s="14">
        <f t="shared" si="175"/>
        <v>-14.092919674151329</v>
      </c>
      <c r="K673" s="14">
        <f t="shared" si="167"/>
        <v>-76.014732797306593</v>
      </c>
      <c r="L673" s="14">
        <f t="shared" si="168"/>
        <v>14.523424460060149</v>
      </c>
      <c r="M673" s="14">
        <f t="shared" si="177"/>
        <v>17.306585567480067</v>
      </c>
      <c r="N673" s="14">
        <f t="shared" si="169"/>
        <v>-8.8646913732810724</v>
      </c>
      <c r="O673" s="14">
        <f t="shared" si="176"/>
        <v>0</v>
      </c>
      <c r="P673" s="14">
        <f t="shared" si="170"/>
        <v>0</v>
      </c>
    </row>
    <row r="674" spans="1:16" x14ac:dyDescent="0.25">
      <c r="A674" s="14">
        <f t="shared" si="162"/>
        <v>3.2499999999999529</v>
      </c>
      <c r="B674" s="14">
        <f t="shared" si="171"/>
        <v>30.649363039231201</v>
      </c>
      <c r="C674" s="14">
        <f t="shared" si="172"/>
        <v>-3.2575520055292699</v>
      </c>
      <c r="D674" s="14">
        <f t="shared" si="173"/>
        <v>0</v>
      </c>
      <c r="E674" s="14">
        <f t="shared" si="163"/>
        <v>0</v>
      </c>
      <c r="F674" s="14">
        <f t="shared" si="174"/>
        <v>-6.5388255994592761</v>
      </c>
      <c r="G674" s="14">
        <f t="shared" si="164"/>
        <v>-1.5802536092140038</v>
      </c>
      <c r="H674" s="14">
        <f t="shared" si="165"/>
        <v>6.3450010835862019</v>
      </c>
      <c r="I674" s="14">
        <f t="shared" si="166"/>
        <v>3.502009429534684</v>
      </c>
      <c r="J674" s="14">
        <f t="shared" si="175"/>
        <v>-14.110194668733397</v>
      </c>
      <c r="K674" s="14">
        <f t="shared" si="167"/>
        <v>-76.061402247853309</v>
      </c>
      <c r="L674" s="14">
        <f t="shared" si="168"/>
        <v>14.538282692054871</v>
      </c>
      <c r="M674" s="14">
        <f t="shared" si="177"/>
        <v>17.306585567480067</v>
      </c>
      <c r="N674" s="14">
        <f t="shared" si="169"/>
        <v>-8.9352423466247402</v>
      </c>
      <c r="O674" s="14">
        <f t="shared" si="176"/>
        <v>0</v>
      </c>
      <c r="P674" s="14">
        <f t="shared" si="170"/>
        <v>0</v>
      </c>
    </row>
    <row r="675" spans="1:16" x14ac:dyDescent="0.25">
      <c r="A675" s="14">
        <f t="shared" si="162"/>
        <v>3.2549999999999528</v>
      </c>
      <c r="B675" s="14">
        <f t="shared" si="171"/>
        <v>30.649363039231201</v>
      </c>
      <c r="C675" s="14">
        <f t="shared" si="172"/>
        <v>-3.342311123999302</v>
      </c>
      <c r="D675" s="14">
        <f t="shared" si="173"/>
        <v>0</v>
      </c>
      <c r="E675" s="14">
        <f t="shared" si="163"/>
        <v>0</v>
      </c>
      <c r="F675" s="14">
        <f t="shared" si="174"/>
        <v>-6.5522115726571695</v>
      </c>
      <c r="G675" s="14">
        <f t="shared" si="164"/>
        <v>-1.5783092953813287</v>
      </c>
      <c r="H675" s="14">
        <f t="shared" si="165"/>
        <v>6.3592779669531216</v>
      </c>
      <c r="I675" s="14">
        <f t="shared" si="166"/>
        <v>3.4941178830577773</v>
      </c>
      <c r="J675" s="14">
        <f t="shared" si="175"/>
        <v>-14.127398278898632</v>
      </c>
      <c r="K675" s="14">
        <f t="shared" si="167"/>
        <v>-76.107871741270429</v>
      </c>
      <c r="L675" s="14">
        <f t="shared" si="168"/>
        <v>14.553083587725736</v>
      </c>
      <c r="M675" s="14">
        <f t="shared" si="177"/>
        <v>17.306585567480067</v>
      </c>
      <c r="N675" s="14">
        <f t="shared" si="169"/>
        <v>-9.0058793380192341</v>
      </c>
      <c r="O675" s="14">
        <f t="shared" si="176"/>
        <v>0</v>
      </c>
      <c r="P675" s="14">
        <f t="shared" si="170"/>
        <v>0</v>
      </c>
    </row>
    <row r="676" spans="1:16" x14ac:dyDescent="0.25">
      <c r="A676" s="14">
        <f t="shared" si="162"/>
        <v>3.2599999999999527</v>
      </c>
      <c r="B676" s="14">
        <f t="shared" si="171"/>
        <v>30.649363039231201</v>
      </c>
      <c r="C676" s="14">
        <f t="shared" si="172"/>
        <v>-3.4273152424693478</v>
      </c>
      <c r="D676" s="14">
        <f t="shared" si="173"/>
        <v>0</v>
      </c>
      <c r="E676" s="14">
        <f t="shared" si="163"/>
        <v>0</v>
      </c>
      <c r="F676" s="14">
        <f t="shared" si="174"/>
        <v>-6.5655594992512967</v>
      </c>
      <c r="G676" s="14">
        <f t="shared" si="164"/>
        <v>-1.5763558781427214</v>
      </c>
      <c r="H676" s="14">
        <f t="shared" si="165"/>
        <v>6.3735134489270386</v>
      </c>
      <c r="I676" s="14">
        <f t="shared" si="166"/>
        <v>3.4862361036670637</v>
      </c>
      <c r="J676" s="14">
        <f t="shared" si="175"/>
        <v>-14.144530711653996</v>
      </c>
      <c r="K676" s="14">
        <f t="shared" si="167"/>
        <v>-76.154142487703567</v>
      </c>
      <c r="L676" s="14">
        <f t="shared" si="168"/>
        <v>14.567827265019133</v>
      </c>
      <c r="M676" s="14">
        <f t="shared" si="177"/>
        <v>17.306585567480067</v>
      </c>
      <c r="N676" s="14">
        <f t="shared" si="169"/>
        <v>-9.0766019915775047</v>
      </c>
      <c r="O676" s="14">
        <f t="shared" si="176"/>
        <v>0</v>
      </c>
      <c r="P676" s="14">
        <f t="shared" si="170"/>
        <v>0</v>
      </c>
    </row>
    <row r="677" spans="1:16" x14ac:dyDescent="0.25">
      <c r="A677" s="14">
        <f t="shared" si="162"/>
        <v>3.2649999999999526</v>
      </c>
      <c r="B677" s="14">
        <f t="shared" si="171"/>
        <v>30.649363039231201</v>
      </c>
      <c r="C677" s="14">
        <f t="shared" si="172"/>
        <v>-3.5125643609393862</v>
      </c>
      <c r="D677" s="14">
        <f t="shared" si="173"/>
        <v>0</v>
      </c>
      <c r="E677" s="14">
        <f t="shared" si="163"/>
        <v>0</v>
      </c>
      <c r="F677" s="14">
        <f t="shared" si="174"/>
        <v>-6.5788693279264798</v>
      </c>
      <c r="G677" s="14">
        <f t="shared" si="164"/>
        <v>-1.5743934462621481</v>
      </c>
      <c r="H677" s="14">
        <f t="shared" si="165"/>
        <v>6.3877074847161408</v>
      </c>
      <c r="I677" s="14">
        <f t="shared" si="166"/>
        <v>3.4783641364357529</v>
      </c>
      <c r="J677" s="14">
        <f t="shared" si="175"/>
        <v>-14.161592174230416</v>
      </c>
      <c r="K677" s="14">
        <f t="shared" si="167"/>
        <v>-76.200215687457401</v>
      </c>
      <c r="L677" s="14">
        <f t="shared" si="168"/>
        <v>14.582513842779873</v>
      </c>
      <c r="M677" s="14">
        <f t="shared" si="177"/>
        <v>17.306585567480067</v>
      </c>
      <c r="N677" s="14">
        <f t="shared" si="169"/>
        <v>-9.1474099524486565</v>
      </c>
      <c r="O677" s="14">
        <f t="shared" si="176"/>
        <v>0</v>
      </c>
      <c r="P677" s="14">
        <f t="shared" si="170"/>
        <v>0</v>
      </c>
    </row>
    <row r="678" spans="1:16" x14ac:dyDescent="0.25">
      <c r="A678" s="14">
        <f t="shared" si="162"/>
        <v>3.2699999999999525</v>
      </c>
      <c r="B678" s="14">
        <f t="shared" si="171"/>
        <v>30.649363039231201</v>
      </c>
      <c r="C678" s="14">
        <f t="shared" si="172"/>
        <v>-3.5980584794094312</v>
      </c>
      <c r="D678" s="14">
        <f t="shared" si="173"/>
        <v>0</v>
      </c>
      <c r="E678" s="14">
        <f t="shared" si="163"/>
        <v>0</v>
      </c>
      <c r="F678" s="14">
        <f t="shared" si="174"/>
        <v>-6.5921410092208657</v>
      </c>
      <c r="G678" s="14">
        <f t="shared" si="164"/>
        <v>-1.5724220882639066</v>
      </c>
      <c r="H678" s="14">
        <f t="shared" si="165"/>
        <v>6.4018600314120633</v>
      </c>
      <c r="I678" s="14">
        <f t="shared" si="166"/>
        <v>3.4705020259944335</v>
      </c>
      <c r="J678" s="14">
        <f t="shared" si="175"/>
        <v>-14.178582874073355</v>
      </c>
      <c r="K678" s="14">
        <f t="shared" si="167"/>
        <v>-76.246092531092074</v>
      </c>
      <c r="L678" s="14">
        <f t="shared" si="168"/>
        <v>14.597143440735167</v>
      </c>
      <c r="M678" s="14">
        <f t="shared" si="177"/>
        <v>17.306585567480067</v>
      </c>
      <c r="N678" s="14">
        <f t="shared" si="169"/>
        <v>-9.2183028668190232</v>
      </c>
      <c r="O678" s="14">
        <f t="shared" si="176"/>
        <v>0</v>
      </c>
      <c r="P678" s="14">
        <f t="shared" si="170"/>
        <v>0</v>
      </c>
    </row>
    <row r="679" spans="1:16" x14ac:dyDescent="0.25">
      <c r="A679" s="14">
        <f t="shared" si="162"/>
        <v>3.2749999999999524</v>
      </c>
      <c r="B679" s="14">
        <f t="shared" si="171"/>
        <v>30.649363039231201</v>
      </c>
      <c r="C679" s="14">
        <f t="shared" si="172"/>
        <v>-3.6837975978794688</v>
      </c>
      <c r="D679" s="14">
        <f t="shared" si="173"/>
        <v>0</v>
      </c>
      <c r="E679" s="14">
        <f t="shared" si="163"/>
        <v>0</v>
      </c>
      <c r="F679" s="14">
        <f t="shared" si="174"/>
        <v>-6.6053744955113283</v>
      </c>
      <c r="G679" s="14">
        <f t="shared" si="164"/>
        <v>-1.5704418924288843</v>
      </c>
      <c r="H679" s="14">
        <f t="shared" si="165"/>
        <v>6.4159710479751952</v>
      </c>
      <c r="I679" s="14">
        <f t="shared" si="166"/>
        <v>3.4626498165322892</v>
      </c>
      <c r="J679" s="14">
        <f t="shared" si="175"/>
        <v>-14.195503018833479</v>
      </c>
      <c r="K679" s="14">
        <f t="shared" si="167"/>
        <v>-76.291774199518258</v>
      </c>
      <c r="L679" s="14">
        <f t="shared" si="168"/>
        <v>14.611716179478766</v>
      </c>
      <c r="M679" s="14">
        <f t="shared" si="177"/>
        <v>17.306585567480067</v>
      </c>
      <c r="N679" s="14">
        <f t="shared" si="169"/>
        <v>-9.2892803819131906</v>
      </c>
      <c r="O679" s="14">
        <f t="shared" si="176"/>
        <v>0</v>
      </c>
      <c r="P679" s="14">
        <f t="shared" si="170"/>
        <v>0</v>
      </c>
    </row>
    <row r="680" spans="1:16" x14ac:dyDescent="0.25">
      <c r="A680" s="14">
        <f t="shared" si="162"/>
        <v>3.2799999999999523</v>
      </c>
      <c r="B680" s="14">
        <f t="shared" si="171"/>
        <v>30.649363039231201</v>
      </c>
      <c r="C680" s="14">
        <f t="shared" si="172"/>
        <v>-3.7697817163495202</v>
      </c>
      <c r="D680" s="14">
        <f t="shared" si="173"/>
        <v>0</v>
      </c>
      <c r="E680" s="14">
        <f t="shared" si="163"/>
        <v>0</v>
      </c>
      <c r="F680" s="14">
        <f t="shared" si="174"/>
        <v>-6.618569740998888</v>
      </c>
      <c r="G680" s="14">
        <f t="shared" si="164"/>
        <v>-1.568452946790915</v>
      </c>
      <c r="H680" s="14">
        <f t="shared" si="165"/>
        <v>6.4300404952199939</v>
      </c>
      <c r="I680" s="14">
        <f t="shared" si="166"/>
        <v>3.4548075517983348</v>
      </c>
      <c r="J680" s="14">
        <f t="shared" si="175"/>
        <v>-14.212352816357379</v>
      </c>
      <c r="K680" s="14">
        <f t="shared" si="167"/>
        <v>-76.337261864091445</v>
      </c>
      <c r="L680" s="14">
        <f t="shared" si="168"/>
        <v>14.626232180455236</v>
      </c>
      <c r="M680" s="14">
        <f t="shared" si="177"/>
        <v>17.306585567480067</v>
      </c>
      <c r="N680" s="14">
        <f t="shared" si="169"/>
        <v>-9.3603421459949772</v>
      </c>
      <c r="O680" s="14">
        <f t="shared" si="176"/>
        <v>0</v>
      </c>
      <c r="P680" s="14">
        <f t="shared" si="170"/>
        <v>0</v>
      </c>
    </row>
    <row r="681" spans="1:16" x14ac:dyDescent="0.25">
      <c r="A681" s="14">
        <f t="shared" si="162"/>
        <v>3.2849999999999522</v>
      </c>
      <c r="B681" s="14">
        <f t="shared" si="171"/>
        <v>30.649363039231201</v>
      </c>
      <c r="C681" s="14">
        <f t="shared" si="172"/>
        <v>-3.8560108348195641</v>
      </c>
      <c r="D681" s="14">
        <f t="shared" si="173"/>
        <v>0</v>
      </c>
      <c r="E681" s="14">
        <f t="shared" si="163"/>
        <v>0</v>
      </c>
      <c r="F681" s="14">
        <f t="shared" si="174"/>
        <v>-6.6317267016941139</v>
      </c>
      <c r="G681" s="14">
        <f t="shared" si="164"/>
        <v>-1.566455339133169</v>
      </c>
      <c r="H681" s="14">
        <f t="shared" si="165"/>
        <v>6.4440683358002868</v>
      </c>
      <c r="I681" s="14">
        <f t="shared" si="166"/>
        <v>3.4469752751026688</v>
      </c>
      <c r="J681" s="14">
        <f t="shared" si="175"/>
        <v>-14.229132474678378</v>
      </c>
      <c r="K681" s="14">
        <f t="shared" si="167"/>
        <v>-76.38255668670503</v>
      </c>
      <c r="L681" s="14">
        <f t="shared" si="168"/>
        <v>14.640691565944417</v>
      </c>
      <c r="M681" s="14">
        <f t="shared" si="177"/>
        <v>17.306585567480067</v>
      </c>
      <c r="N681" s="14">
        <f t="shared" si="169"/>
        <v>-9.4314878083683684</v>
      </c>
      <c r="O681" s="14">
        <f t="shared" si="176"/>
        <v>0</v>
      </c>
      <c r="P681" s="14">
        <f t="shared" si="170"/>
        <v>0</v>
      </c>
    </row>
    <row r="682" spans="1:16" x14ac:dyDescent="0.25">
      <c r="A682" s="14">
        <f t="shared" si="162"/>
        <v>3.2899999999999521</v>
      </c>
      <c r="B682" s="14">
        <f t="shared" si="171"/>
        <v>30.649363039231201</v>
      </c>
      <c r="C682" s="14">
        <f t="shared" si="172"/>
        <v>-3.9424849532896005</v>
      </c>
      <c r="D682" s="14">
        <f t="shared" si="173"/>
        <v>0</v>
      </c>
      <c r="E682" s="14">
        <f t="shared" si="163"/>
        <v>0</v>
      </c>
      <c r="F682" s="14">
        <f t="shared" si="174"/>
        <v>-6.6448453354025947</v>
      </c>
      <c r="G682" s="14">
        <f t="shared" si="164"/>
        <v>-1.5644491569846506</v>
      </c>
      <c r="H682" s="14">
        <f t="shared" si="165"/>
        <v>6.4580545341946154</v>
      </c>
      <c r="I682" s="14">
        <f t="shared" si="166"/>
        <v>3.4391530293177457</v>
      </c>
      <c r="J682" s="14">
        <f t="shared" si="175"/>
        <v>-14.245842202007406</v>
      </c>
      <c r="K682" s="14">
        <f t="shared" si="167"/>
        <v>-76.427659819882464</v>
      </c>
      <c r="L682" s="14">
        <f t="shared" si="168"/>
        <v>14.655094459045996</v>
      </c>
      <c r="M682" s="14">
        <f t="shared" si="177"/>
        <v>17.306585567480067</v>
      </c>
      <c r="N682" s="14">
        <f t="shared" si="169"/>
        <v>-9.5027170193784052</v>
      </c>
      <c r="O682" s="14">
        <f t="shared" si="176"/>
        <v>0</v>
      </c>
      <c r="P682" s="14">
        <f t="shared" si="170"/>
        <v>0</v>
      </c>
    </row>
    <row r="683" spans="1:16" x14ac:dyDescent="0.25">
      <c r="A683" s="14">
        <f t="shared" si="162"/>
        <v>3.294999999999952</v>
      </c>
      <c r="B683" s="14">
        <f t="shared" si="171"/>
        <v>30.649363039231201</v>
      </c>
      <c r="C683" s="14">
        <f t="shared" si="172"/>
        <v>-4.0292040717596436</v>
      </c>
      <c r="D683" s="14">
        <f t="shared" si="173"/>
        <v>0</v>
      </c>
      <c r="E683" s="14">
        <f t="shared" si="163"/>
        <v>0</v>
      </c>
      <c r="F683" s="14">
        <f t="shared" si="174"/>
        <v>-6.6579256017103798</v>
      </c>
      <c r="G683" s="14">
        <f t="shared" si="164"/>
        <v>-1.5624344876167384</v>
      </c>
      <c r="H683" s="14">
        <f t="shared" si="165"/>
        <v>6.4719990566915531</v>
      </c>
      <c r="I683" s="14">
        <f t="shared" si="166"/>
        <v>3.4313408568796619</v>
      </c>
      <c r="J683" s="14">
        <f t="shared" si="175"/>
        <v>-14.262482206723949</v>
      </c>
      <c r="K683" s="14">
        <f t="shared" si="167"/>
        <v>-76.472572406868437</v>
      </c>
      <c r="L683" s="14">
        <f t="shared" si="168"/>
        <v>14.669440983664268</v>
      </c>
      <c r="M683" s="14">
        <f t="shared" si="177"/>
        <v>17.306585567480067</v>
      </c>
      <c r="N683" s="14">
        <f t="shared" si="169"/>
        <v>-9.5740294304120255</v>
      </c>
      <c r="O683" s="14">
        <f t="shared" si="176"/>
        <v>0</v>
      </c>
      <c r="P683" s="14">
        <f t="shared" si="170"/>
        <v>0</v>
      </c>
    </row>
    <row r="684" spans="1:16" x14ac:dyDescent="0.25">
      <c r="A684" s="14">
        <f t="shared" si="162"/>
        <v>3.2999999999999519</v>
      </c>
      <c r="B684" s="14">
        <f t="shared" si="171"/>
        <v>30.649363039231201</v>
      </c>
      <c r="C684" s="14">
        <f t="shared" si="172"/>
        <v>-4.1161681902296863</v>
      </c>
      <c r="D684" s="14">
        <f t="shared" si="173"/>
        <v>0</v>
      </c>
      <c r="E684" s="14">
        <f t="shared" si="163"/>
        <v>0</v>
      </c>
      <c r="F684" s="14">
        <f t="shared" si="174"/>
        <v>-6.6709674619694752</v>
      </c>
      <c r="G684" s="14">
        <f t="shared" si="164"/>
        <v>-1.5604114180397974</v>
      </c>
      <c r="H684" s="14">
        <f t="shared" si="165"/>
        <v>6.4859018713750585</v>
      </c>
      <c r="I684" s="14">
        <f t="shared" si="166"/>
        <v>3.4235387997894628</v>
      </c>
      <c r="J684" s="14">
        <f t="shared" si="175"/>
        <v>-14.279052697367073</v>
      </c>
      <c r="K684" s="14">
        <f t="shared" si="167"/>
        <v>-76.517295581718955</v>
      </c>
      <c r="L684" s="14">
        <f t="shared" si="168"/>
        <v>14.683731264493019</v>
      </c>
      <c r="M684" s="14">
        <f t="shared" si="177"/>
        <v>17.306585567480067</v>
      </c>
      <c r="N684" s="14">
        <f t="shared" si="169"/>
        <v>-9.6454246938988604</v>
      </c>
      <c r="O684" s="14">
        <f t="shared" si="176"/>
        <v>0</v>
      </c>
      <c r="P684" s="14">
        <f t="shared" si="170"/>
        <v>0</v>
      </c>
    </row>
    <row r="685" spans="1:16" x14ac:dyDescent="0.25">
      <c r="A685" s="14">
        <f t="shared" si="162"/>
        <v>3.3049999999999518</v>
      </c>
      <c r="B685" s="14">
        <f t="shared" si="171"/>
        <v>30.649363039231201</v>
      </c>
      <c r="C685" s="14">
        <f t="shared" si="172"/>
        <v>-4.2033773086997286</v>
      </c>
      <c r="D685" s="14">
        <f t="shared" si="173"/>
        <v>0</v>
      </c>
      <c r="E685" s="14">
        <f t="shared" si="163"/>
        <v>0</v>
      </c>
      <c r="F685" s="14">
        <f t="shared" si="174"/>
        <v>-6.6839708792833434</v>
      </c>
      <c r="G685" s="14">
        <f t="shared" si="164"/>
        <v>-1.5583800349998773</v>
      </c>
      <c r="H685" s="14">
        <f t="shared" si="165"/>
        <v>6.4997629481098409</v>
      </c>
      <c r="I685" s="14">
        <f t="shared" si="166"/>
        <v>3.4157468996144633</v>
      </c>
      <c r="J685" s="14">
        <f t="shared" si="175"/>
        <v>-14.295553882626523</v>
      </c>
      <c r="K685" s="14">
        <f t="shared" si="167"/>
        <v>-76.561830469390515</v>
      </c>
      <c r="L685" s="14">
        <f t="shared" si="168"/>
        <v>14.69796542700057</v>
      </c>
      <c r="M685" s="14">
        <f t="shared" si="177"/>
        <v>17.306585567480067</v>
      </c>
      <c r="N685" s="14">
        <f t="shared" si="169"/>
        <v>-9.7169024633119925</v>
      </c>
      <c r="O685" s="14">
        <f t="shared" si="176"/>
        <v>0</v>
      </c>
      <c r="P685" s="14">
        <f t="shared" si="170"/>
        <v>0</v>
      </c>
    </row>
    <row r="686" spans="1:16" x14ac:dyDescent="0.25">
      <c r="A686" s="14">
        <f t="shared" si="162"/>
        <v>3.3099999999999516</v>
      </c>
      <c r="B686" s="14">
        <f t="shared" si="171"/>
        <v>30.649363039231201</v>
      </c>
      <c r="C686" s="14">
        <f t="shared" si="172"/>
        <v>-4.2908314271697634</v>
      </c>
      <c r="D686" s="14">
        <f t="shared" si="173"/>
        <v>0</v>
      </c>
      <c r="E686" s="14">
        <f t="shared" si="163"/>
        <v>0</v>
      </c>
      <c r="F686" s="14">
        <f t="shared" si="174"/>
        <v>-6.6969358184924257</v>
      </c>
      <c r="G686" s="14">
        <f t="shared" si="164"/>
        <v>-1.5563404249754516</v>
      </c>
      <c r="H686" s="14">
        <f t="shared" si="165"/>
        <v>6.5135822585267196</v>
      </c>
      <c r="I686" s="14">
        <f t="shared" si="166"/>
        <v>3.4079651974895859</v>
      </c>
      <c r="J686" s="14">
        <f t="shared" si="175"/>
        <v>-14.31198597133389</v>
      </c>
      <c r="K686" s="14">
        <f t="shared" si="167"/>
        <v>-76.606178185828369</v>
      </c>
      <c r="L686" s="14">
        <f t="shared" si="168"/>
        <v>14.71214359741497</v>
      </c>
      <c r="M686" s="14">
        <f t="shared" si="177"/>
        <v>17.306585567480067</v>
      </c>
      <c r="N686" s="14">
        <f t="shared" si="169"/>
        <v>-9.7884623931686612</v>
      </c>
      <c r="O686" s="14">
        <f t="shared" si="176"/>
        <v>0</v>
      </c>
      <c r="P686" s="14">
        <f t="shared" si="170"/>
        <v>0</v>
      </c>
    </row>
    <row r="687" spans="1:16" x14ac:dyDescent="0.25">
      <c r="A687" s="14">
        <f t="shared" si="162"/>
        <v>3.3149999999999515</v>
      </c>
      <c r="B687" s="14">
        <f t="shared" si="171"/>
        <v>30.649363039231201</v>
      </c>
      <c r="C687" s="14">
        <f t="shared" si="172"/>
        <v>-4.3785305456398049</v>
      </c>
      <c r="D687" s="14">
        <f t="shared" si="173"/>
        <v>0</v>
      </c>
      <c r="E687" s="14">
        <f t="shared" si="163"/>
        <v>0</v>
      </c>
      <c r="F687" s="14">
        <f t="shared" si="174"/>
        <v>-6.7098622461597079</v>
      </c>
      <c r="G687" s="14">
        <f t="shared" si="164"/>
        <v>-1.5542926741742435</v>
      </c>
      <c r="H687" s="14">
        <f t="shared" si="165"/>
        <v>6.5273597760080362</v>
      </c>
      <c r="I687" s="14">
        <f t="shared" si="166"/>
        <v>3.4001937341187145</v>
      </c>
      <c r="J687" s="14">
        <f t="shared" si="175"/>
        <v>-14.32834917245385</v>
      </c>
      <c r="K687" s="14">
        <f t="shared" si="167"/>
        <v>-76.650339838053668</v>
      </c>
      <c r="L687" s="14">
        <f t="shared" si="168"/>
        <v>14.726265902709319</v>
      </c>
      <c r="M687" s="14">
        <f t="shared" si="177"/>
        <v>17.306585567480067</v>
      </c>
      <c r="N687" s="14">
        <f t="shared" si="169"/>
        <v>-9.8601041390309305</v>
      </c>
      <c r="O687" s="14">
        <f t="shared" si="176"/>
        <v>0</v>
      </c>
      <c r="P687" s="14">
        <f t="shared" si="170"/>
        <v>0</v>
      </c>
    </row>
    <row r="688" spans="1:16" x14ac:dyDescent="0.25">
      <c r="A688" s="14">
        <f t="shared" si="162"/>
        <v>3.3199999999999514</v>
      </c>
      <c r="B688" s="14">
        <f t="shared" si="171"/>
        <v>30.649363039231201</v>
      </c>
      <c r="C688" s="14">
        <f t="shared" si="172"/>
        <v>-4.4664746641098532</v>
      </c>
      <c r="D688" s="14">
        <f t="shared" si="173"/>
        <v>0</v>
      </c>
      <c r="E688" s="14">
        <f t="shared" si="163"/>
        <v>0</v>
      </c>
      <c r="F688" s="14">
        <f t="shared" si="174"/>
        <v>-6.722750130556272</v>
      </c>
      <c r="G688" s="14">
        <f t="shared" si="164"/>
        <v>-1.5522368685301071</v>
      </c>
      <c r="H688" s="14">
        <f t="shared" si="165"/>
        <v>6.5410954756730328</v>
      </c>
      <c r="I688" s="14">
        <f t="shared" si="166"/>
        <v>3.3924325497760641</v>
      </c>
      <c r="J688" s="14">
        <f t="shared" si="175"/>
        <v>-14.344643695075485</v>
      </c>
      <c r="K688" s="14">
        <f t="shared" si="167"/>
        <v>-76.694316524249842</v>
      </c>
      <c r="L688" s="14">
        <f t="shared" si="168"/>
        <v>14.740332470587255</v>
      </c>
      <c r="M688" s="14">
        <f t="shared" si="177"/>
        <v>17.306585567480067</v>
      </c>
      <c r="N688" s="14">
        <f t="shared" si="169"/>
        <v>-9.9318273575063074</v>
      </c>
      <c r="O688" s="14">
        <f t="shared" si="176"/>
        <v>0</v>
      </c>
      <c r="P688" s="14">
        <f t="shared" si="170"/>
        <v>0</v>
      </c>
    </row>
    <row r="689" spans="1:16" x14ac:dyDescent="0.25">
      <c r="A689" s="14">
        <f t="shared" si="162"/>
        <v>3.3249999999999513</v>
      </c>
      <c r="B689" s="14">
        <f t="shared" si="171"/>
        <v>30.649363039231201</v>
      </c>
      <c r="C689" s="14">
        <f t="shared" si="172"/>
        <v>-4.5546637825798868</v>
      </c>
      <c r="D689" s="14">
        <f t="shared" si="173"/>
        <v>0</v>
      </c>
      <c r="E689" s="14">
        <f t="shared" si="163"/>
        <v>0</v>
      </c>
      <c r="F689" s="14">
        <f t="shared" si="174"/>
        <v>-6.7355994416469178</v>
      </c>
      <c r="G689" s="14">
        <f t="shared" si="164"/>
        <v>-1.5501730936999782</v>
      </c>
      <c r="H689" s="14">
        <f t="shared" si="165"/>
        <v>6.5547893343633028</v>
      </c>
      <c r="I689" s="14">
        <f t="shared" si="166"/>
        <v>3.3846816843075644</v>
      </c>
      <c r="J689" s="14">
        <f t="shared" si="175"/>
        <v>-14.360869748403669</v>
      </c>
      <c r="K689" s="14">
        <f t="shared" si="167"/>
        <v>-76.738109333847902</v>
      </c>
      <c r="L689" s="14">
        <f t="shared" si="168"/>
        <v>14.754343429468584</v>
      </c>
      <c r="M689" s="14">
        <f t="shared" si="177"/>
        <v>17.306585567480067</v>
      </c>
      <c r="N689" s="14">
        <f t="shared" si="169"/>
        <v>-10.003631706248326</v>
      </c>
      <c r="O689" s="14">
        <f t="shared" si="176"/>
        <v>0</v>
      </c>
      <c r="P689" s="14">
        <f t="shared" si="170"/>
        <v>0</v>
      </c>
    </row>
    <row r="690" spans="1:16" x14ac:dyDescent="0.25">
      <c r="A690" s="14">
        <f t="shared" si="162"/>
        <v>3.3299999999999512</v>
      </c>
      <c r="B690" s="14">
        <f t="shared" si="171"/>
        <v>30.649363039231201</v>
      </c>
      <c r="C690" s="14">
        <f t="shared" si="172"/>
        <v>-4.6430979010499343</v>
      </c>
      <c r="D690" s="14">
        <f t="shared" si="173"/>
        <v>0</v>
      </c>
      <c r="E690" s="14">
        <f t="shared" si="163"/>
        <v>0</v>
      </c>
      <c r="F690" s="14">
        <f t="shared" si="174"/>
        <v>-6.7484101510757855</v>
      </c>
      <c r="G690" s="14">
        <f t="shared" si="164"/>
        <v>-1.5481014350608848</v>
      </c>
      <c r="H690" s="14">
        <f t="shared" si="165"/>
        <v>6.5684413306282288</v>
      </c>
      <c r="I690" s="14">
        <f t="shared" si="166"/>
        <v>3.3769411771322599</v>
      </c>
      <c r="J690" s="14">
        <f t="shared" si="175"/>
        <v>-14.377027541750527</v>
      </c>
      <c r="K690" s="14">
        <f t="shared" si="167"/>
        <v>-76.781719347610903</v>
      </c>
      <c r="L690" s="14">
        <f t="shared" si="168"/>
        <v>14.768298908475026</v>
      </c>
      <c r="M690" s="14">
        <f t="shared" si="177"/>
        <v>17.306585567480067</v>
      </c>
      <c r="N690" s="14">
        <f t="shared" si="169"/>
        <v>-10.075516843957079</v>
      </c>
      <c r="O690" s="14">
        <f t="shared" si="176"/>
        <v>0</v>
      </c>
      <c r="P690" s="14">
        <f t="shared" si="170"/>
        <v>0</v>
      </c>
    </row>
    <row r="691" spans="1:16" x14ac:dyDescent="0.25">
      <c r="A691" s="14">
        <f t="shared" si="162"/>
        <v>3.3349999999999511</v>
      </c>
      <c r="B691" s="14">
        <f t="shared" si="171"/>
        <v>30.649363039231201</v>
      </c>
      <c r="C691" s="14">
        <f t="shared" si="172"/>
        <v>-4.7317770195199742</v>
      </c>
      <c r="D691" s="14">
        <f t="shared" si="173"/>
        <v>0</v>
      </c>
      <c r="E691" s="14">
        <f t="shared" si="163"/>
        <v>0</v>
      </c>
      <c r="F691" s="14">
        <f t="shared" si="174"/>
        <v>-6.761182232152005</v>
      </c>
      <c r="G691" s="14">
        <f t="shared" si="164"/>
        <v>-1.546021977707029</v>
      </c>
      <c r="H691" s="14">
        <f t="shared" si="165"/>
        <v>6.5820514447104417</v>
      </c>
      <c r="I691" s="14">
        <f t="shared" si="166"/>
        <v>3.3692110672437248</v>
      </c>
      <c r="J691" s="14">
        <f t="shared" si="175"/>
        <v>-14.393117284526975</v>
      </c>
      <c r="K691" s="14">
        <f t="shared" si="167"/>
        <v>-76.825147637717464</v>
      </c>
      <c r="L691" s="14">
        <f t="shared" si="168"/>
        <v>14.782199037416143</v>
      </c>
      <c r="M691" s="14">
        <f t="shared" si="177"/>
        <v>17.306585567480067</v>
      </c>
      <c r="N691" s="14">
        <f t="shared" si="169"/>
        <v>-10.147482430379714</v>
      </c>
      <c r="O691" s="14">
        <f t="shared" si="176"/>
        <v>0</v>
      </c>
      <c r="P691" s="14">
        <f t="shared" si="170"/>
        <v>0</v>
      </c>
    </row>
    <row r="692" spans="1:16" x14ac:dyDescent="0.25">
      <c r="A692" s="14">
        <f t="shared" si="162"/>
        <v>3.339999999999951</v>
      </c>
      <c r="B692" s="14">
        <f t="shared" si="171"/>
        <v>30.649363039231201</v>
      </c>
      <c r="C692" s="14">
        <f t="shared" si="172"/>
        <v>-4.8207011379900209</v>
      </c>
      <c r="D692" s="14">
        <f t="shared" si="173"/>
        <v>0</v>
      </c>
      <c r="E692" s="14">
        <f t="shared" si="163"/>
        <v>0</v>
      </c>
      <c r="F692" s="14">
        <f t="shared" si="174"/>
        <v>-6.7739156598353887</v>
      </c>
      <c r="G692" s="14">
        <f t="shared" si="164"/>
        <v>-1.5439348064469218</v>
      </c>
      <c r="H692" s="14">
        <f t="shared" si="165"/>
        <v>6.5956196585313203</v>
      </c>
      <c r="I692" s="14">
        <f t="shared" si="166"/>
        <v>3.36149139321149</v>
      </c>
      <c r="J692" s="14">
        <f t="shared" si="175"/>
        <v>-14.409139186234318</v>
      </c>
      <c r="K692" s="14">
        <f t="shared" si="167"/>
        <v>-76.868395267844377</v>
      </c>
      <c r="L692" s="14">
        <f t="shared" si="168"/>
        <v>14.796043946775377</v>
      </c>
      <c r="M692" s="14">
        <f t="shared" si="177"/>
        <v>17.306585567480067</v>
      </c>
      <c r="N692" s="14">
        <f t="shared" si="169"/>
        <v>-10.219528126310886</v>
      </c>
      <c r="O692" s="14">
        <f t="shared" si="176"/>
        <v>0</v>
      </c>
      <c r="P692" s="14">
        <f t="shared" si="170"/>
        <v>0</v>
      </c>
    </row>
    <row r="693" spans="1:16" x14ac:dyDescent="0.25">
      <c r="A693" s="14">
        <f t="shared" si="162"/>
        <v>3.3449999999999509</v>
      </c>
      <c r="B693" s="14">
        <f t="shared" si="171"/>
        <v>30.649363039231201</v>
      </c>
      <c r="C693" s="14">
        <f t="shared" si="172"/>
        <v>-4.9098702564600671</v>
      </c>
      <c r="D693" s="14">
        <f t="shared" si="173"/>
        <v>0</v>
      </c>
      <c r="E693" s="14">
        <f t="shared" si="163"/>
        <v>0</v>
      </c>
      <c r="F693" s="14">
        <f t="shared" si="174"/>
        <v>-6.7866104107221563</v>
      </c>
      <c r="G693" s="14">
        <f t="shared" si="164"/>
        <v>-1.5418400058005961</v>
      </c>
      <c r="H693" s="14">
        <f t="shared" si="165"/>
        <v>6.6091459556765102</v>
      </c>
      <c r="I693" s="14">
        <f t="shared" si="166"/>
        <v>3.3537821931824872</v>
      </c>
      <c r="J693" s="14">
        <f t="shared" si="175"/>
        <v>-14.425093456455937</v>
      </c>
      <c r="K693" s="14">
        <f t="shared" si="167"/>
        <v>-76.911463293248346</v>
      </c>
      <c r="L693" s="14">
        <f t="shared" si="168"/>
        <v>14.80983376769624</v>
      </c>
      <c r="M693" s="14">
        <f t="shared" si="177"/>
        <v>17.306585567480067</v>
      </c>
      <c r="N693" s="14">
        <f t="shared" si="169"/>
        <v>-10.291653593593166</v>
      </c>
      <c r="O693" s="14">
        <f t="shared" si="176"/>
        <v>0</v>
      </c>
      <c r="P693" s="14">
        <f t="shared" si="170"/>
        <v>0</v>
      </c>
    </row>
    <row r="694" spans="1:16" x14ac:dyDescent="0.25">
      <c r="A694" s="14">
        <f t="shared" si="162"/>
        <v>3.3499999999999508</v>
      </c>
      <c r="B694" s="14">
        <f t="shared" si="171"/>
        <v>30.649363039231201</v>
      </c>
      <c r="C694" s="14">
        <f t="shared" si="172"/>
        <v>-4.9992843749300988</v>
      </c>
      <c r="D694" s="14">
        <f t="shared" si="173"/>
        <v>0</v>
      </c>
      <c r="E694" s="14">
        <f t="shared" si="163"/>
        <v>0</v>
      </c>
      <c r="F694" s="14">
        <f t="shared" si="174"/>
        <v>-6.7992664630306701</v>
      </c>
      <c r="G694" s="14">
        <f t="shared" si="164"/>
        <v>-1.5397376599968631</v>
      </c>
      <c r="H694" s="14">
        <f t="shared" si="165"/>
        <v>6.6226303213814512</v>
      </c>
      <c r="I694" s="14">
        <f t="shared" si="166"/>
        <v>3.3460835048825031</v>
      </c>
      <c r="J694" s="14">
        <f t="shared" si="175"/>
        <v>-14.440980304849029</v>
      </c>
      <c r="K694" s="14">
        <f t="shared" si="167"/>
        <v>-76.954352760846831</v>
      </c>
      <c r="L694" s="14">
        <f t="shared" si="168"/>
        <v>14.82356863196863</v>
      </c>
      <c r="M694" s="14">
        <f t="shared" si="177"/>
        <v>17.306585567480067</v>
      </c>
      <c r="N694" s="14">
        <f t="shared" si="169"/>
        <v>-10.363858495117411</v>
      </c>
      <c r="O694" s="14">
        <f t="shared" si="176"/>
        <v>0</v>
      </c>
      <c r="P694" s="14">
        <f t="shared" si="170"/>
        <v>0</v>
      </c>
    </row>
    <row r="695" spans="1:16" x14ac:dyDescent="0.25">
      <c r="A695" s="14">
        <f t="shared" si="162"/>
        <v>3.3549999999999507</v>
      </c>
      <c r="B695" s="14">
        <f t="shared" si="171"/>
        <v>30.649363039231201</v>
      </c>
      <c r="C695" s="14">
        <f t="shared" si="172"/>
        <v>-5.0889434934001443</v>
      </c>
      <c r="D695" s="14">
        <f t="shared" si="173"/>
        <v>0</v>
      </c>
      <c r="E695" s="14">
        <f t="shared" si="163"/>
        <v>0</v>
      </c>
      <c r="F695" s="14">
        <f t="shared" si="174"/>
        <v>-6.8118837965872139</v>
      </c>
      <c r="G695" s="14">
        <f t="shared" si="164"/>
        <v>-1.5376278529706409</v>
      </c>
      <c r="H695" s="14">
        <f t="shared" si="165"/>
        <v>6.6360727425169426</v>
      </c>
      <c r="I695" s="14">
        <f t="shared" si="166"/>
        <v>3.3383953656176497</v>
      </c>
      <c r="J695" s="14">
        <f t="shared" si="175"/>
        <v>-14.456799941136445</v>
      </c>
      <c r="K695" s="14">
        <f t="shared" si="167"/>
        <v>-76.997064709298002</v>
      </c>
      <c r="L695" s="14">
        <f t="shared" si="168"/>
        <v>14.837248672015313</v>
      </c>
      <c r="M695" s="14">
        <f t="shared" si="177"/>
        <v>17.306585567480067</v>
      </c>
      <c r="N695" s="14">
        <f t="shared" si="169"/>
        <v>-10.436142494823093</v>
      </c>
      <c r="O695" s="14">
        <f t="shared" si="176"/>
        <v>0</v>
      </c>
      <c r="P695" s="14">
        <f t="shared" si="170"/>
        <v>0</v>
      </c>
    </row>
    <row r="696" spans="1:16" x14ac:dyDescent="0.25">
      <c r="A696" s="14">
        <f t="shared" si="162"/>
        <v>3.3599999999999506</v>
      </c>
      <c r="B696" s="14">
        <f t="shared" si="171"/>
        <v>30.649363039231201</v>
      </c>
      <c r="C696" s="14">
        <f t="shared" si="172"/>
        <v>-5.1788476118701823</v>
      </c>
      <c r="D696" s="14">
        <f t="shared" si="173"/>
        <v>0</v>
      </c>
      <c r="E696" s="14">
        <f t="shared" si="163"/>
        <v>0</v>
      </c>
      <c r="F696" s="14">
        <f t="shared" si="174"/>
        <v>-6.8244623928118253</v>
      </c>
      <c r="G696" s="14">
        <f t="shared" si="164"/>
        <v>-1.5355106683603488</v>
      </c>
      <c r="H696" s="14">
        <f t="shared" si="165"/>
        <v>6.6494732075747525</v>
      </c>
      <c r="I696" s="14">
        <f t="shared" si="166"/>
        <v>3.3307178122758478</v>
      </c>
      <c r="J696" s="14">
        <f t="shared" si="175"/>
        <v>-14.472552575098572</v>
      </c>
      <c r="K696" s="14">
        <f t="shared" si="167"/>
        <v>-77.039600169079876</v>
      </c>
      <c r="L696" s="14">
        <f t="shared" si="168"/>
        <v>14.850874020878498</v>
      </c>
      <c r="M696" s="14">
        <f t="shared" si="177"/>
        <v>17.306585567480067</v>
      </c>
      <c r="N696" s="14">
        <f t="shared" si="169"/>
        <v>-10.508505257698586</v>
      </c>
      <c r="O696" s="14">
        <f t="shared" si="176"/>
        <v>0</v>
      </c>
      <c r="P696" s="14">
        <f t="shared" si="170"/>
        <v>0</v>
      </c>
    </row>
    <row r="697" spans="1:16" x14ac:dyDescent="0.25">
      <c r="A697" s="14">
        <f t="shared" si="162"/>
        <v>3.3649999999999505</v>
      </c>
      <c r="B697" s="14">
        <f t="shared" si="171"/>
        <v>30.649363039231201</v>
      </c>
      <c r="C697" s="14">
        <f t="shared" si="172"/>
        <v>-5.268996730340227</v>
      </c>
      <c r="D697" s="14">
        <f t="shared" si="173"/>
        <v>0</v>
      </c>
      <c r="E697" s="14">
        <f t="shared" si="163"/>
        <v>0</v>
      </c>
      <c r="F697" s="14">
        <f t="shared" si="174"/>
        <v>-6.8370022347041202</v>
      </c>
      <c r="G697" s="14">
        <f t="shared" si="164"/>
        <v>-1.5333861895053436</v>
      </c>
      <c r="H697" s="14">
        <f t="shared" si="165"/>
        <v>6.6628317066532166</v>
      </c>
      <c r="I697" s="14">
        <f t="shared" si="166"/>
        <v>3.3230508813283213</v>
      </c>
      <c r="J697" s="14">
        <f t="shared" si="175"/>
        <v>-14.488238416565306</v>
      </c>
      <c r="K697" s="14">
        <f t="shared" si="167"/>
        <v>-77.081960162568535</v>
      </c>
      <c r="L697" s="14">
        <f t="shared" si="168"/>
        <v>14.8644448122066</v>
      </c>
      <c r="M697" s="14">
        <f t="shared" si="177"/>
        <v>17.306585567480067</v>
      </c>
      <c r="N697" s="14">
        <f t="shared" si="169"/>
        <v>-10.580946449781413</v>
      </c>
      <c r="O697" s="14">
        <f t="shared" si="176"/>
        <v>0</v>
      </c>
      <c r="P697" s="14">
        <f t="shared" si="170"/>
        <v>0</v>
      </c>
    </row>
    <row r="698" spans="1:16" x14ac:dyDescent="0.25">
      <c r="A698" s="14">
        <f t="shared" si="162"/>
        <v>3.3699999999999504</v>
      </c>
      <c r="B698" s="14">
        <f t="shared" si="171"/>
        <v>30.649363039231201</v>
      </c>
      <c r="C698" s="14">
        <f t="shared" si="172"/>
        <v>-5.3593908488102713</v>
      </c>
      <c r="D698" s="14">
        <f t="shared" si="173"/>
        <v>0</v>
      </c>
      <c r="E698" s="14">
        <f t="shared" si="163"/>
        <v>0</v>
      </c>
      <c r="F698" s="14">
        <f t="shared" si="174"/>
        <v>-6.8495033068292059</v>
      </c>
      <c r="G698" s="14">
        <f t="shared" si="164"/>
        <v>-1.5312544994434394</v>
      </c>
      <c r="H698" s="14">
        <f t="shared" si="165"/>
        <v>6.6761482314429212</v>
      </c>
      <c r="I698" s="14">
        <f t="shared" si="166"/>
        <v>3.3153946088311042</v>
      </c>
      <c r="J698" s="14">
        <f t="shared" si="175"/>
        <v>-14.50385767540809</v>
      </c>
      <c r="K698" s="14">
        <f t="shared" si="167"/>
        <v>-77.124145704115605</v>
      </c>
      <c r="L698" s="14">
        <f t="shared" si="168"/>
        <v>14.877961180241078</v>
      </c>
      <c r="M698" s="14">
        <f t="shared" si="177"/>
        <v>17.306585567480067</v>
      </c>
      <c r="N698" s="14">
        <f t="shared" si="169"/>
        <v>-10.653465738158454</v>
      </c>
      <c r="O698" s="14">
        <f t="shared" si="176"/>
        <v>0</v>
      </c>
      <c r="P698" s="14">
        <f t="shared" si="170"/>
        <v>0</v>
      </c>
    </row>
    <row r="699" spans="1:16" x14ac:dyDescent="0.25">
      <c r="A699" s="14">
        <f t="shared" si="162"/>
        <v>3.3749999999999503</v>
      </c>
      <c r="B699" s="14">
        <f t="shared" si="171"/>
        <v>30.649363039231201</v>
      </c>
      <c r="C699" s="14">
        <f t="shared" si="172"/>
        <v>-5.4500299672803152</v>
      </c>
      <c r="D699" s="14">
        <f t="shared" si="173"/>
        <v>0</v>
      </c>
      <c r="E699" s="14">
        <f t="shared" si="163"/>
        <v>0</v>
      </c>
      <c r="F699" s="14">
        <f t="shared" si="174"/>
        <v>-6.861965595303575</v>
      </c>
      <c r="G699" s="14">
        <f t="shared" si="164"/>
        <v>-1.5291156809084598</v>
      </c>
      <c r="H699" s="14">
        <f t="shared" si="165"/>
        <v>6.6894227752123578</v>
      </c>
      <c r="I699" s="14">
        <f t="shared" si="166"/>
        <v>3.307749030426562</v>
      </c>
      <c r="J699" s="14">
        <f t="shared" si="175"/>
        <v>-14.519410561532029</v>
      </c>
      <c r="K699" s="14">
        <f t="shared" si="167"/>
        <v>-77.166157800124765</v>
      </c>
      <c r="L699" s="14">
        <f t="shared" si="168"/>
        <v>14.891423259803465</v>
      </c>
      <c r="M699" s="14">
        <f t="shared" si="177"/>
        <v>17.306585567480067</v>
      </c>
      <c r="N699" s="14">
        <f t="shared" si="169"/>
        <v>-10.726062790966115</v>
      </c>
      <c r="O699" s="14">
        <f t="shared" si="176"/>
        <v>0</v>
      </c>
      <c r="P699" s="14">
        <f t="shared" si="170"/>
        <v>0</v>
      </c>
    </row>
    <row r="700" spans="1:16" x14ac:dyDescent="0.25">
      <c r="A700" s="14">
        <f t="shared" si="162"/>
        <v>3.3799999999999502</v>
      </c>
      <c r="B700" s="14">
        <f t="shared" si="171"/>
        <v>30.649363039231201</v>
      </c>
      <c r="C700" s="14">
        <f t="shared" si="172"/>
        <v>-5.5409140857503516</v>
      </c>
      <c r="D700" s="14">
        <f t="shared" si="173"/>
        <v>0</v>
      </c>
      <c r="E700" s="14">
        <f t="shared" si="163"/>
        <v>0</v>
      </c>
      <c r="F700" s="14">
        <f t="shared" si="174"/>
        <v>-6.8743890877810863</v>
      </c>
      <c r="G700" s="14">
        <f t="shared" si="164"/>
        <v>-1.52696981632788</v>
      </c>
      <c r="H700" s="14">
        <f t="shared" si="165"/>
        <v>6.7026553327936593</v>
      </c>
      <c r="I700" s="14">
        <f t="shared" si="166"/>
        <v>3.3001141813449224</v>
      </c>
      <c r="J700" s="14">
        <f t="shared" si="175"/>
        <v>-14.534897284868061</v>
      </c>
      <c r="K700" s="14">
        <f t="shared" si="167"/>
        <v>-77.207997449127561</v>
      </c>
      <c r="L700" s="14">
        <f t="shared" si="168"/>
        <v>14.904831186282479</v>
      </c>
      <c r="M700" s="14">
        <f t="shared" si="177"/>
        <v>17.306585567480067</v>
      </c>
      <c r="N700" s="14">
        <f t="shared" si="169"/>
        <v>-10.798737277390455</v>
      </c>
      <c r="O700" s="14">
        <f t="shared" si="176"/>
        <v>0</v>
      </c>
      <c r="P700" s="14">
        <f t="shared" si="170"/>
        <v>0</v>
      </c>
    </row>
    <row r="701" spans="1:16" x14ac:dyDescent="0.25">
      <c r="A701" s="14">
        <f t="shared" si="162"/>
        <v>3.38499999999995</v>
      </c>
      <c r="B701" s="14">
        <f t="shared" si="171"/>
        <v>30.649363039231201</v>
      </c>
      <c r="C701" s="14">
        <f t="shared" si="172"/>
        <v>-5.6320432042203947</v>
      </c>
      <c r="D701" s="14">
        <f t="shared" si="173"/>
        <v>0</v>
      </c>
      <c r="E701" s="14">
        <f t="shared" si="163"/>
        <v>0</v>
      </c>
      <c r="F701" s="14">
        <f t="shared" si="174"/>
        <v>-6.886773773438942</v>
      </c>
      <c r="G701" s="14">
        <f t="shared" si="164"/>
        <v>-1.5248169878204887</v>
      </c>
      <c r="H701" s="14">
        <f t="shared" si="165"/>
        <v>6.7158459005683335</v>
      </c>
      <c r="I701" s="14">
        <f t="shared" si="166"/>
        <v>3.2924900964058201</v>
      </c>
      <c r="J701" s="14">
        <f t="shared" si="175"/>
        <v>-14.550318055365219</v>
      </c>
      <c r="K701" s="14">
        <f t="shared" si="167"/>
        <v>-77.249665641858343</v>
      </c>
      <c r="L701" s="14">
        <f t="shared" si="168"/>
        <v>14.9181850956213</v>
      </c>
      <c r="M701" s="14">
        <f t="shared" si="177"/>
        <v>17.306585567480067</v>
      </c>
      <c r="N701" s="14">
        <f t="shared" si="169"/>
        <v>-10.871488867667281</v>
      </c>
      <c r="O701" s="14">
        <f t="shared" si="176"/>
        <v>0</v>
      </c>
      <c r="P701" s="14">
        <f t="shared" si="170"/>
        <v>0</v>
      </c>
    </row>
    <row r="702" spans="1:16" x14ac:dyDescent="0.25">
      <c r="A702" s="14">
        <f t="shared" si="162"/>
        <v>3.3899999999999499</v>
      </c>
      <c r="B702" s="14">
        <f t="shared" si="171"/>
        <v>30.649363039231201</v>
      </c>
      <c r="C702" s="14">
        <f t="shared" si="172"/>
        <v>-5.7234173226904446</v>
      </c>
      <c r="D702" s="14">
        <f t="shared" si="173"/>
        <v>0</v>
      </c>
      <c r="E702" s="14">
        <f t="shared" si="163"/>
        <v>0</v>
      </c>
      <c r="F702" s="14">
        <f t="shared" si="174"/>
        <v>-6.8991196429637434</v>
      </c>
      <c r="G702" s="14">
        <f t="shared" si="164"/>
        <v>-1.5226572771941429</v>
      </c>
      <c r="H702" s="14">
        <f t="shared" si="165"/>
        <v>6.7289944764530674</v>
      </c>
      <c r="I702" s="14">
        <f t="shared" si="166"/>
        <v>3.2848768100198495</v>
      </c>
      <c r="J702" s="14">
        <f t="shared" si="175"/>
        <v>-14.565673082982954</v>
      </c>
      <c r="K702" s="14">
        <f t="shared" si="167"/>
        <v>-77.291163361328358</v>
      </c>
      <c r="L702" s="14">
        <f t="shared" si="168"/>
        <v>14.931485124304961</v>
      </c>
      <c r="M702" s="14">
        <f t="shared" si="177"/>
        <v>17.306585567480067</v>
      </c>
      <c r="N702" s="14">
        <f t="shared" si="169"/>
        <v>-10.944317233082197</v>
      </c>
      <c r="O702" s="14">
        <f t="shared" si="176"/>
        <v>0</v>
      </c>
      <c r="P702" s="14">
        <f t="shared" si="170"/>
        <v>0</v>
      </c>
    </row>
    <row r="703" spans="1:16" x14ac:dyDescent="0.25">
      <c r="A703" s="14">
        <f t="shared" si="162"/>
        <v>3.3949999999999498</v>
      </c>
      <c r="B703" s="14">
        <f t="shared" si="171"/>
        <v>30.649363039231201</v>
      </c>
      <c r="C703" s="14">
        <f t="shared" si="172"/>
        <v>-5.8150364411604798</v>
      </c>
      <c r="D703" s="14">
        <f t="shared" si="173"/>
        <v>0</v>
      </c>
      <c r="E703" s="14">
        <f t="shared" si="163"/>
        <v>0</v>
      </c>
      <c r="F703" s="14">
        <f t="shared" si="174"/>
        <v>-6.911426688537551</v>
      </c>
      <c r="G703" s="14">
        <f t="shared" si="164"/>
        <v>-1.5204907659435576</v>
      </c>
      <c r="H703" s="14">
        <f t="shared" si="165"/>
        <v>6.742101059885524</v>
      </c>
      <c r="I703" s="14">
        <f t="shared" si="166"/>
        <v>3.2772743561901319</v>
      </c>
      <c r="J703" s="14">
        <f t="shared" si="175"/>
        <v>-14.580962577683527</v>
      </c>
      <c r="K703" s="14">
        <f t="shared" si="167"/>
        <v>-77.332491582899195</v>
      </c>
      <c r="L703" s="14">
        <f t="shared" si="168"/>
        <v>14.944731409347874</v>
      </c>
      <c r="M703" s="14">
        <f t="shared" si="177"/>
        <v>17.306585567480067</v>
      </c>
      <c r="N703" s="14">
        <f t="shared" si="169"/>
        <v>-11.017222045970614</v>
      </c>
      <c r="O703" s="14">
        <f t="shared" si="176"/>
        <v>0</v>
      </c>
      <c r="P703" s="14">
        <f t="shared" si="170"/>
        <v>0</v>
      </c>
    </row>
    <row r="704" spans="1:16" x14ac:dyDescent="0.25">
      <c r="A704" s="14">
        <f t="shared" si="162"/>
        <v>3.3999999999999497</v>
      </c>
      <c r="B704" s="14">
        <f t="shared" si="171"/>
        <v>30.649363039231201</v>
      </c>
      <c r="C704" s="14">
        <f t="shared" si="172"/>
        <v>-5.9069005596305217</v>
      </c>
      <c r="D704" s="14">
        <f t="shared" si="173"/>
        <v>0</v>
      </c>
      <c r="E704" s="14">
        <f t="shared" si="163"/>
        <v>0</v>
      </c>
      <c r="F704" s="14">
        <f t="shared" si="174"/>
        <v>-6.9236949038240159</v>
      </c>
      <c r="G704" s="14">
        <f t="shared" si="164"/>
        <v>-1.5183175352481542</v>
      </c>
      <c r="H704" s="14">
        <f t="shared" si="165"/>
        <v>6.7551656518102217</v>
      </c>
      <c r="I704" s="14">
        <f t="shared" si="166"/>
        <v>3.2696827685138912</v>
      </c>
      <c r="J704" s="14">
        <f t="shared" si="175"/>
        <v>-14.596186749424476</v>
      </c>
      <c r="K704" s="14">
        <f t="shared" si="167"/>
        <v>-77.37365127435524</v>
      </c>
      <c r="L704" s="14">
        <f t="shared" si="168"/>
        <v>14.95792408828148</v>
      </c>
      <c r="M704" s="14">
        <f t="shared" si="177"/>
        <v>17.306585567480067</v>
      </c>
      <c r="N704" s="14">
        <f t="shared" si="169"/>
        <v>-11.090202979717736</v>
      </c>
      <c r="O704" s="14">
        <f t="shared" si="176"/>
        <v>0</v>
      </c>
      <c r="P704" s="14">
        <f t="shared" si="170"/>
        <v>0</v>
      </c>
    </row>
    <row r="705" spans="1:16" x14ac:dyDescent="0.25">
      <c r="A705" s="14">
        <f t="shared" ref="A705:A768" si="178">A704+$A$22</f>
        <v>3.4049999999999496</v>
      </c>
      <c r="B705" s="14">
        <f t="shared" si="171"/>
        <v>30.649363039231201</v>
      </c>
      <c r="C705" s="14">
        <f t="shared" si="172"/>
        <v>-5.9990096781005704</v>
      </c>
      <c r="D705" s="14">
        <f t="shared" si="173"/>
        <v>0</v>
      </c>
      <c r="E705" s="14">
        <f t="shared" ref="E705:E768" si="179">IF(AND(C706-C705&lt;0,C705&lt;$B$18),0,1)</f>
        <v>0</v>
      </c>
      <c r="F705" s="14">
        <f t="shared" si="174"/>
        <v>-6.9359242839545319</v>
      </c>
      <c r="G705" s="14">
        <f t="shared" ref="G705:G768" si="180">$F705*COS(PI()/180*$K704)</f>
        <v>-1.5161376659699775</v>
      </c>
      <c r="H705" s="14">
        <f t="shared" ref="H705:H768" si="181">$F705*SIN(PI()/180*$K704)</f>
        <v>6.7681882546644117</v>
      </c>
      <c r="I705" s="14">
        <f t="shared" ref="I705:I768" si="182">I704+G705*$A$22</f>
        <v>3.2621020801840412</v>
      </c>
      <c r="J705" s="14">
        <f t="shared" si="175"/>
        <v>-14.611345808151153</v>
      </c>
      <c r="K705" s="14">
        <f t="shared" ref="K705:K768" si="183">180/PI()*ATAN(J705/I705)</f>
        <v>-77.414643395975531</v>
      </c>
      <c r="L705" s="14">
        <f t="shared" ref="L705:L768" si="184">SQRT(I705^2+J705^2)</f>
        <v>14.971063299142026</v>
      </c>
      <c r="M705" s="14">
        <f t="shared" si="177"/>
        <v>17.306585567480067</v>
      </c>
      <c r="N705" s="14">
        <f t="shared" ref="N705:N768" si="185">N704+J705*$A$22</f>
        <v>-11.163259708758492</v>
      </c>
      <c r="O705" s="14">
        <f t="shared" si="176"/>
        <v>0</v>
      </c>
      <c r="P705" s="14">
        <f t="shared" ref="P705:P768" si="186">IF(AND(N706-N705&lt;0,N705&lt;$B$18),0,1)</f>
        <v>0</v>
      </c>
    </row>
    <row r="706" spans="1:16" x14ac:dyDescent="0.25">
      <c r="A706" s="14">
        <f t="shared" si="178"/>
        <v>3.4099999999999495</v>
      </c>
      <c r="B706" s="14">
        <f t="shared" si="171"/>
        <v>30.649363039231201</v>
      </c>
      <c r="C706" s="14">
        <f t="shared" si="172"/>
        <v>-6.0913637965706044</v>
      </c>
      <c r="D706" s="14">
        <f t="shared" si="173"/>
        <v>0</v>
      </c>
      <c r="E706" s="14">
        <f t="shared" si="179"/>
        <v>0</v>
      </c>
      <c r="F706" s="14">
        <f t="shared" si="174"/>
        <v>-6.9481148255144367</v>
      </c>
      <c r="G706" s="14">
        <f t="shared" si="180"/>
        <v>-1.5139512386516423</v>
      </c>
      <c r="H706" s="14">
        <f t="shared" si="181"/>
        <v>6.7811688723640167</v>
      </c>
      <c r="I706" s="14">
        <f t="shared" si="182"/>
        <v>3.2545323239907828</v>
      </c>
      <c r="J706" s="14">
        <f t="shared" si="175"/>
        <v>-14.626439963789332</v>
      </c>
      <c r="K706" s="14">
        <f t="shared" si="183"/>
        <v>-77.455468900604728</v>
      </c>
      <c r="L706" s="14">
        <f t="shared" si="184"/>
        <v>14.984149180458479</v>
      </c>
      <c r="M706" s="14">
        <f t="shared" si="177"/>
        <v>17.306585567480067</v>
      </c>
      <c r="N706" s="14">
        <f t="shared" si="185"/>
        <v>-11.236391908577438</v>
      </c>
      <c r="O706" s="14">
        <f t="shared" si="176"/>
        <v>0</v>
      </c>
      <c r="P706" s="14">
        <f t="shared" si="186"/>
        <v>0</v>
      </c>
    </row>
    <row r="707" spans="1:16" x14ac:dyDescent="0.25">
      <c r="A707" s="14">
        <f t="shared" si="178"/>
        <v>3.4149999999999494</v>
      </c>
      <c r="B707" s="14">
        <f t="shared" si="171"/>
        <v>30.649363039231201</v>
      </c>
      <c r="C707" s="14">
        <f t="shared" si="172"/>
        <v>-6.1839629150406452</v>
      </c>
      <c r="D707" s="14">
        <f t="shared" si="173"/>
        <v>0</v>
      </c>
      <c r="E707" s="14">
        <f t="shared" si="179"/>
        <v>0</v>
      </c>
      <c r="F707" s="14">
        <f t="shared" si="174"/>
        <v>-6.9602665265292698</v>
      </c>
      <c r="G707" s="14">
        <f t="shared" si="180"/>
        <v>-1.5117583335143649</v>
      </c>
      <c r="H707" s="14">
        <f t="shared" si="181"/>
        <v>6.7941075102896109</v>
      </c>
      <c r="I707" s="14">
        <f t="shared" si="182"/>
        <v>3.246973532323211</v>
      </c>
      <c r="J707" s="14">
        <f t="shared" si="175"/>
        <v>-14.641469426237885</v>
      </c>
      <c r="K707" s="14">
        <f t="shared" si="183"/>
        <v>-77.49612873372341</v>
      </c>
      <c r="L707" s="14">
        <f t="shared" si="184"/>
        <v>14.997181871240549</v>
      </c>
      <c r="M707" s="14">
        <f t="shared" si="177"/>
        <v>17.306585567480067</v>
      </c>
      <c r="N707" s="14">
        <f t="shared" si="185"/>
        <v>-11.309599255708628</v>
      </c>
      <c r="O707" s="14">
        <f t="shared" si="176"/>
        <v>0</v>
      </c>
      <c r="P707" s="14">
        <f t="shared" si="186"/>
        <v>0</v>
      </c>
    </row>
    <row r="708" spans="1:16" x14ac:dyDescent="0.25">
      <c r="A708" s="14">
        <f t="shared" si="178"/>
        <v>3.4199999999999493</v>
      </c>
      <c r="B708" s="14">
        <f t="shared" si="171"/>
        <v>30.649363039231201</v>
      </c>
      <c r="C708" s="14">
        <f t="shared" si="172"/>
        <v>-6.2768070335106856</v>
      </c>
      <c r="D708" s="14">
        <f t="shared" si="173"/>
        <v>0</v>
      </c>
      <c r="E708" s="14">
        <f t="shared" si="179"/>
        <v>0</v>
      </c>
      <c r="F708" s="14">
        <f t="shared" si="174"/>
        <v>-6.9723793864510517</v>
      </c>
      <c r="G708" s="14">
        <f t="shared" si="180"/>
        <v>-1.5095590304560225</v>
      </c>
      <c r="H708" s="14">
        <f t="shared" si="181"/>
        <v>6.8070041752724251</v>
      </c>
      <c r="I708" s="14">
        <f t="shared" si="182"/>
        <v>3.2394257371709307</v>
      </c>
      <c r="J708" s="14">
        <f t="shared" si="175"/>
        <v>-14.656434405361523</v>
      </c>
      <c r="K708" s="14">
        <f t="shared" si="183"/>
        <v>-77.536623833517595</v>
      </c>
      <c r="L708" s="14">
        <f t="shared" si="184"/>
        <v>15.010161510966844</v>
      </c>
      <c r="M708" s="14">
        <f t="shared" si="177"/>
        <v>17.306585567480067</v>
      </c>
      <c r="N708" s="14">
        <f t="shared" si="185"/>
        <v>-11.382881427735436</v>
      </c>
      <c r="O708" s="14">
        <f t="shared" si="176"/>
        <v>0</v>
      </c>
      <c r="P708" s="14">
        <f t="shared" si="186"/>
        <v>0</v>
      </c>
    </row>
    <row r="709" spans="1:16" x14ac:dyDescent="0.25">
      <c r="A709" s="14">
        <f t="shared" si="178"/>
        <v>3.4249999999999492</v>
      </c>
      <c r="B709" s="14">
        <f t="shared" si="171"/>
        <v>30.649363039231201</v>
      </c>
      <c r="C709" s="14">
        <f t="shared" si="172"/>
        <v>-6.3698961519807327</v>
      </c>
      <c r="D709" s="14">
        <f t="shared" si="173"/>
        <v>0</v>
      </c>
      <c r="E709" s="14">
        <f t="shared" si="179"/>
        <v>0</v>
      </c>
      <c r="F709" s="14">
        <f t="shared" si="174"/>
        <v>-6.984453406144624</v>
      </c>
      <c r="G709" s="14">
        <f t="shared" si="180"/>
        <v>-1.5073534090492737</v>
      </c>
      <c r="H709" s="14">
        <f t="shared" si="181"/>
        <v>6.819858875580401</v>
      </c>
      <c r="I709" s="14">
        <f t="shared" si="182"/>
        <v>3.2318889701256843</v>
      </c>
      <c r="J709" s="14">
        <f t="shared" si="175"/>
        <v>-14.671335110983621</v>
      </c>
      <c r="K709" s="14">
        <f t="shared" si="183"/>
        <v>-77.576955130947439</v>
      </c>
      <c r="L709" s="14">
        <f t="shared" si="184"/>
        <v>15.023088239573141</v>
      </c>
      <c r="M709" s="14">
        <f t="shared" si="177"/>
        <v>17.306585567480067</v>
      </c>
      <c r="N709" s="14">
        <f t="shared" si="185"/>
        <v>-11.456238103290353</v>
      </c>
      <c r="O709" s="14">
        <f t="shared" si="176"/>
        <v>0</v>
      </c>
      <c r="P709" s="14">
        <f t="shared" si="186"/>
        <v>0</v>
      </c>
    </row>
    <row r="710" spans="1:16" x14ac:dyDescent="0.25">
      <c r="A710" s="14">
        <f t="shared" si="178"/>
        <v>3.4299999999999491</v>
      </c>
      <c r="B710" s="14">
        <f t="shared" si="171"/>
        <v>30.649363039231201</v>
      </c>
      <c r="C710" s="14">
        <f t="shared" si="172"/>
        <v>-6.4632302704507723</v>
      </c>
      <c r="D710" s="14">
        <f t="shared" si="173"/>
        <v>0</v>
      </c>
      <c r="E710" s="14">
        <f t="shared" si="179"/>
        <v>0</v>
      </c>
      <c r="F710" s="14">
        <f t="shared" si="174"/>
        <v>-6.9964885878740253</v>
      </c>
      <c r="G710" s="14">
        <f t="shared" si="180"/>
        <v>-1.5051415485397406</v>
      </c>
      <c r="H710" s="14">
        <f t="shared" si="181"/>
        <v>6.8326716209042901</v>
      </c>
      <c r="I710" s="14">
        <f t="shared" si="182"/>
        <v>3.2243632623829854</v>
      </c>
      <c r="J710" s="14">
        <f t="shared" si="175"/>
        <v>-14.686171752879099</v>
      </c>
      <c r="K710" s="14">
        <f t="shared" si="183"/>
        <v>-77.61712354981529</v>
      </c>
      <c r="L710" s="14">
        <f t="shared" si="184"/>
        <v>15.035962197440808</v>
      </c>
      <c r="M710" s="14">
        <f t="shared" si="177"/>
        <v>17.306585567480067</v>
      </c>
      <c r="N710" s="14">
        <f t="shared" si="185"/>
        <v>-11.529668962054748</v>
      </c>
      <c r="O710" s="14">
        <f t="shared" si="176"/>
        <v>0</v>
      </c>
      <c r="P710" s="14">
        <f t="shared" si="186"/>
        <v>0</v>
      </c>
    </row>
    <row r="711" spans="1:16" x14ac:dyDescent="0.25">
      <c r="A711" s="14">
        <f t="shared" si="178"/>
        <v>3.434999999999949</v>
      </c>
      <c r="B711" s="14">
        <f t="shared" si="171"/>
        <v>30.649363039231201</v>
      </c>
      <c r="C711" s="14">
        <f t="shared" si="172"/>
        <v>-6.5568093889208185</v>
      </c>
      <c r="D711" s="14">
        <f t="shared" si="173"/>
        <v>0</v>
      </c>
      <c r="E711" s="14">
        <f t="shared" si="179"/>
        <v>0</v>
      </c>
      <c r="F711" s="14">
        <f t="shared" si="174"/>
        <v>-7.0084849352889398</v>
      </c>
      <c r="G711" s="14">
        <f t="shared" si="180"/>
        <v>-1.5029235278442317</v>
      </c>
      <c r="H711" s="14">
        <f t="shared" si="181"/>
        <v>6.8454424223438082</v>
      </c>
      <c r="I711" s="14">
        <f t="shared" si="182"/>
        <v>3.2168486447437643</v>
      </c>
      <c r="J711" s="14">
        <f t="shared" si="175"/>
        <v>-14.700944540767381</v>
      </c>
      <c r="K711" s="14">
        <f t="shared" si="183"/>
        <v>-77.657130006833057</v>
      </c>
      <c r="L711" s="14">
        <f t="shared" si="184"/>
        <v>15.0487835253853</v>
      </c>
      <c r="M711" s="14">
        <f t="shared" si="177"/>
        <v>17.306585567480067</v>
      </c>
      <c r="N711" s="14">
        <f t="shared" si="185"/>
        <v>-11.603173684758584</v>
      </c>
      <c r="O711" s="14">
        <f t="shared" si="176"/>
        <v>0</v>
      </c>
      <c r="P711" s="14">
        <f t="shared" si="186"/>
        <v>0</v>
      </c>
    </row>
    <row r="712" spans="1:16" x14ac:dyDescent="0.25">
      <c r="A712" s="14">
        <f t="shared" si="178"/>
        <v>3.4399999999999489</v>
      </c>
      <c r="B712" s="14">
        <f t="shared" si="171"/>
        <v>30.649363039231201</v>
      </c>
      <c r="C712" s="14">
        <f t="shared" si="172"/>
        <v>-6.6506335073908645</v>
      </c>
      <c r="D712" s="14">
        <f t="shared" si="173"/>
        <v>0</v>
      </c>
      <c r="E712" s="14">
        <f t="shared" si="179"/>
        <v>0</v>
      </c>
      <c r="F712" s="14">
        <f t="shared" si="174"/>
        <v>-7.0204424534111487</v>
      </c>
      <c r="G712" s="14">
        <f t="shared" si="180"/>
        <v>-1.5006994255490171</v>
      </c>
      <c r="H712" s="14">
        <f t="shared" si="181"/>
        <v>6.8581712923937967</v>
      </c>
      <c r="I712" s="14">
        <f t="shared" si="182"/>
        <v>3.2093451476160193</v>
      </c>
      <c r="J712" s="14">
        <f t="shared" si="175"/>
        <v>-14.715653684305412</v>
      </c>
      <c r="K712" s="14">
        <f t="shared" si="183"/>
        <v>-77.696975411688726</v>
      </c>
      <c r="L712" s="14">
        <f t="shared" si="184"/>
        <v>15.061552364644818</v>
      </c>
      <c r="M712" s="14">
        <f t="shared" si="177"/>
        <v>17.306585567480067</v>
      </c>
      <c r="N712" s="14">
        <f t="shared" si="185"/>
        <v>-11.67675195318011</v>
      </c>
      <c r="O712" s="14">
        <f t="shared" si="176"/>
        <v>0</v>
      </c>
      <c r="P712" s="14">
        <f t="shared" si="186"/>
        <v>0</v>
      </c>
    </row>
    <row r="713" spans="1:16" x14ac:dyDescent="0.25">
      <c r="A713" s="14">
        <f t="shared" si="178"/>
        <v>3.4449999999999488</v>
      </c>
      <c r="B713" s="14">
        <f t="shared" si="171"/>
        <v>30.649363039231201</v>
      </c>
      <c r="C713" s="14">
        <f t="shared" si="172"/>
        <v>-6.7447026258608958</v>
      </c>
      <c r="D713" s="14">
        <f t="shared" si="173"/>
        <v>0</v>
      </c>
      <c r="E713" s="14">
        <f t="shared" si="179"/>
        <v>0</v>
      </c>
      <c r="F713" s="14">
        <f t="shared" si="174"/>
        <v>-7.0323611486210753</v>
      </c>
      <c r="G713" s="14">
        <f t="shared" si="180"/>
        <v>-1.4984693199081596</v>
      </c>
      <c r="H713" s="14">
        <f t="shared" si="181"/>
        <v>6.870858244930476</v>
      </c>
      <c r="I713" s="14">
        <f t="shared" si="182"/>
        <v>3.2018528010164786</v>
      </c>
      <c r="J713" s="14">
        <f t="shared" si="175"/>
        <v>-14.73029939308076</v>
      </c>
      <c r="K713" s="14">
        <f t="shared" si="183"/>
        <v>-77.736660667112304</v>
      </c>
      <c r="L713" s="14">
        <f t="shared" si="184"/>
        <v>15.074268856869061</v>
      </c>
      <c r="M713" s="14">
        <f t="shared" si="177"/>
        <v>17.306585567480067</v>
      </c>
      <c r="N713" s="14">
        <f t="shared" si="185"/>
        <v>-11.750403450145514</v>
      </c>
      <c r="O713" s="14">
        <f t="shared" si="176"/>
        <v>0</v>
      </c>
      <c r="P713" s="14">
        <f t="shared" si="186"/>
        <v>0</v>
      </c>
    </row>
    <row r="714" spans="1:16" x14ac:dyDescent="0.25">
      <c r="A714" s="14">
        <f t="shared" si="178"/>
        <v>3.4499999999999487</v>
      </c>
      <c r="B714" s="14">
        <f t="shared" si="171"/>
        <v>30.649363039231201</v>
      </c>
      <c r="C714" s="14">
        <f t="shared" si="172"/>
        <v>-6.8390167443309409</v>
      </c>
      <c r="D714" s="14">
        <f t="shared" si="173"/>
        <v>0</v>
      </c>
      <c r="E714" s="14">
        <f t="shared" si="179"/>
        <v>0</v>
      </c>
      <c r="F714" s="14">
        <f t="shared" si="174"/>
        <v>-7.044241028644346</v>
      </c>
      <c r="G714" s="14">
        <f t="shared" si="180"/>
        <v>-1.4962332888418903</v>
      </c>
      <c r="H714" s="14">
        <f t="shared" si="181"/>
        <v>6.8835032951977109</v>
      </c>
      <c r="I714" s="14">
        <f t="shared" si="182"/>
        <v>3.1943716345722692</v>
      </c>
      <c r="J714" s="14">
        <f t="shared" si="175"/>
        <v>-14.74488187660477</v>
      </c>
      <c r="K714" s="14">
        <f t="shared" si="183"/>
        <v>-77.776186668940937</v>
      </c>
      <c r="L714" s="14">
        <f t="shared" si="184"/>
        <v>15.086933144108107</v>
      </c>
      <c r="M714" s="14">
        <f t="shared" si="177"/>
        <v>17.306585567480067</v>
      </c>
      <c r="N714" s="14">
        <f t="shared" si="185"/>
        <v>-11.824127859528538</v>
      </c>
      <c r="O714" s="14">
        <f t="shared" si="176"/>
        <v>0</v>
      </c>
      <c r="P714" s="14">
        <f t="shared" si="186"/>
        <v>0</v>
      </c>
    </row>
    <row r="715" spans="1:16" x14ac:dyDescent="0.25">
      <c r="A715" s="14">
        <f t="shared" si="178"/>
        <v>3.4549999999999486</v>
      </c>
      <c r="B715" s="14">
        <f t="shared" si="171"/>
        <v>30.649363039231201</v>
      </c>
      <c r="C715" s="14">
        <f t="shared" si="172"/>
        <v>-6.9335758628009856</v>
      </c>
      <c r="D715" s="14">
        <f t="shared" si="173"/>
        <v>0</v>
      </c>
      <c r="E715" s="14">
        <f t="shared" si="179"/>
        <v>0</v>
      </c>
      <c r="F715" s="14">
        <f t="shared" si="174"/>
        <v>-7.0560821025384195</v>
      </c>
      <c r="G715" s="14">
        <f t="shared" si="180"/>
        <v>-1.49399140993504</v>
      </c>
      <c r="H715" s="14">
        <f t="shared" si="181"/>
        <v>6.8961064597933319</v>
      </c>
      <c r="I715" s="14">
        <f t="shared" si="182"/>
        <v>3.1869016775225942</v>
      </c>
      <c r="J715" s="14">
        <f t="shared" si="175"/>
        <v>-14.759401344305804</v>
      </c>
      <c r="K715" s="14">
        <f t="shared" si="183"/>
        <v>-77.815554306183444</v>
      </c>
      <c r="L715" s="14">
        <f t="shared" si="184"/>
        <v>15.099545368801417</v>
      </c>
      <c r="M715" s="14">
        <f t="shared" si="177"/>
        <v>17.306585567480067</v>
      </c>
      <c r="N715" s="14">
        <f t="shared" si="185"/>
        <v>-11.897924866250067</v>
      </c>
      <c r="O715" s="14">
        <f t="shared" si="176"/>
        <v>0</v>
      </c>
      <c r="P715" s="14">
        <f t="shared" si="186"/>
        <v>0</v>
      </c>
    </row>
    <row r="716" spans="1:16" x14ac:dyDescent="0.25">
      <c r="A716" s="14">
        <f t="shared" si="178"/>
        <v>3.4599999999999485</v>
      </c>
      <c r="B716" s="14">
        <f t="shared" si="171"/>
        <v>30.649363039231201</v>
      </c>
      <c r="C716" s="14">
        <f t="shared" si="172"/>
        <v>-7.0283799812710299</v>
      </c>
      <c r="D716" s="14">
        <f t="shared" si="173"/>
        <v>0</v>
      </c>
      <c r="E716" s="14">
        <f t="shared" si="179"/>
        <v>0</v>
      </c>
      <c r="F716" s="14">
        <f t="shared" si="174"/>
        <v>-7.0678843806792626</v>
      </c>
      <c r="G716" s="14">
        <f t="shared" si="180"/>
        <v>-1.4917437604355144</v>
      </c>
      <c r="H716" s="14">
        <f t="shared" si="181"/>
        <v>6.9086677566555181</v>
      </c>
      <c r="I716" s="14">
        <f t="shared" si="182"/>
        <v>3.1794429587204167</v>
      </c>
      <c r="J716" s="14">
        <f t="shared" si="175"/>
        <v>-14.773858005522527</v>
      </c>
      <c r="K716" s="14">
        <f t="shared" si="183"/>
        <v>-77.854764461084159</v>
      </c>
      <c r="L716" s="14">
        <f t="shared" si="184"/>
        <v>15.112105673766939</v>
      </c>
      <c r="M716" s="14">
        <f t="shared" si="177"/>
        <v>17.306585567480067</v>
      </c>
      <c r="N716" s="14">
        <f t="shared" si="185"/>
        <v>-11.97179415627768</v>
      </c>
      <c r="O716" s="14">
        <f t="shared" si="176"/>
        <v>0</v>
      </c>
      <c r="P716" s="14">
        <f t="shared" si="186"/>
        <v>0</v>
      </c>
    </row>
    <row r="717" spans="1:16" x14ac:dyDescent="0.25">
      <c r="A717" s="14">
        <f t="shared" si="178"/>
        <v>3.4649999999999483</v>
      </c>
      <c r="B717" s="14">
        <f t="shared" si="171"/>
        <v>30.649363039231201</v>
      </c>
      <c r="C717" s="14">
        <f t="shared" si="172"/>
        <v>-7.1234290997410596</v>
      </c>
      <c r="D717" s="14">
        <f t="shared" si="173"/>
        <v>0</v>
      </c>
      <c r="E717" s="14">
        <f t="shared" si="179"/>
        <v>0</v>
      </c>
      <c r="F717" s="14">
        <f t="shared" si="174"/>
        <v>-7.0796478747480656</v>
      </c>
      <c r="G717" s="14">
        <f t="shared" si="180"/>
        <v>-1.4894904172528107</v>
      </c>
      <c r="H717" s="14">
        <f t="shared" si="181"/>
        <v>6.9211872050492067</v>
      </c>
      <c r="I717" s="14">
        <f t="shared" si="182"/>
        <v>3.1719955066341528</v>
      </c>
      <c r="J717" s="14">
        <f t="shared" si="175"/>
        <v>-14.788252069497281</v>
      </c>
      <c r="K717" s="14">
        <f t="shared" si="183"/>
        <v>-77.893818009185964</v>
      </c>
      <c r="L717" s="14">
        <f t="shared" si="184"/>
        <v>15.124614202190346</v>
      </c>
      <c r="M717" s="14">
        <f t="shared" si="177"/>
        <v>17.306585567480067</v>
      </c>
      <c r="N717" s="14">
        <f t="shared" si="185"/>
        <v>-12.045735416625167</v>
      </c>
      <c r="O717" s="14">
        <f t="shared" si="176"/>
        <v>0</v>
      </c>
      <c r="P717" s="14">
        <f t="shared" si="186"/>
        <v>0</v>
      </c>
    </row>
    <row r="718" spans="1:16" x14ac:dyDescent="0.25">
      <c r="A718" s="14">
        <f t="shared" si="178"/>
        <v>3.4699999999999482</v>
      </c>
      <c r="B718" s="14">
        <f t="shared" si="171"/>
        <v>30.649363039231201</v>
      </c>
      <c r="C718" s="14">
        <f t="shared" si="172"/>
        <v>-7.2187232182111032</v>
      </c>
      <c r="D718" s="14">
        <f t="shared" si="173"/>
        <v>0</v>
      </c>
      <c r="E718" s="14">
        <f t="shared" si="179"/>
        <v>0</v>
      </c>
      <c r="F718" s="14">
        <f t="shared" si="174"/>
        <v>-7.0913725977180357</v>
      </c>
      <c r="G718" s="14">
        <f t="shared" si="180"/>
        <v>-1.4872314569566087</v>
      </c>
      <c r="H718" s="14">
        <f t="shared" si="181"/>
        <v>6.9336648255525706</v>
      </c>
      <c r="I718" s="14">
        <f t="shared" si="182"/>
        <v>3.1645593493493696</v>
      </c>
      <c r="J718" s="14">
        <f t="shared" si="175"/>
        <v>-14.802583745369517</v>
      </c>
      <c r="K718" s="14">
        <f t="shared" si="183"/>
        <v>-77.93271581939284</v>
      </c>
      <c r="L718" s="14">
        <f t="shared" si="184"/>
        <v>15.137071097614372</v>
      </c>
      <c r="M718" s="14">
        <f t="shared" si="177"/>
        <v>17.306585567480067</v>
      </c>
      <c r="N718" s="14">
        <f t="shared" si="185"/>
        <v>-12.119748335352014</v>
      </c>
      <c r="O718" s="14">
        <f t="shared" si="176"/>
        <v>0</v>
      </c>
      <c r="P718" s="14">
        <f t="shared" si="186"/>
        <v>0</v>
      </c>
    </row>
    <row r="719" spans="1:16" x14ac:dyDescent="0.25">
      <c r="A719" s="14">
        <f t="shared" si="178"/>
        <v>3.4749999999999481</v>
      </c>
      <c r="B719" s="14">
        <f t="shared" si="171"/>
        <v>30.649363039231201</v>
      </c>
      <c r="C719" s="14">
        <f t="shared" si="172"/>
        <v>-7.3142623366811534</v>
      </c>
      <c r="D719" s="14">
        <f t="shared" si="173"/>
        <v>0</v>
      </c>
      <c r="E719" s="14">
        <f t="shared" si="179"/>
        <v>0</v>
      </c>
      <c r="F719" s="14">
        <f t="shared" si="174"/>
        <v>-7.1030585638412038</v>
      </c>
      <c r="G719" s="14">
        <f t="shared" si="180"/>
        <v>-1.4849669557753717</v>
      </c>
      <c r="H719" s="14">
        <f t="shared" si="181"/>
        <v>6.946100640043527</v>
      </c>
      <c r="I719" s="14">
        <f t="shared" si="182"/>
        <v>3.1571345145704925</v>
      </c>
      <c r="J719" s="14">
        <f t="shared" si="175"/>
        <v>-14.8168532421693</v>
      </c>
      <c r="K719" s="14">
        <f t="shared" si="183"/>
        <v>-77.97145875403163</v>
      </c>
      <c r="L719" s="14">
        <f t="shared" si="184"/>
        <v>15.149476503928284</v>
      </c>
      <c r="M719" s="14">
        <f t="shared" si="177"/>
        <v>17.306585567480067</v>
      </c>
      <c r="N719" s="14">
        <f t="shared" si="185"/>
        <v>-12.19383260156286</v>
      </c>
      <c r="O719" s="14">
        <f t="shared" si="176"/>
        <v>0</v>
      </c>
      <c r="P719" s="14">
        <f t="shared" si="186"/>
        <v>0</v>
      </c>
    </row>
    <row r="720" spans="1:16" x14ac:dyDescent="0.25">
      <c r="A720" s="14">
        <f t="shared" si="178"/>
        <v>3.479999999999948</v>
      </c>
      <c r="B720" s="14">
        <f t="shared" si="171"/>
        <v>30.649363039231201</v>
      </c>
      <c r="C720" s="14">
        <f t="shared" si="172"/>
        <v>-7.4100464551511891</v>
      </c>
      <c r="D720" s="14">
        <f t="shared" si="173"/>
        <v>0</v>
      </c>
      <c r="E720" s="14">
        <f t="shared" si="179"/>
        <v>0</v>
      </c>
      <c r="F720" s="14">
        <f t="shared" si="174"/>
        <v>-7.1147057886353293</v>
      </c>
      <c r="G720" s="14">
        <f t="shared" si="180"/>
        <v>-1.4826969895950284</v>
      </c>
      <c r="H720" s="14">
        <f t="shared" si="181"/>
        <v>6.9584946716863199</v>
      </c>
      <c r="I720" s="14">
        <f t="shared" si="182"/>
        <v>3.1497210296225173</v>
      </c>
      <c r="J720" s="14">
        <f t="shared" si="175"/>
        <v>-14.831060768810868</v>
      </c>
      <c r="K720" s="14">
        <f t="shared" si="183"/>
        <v>-78.010047668913202</v>
      </c>
      <c r="L720" s="14">
        <f t="shared" si="184"/>
        <v>15.161830565357441</v>
      </c>
      <c r="M720" s="14">
        <f t="shared" si="177"/>
        <v>17.306585567480067</v>
      </c>
      <c r="N720" s="14">
        <f t="shared" si="185"/>
        <v>-12.267987905406915</v>
      </c>
      <c r="O720" s="14">
        <f t="shared" si="176"/>
        <v>0</v>
      </c>
      <c r="P720" s="14">
        <f t="shared" si="186"/>
        <v>0</v>
      </c>
    </row>
    <row r="721" spans="1:16" x14ac:dyDescent="0.25">
      <c r="A721" s="14">
        <f t="shared" si="178"/>
        <v>3.4849999999999479</v>
      </c>
      <c r="B721" s="14">
        <f t="shared" si="171"/>
        <v>30.649363039231201</v>
      </c>
      <c r="C721" s="14">
        <f t="shared" si="172"/>
        <v>-7.5060755736212315</v>
      </c>
      <c r="D721" s="14">
        <f t="shared" si="173"/>
        <v>0</v>
      </c>
      <c r="E721" s="14">
        <f t="shared" si="179"/>
        <v>0</v>
      </c>
      <c r="F721" s="14">
        <f t="shared" si="174"/>
        <v>-7.1263142888708213</v>
      </c>
      <c r="G721" s="14">
        <f t="shared" si="180"/>
        <v>-1.4804216339576739</v>
      </c>
      <c r="H721" s="14">
        <f t="shared" si="181"/>
        <v>6.9708469449181374</v>
      </c>
      <c r="I721" s="14">
        <f t="shared" si="182"/>
        <v>3.1423189214527287</v>
      </c>
      <c r="J721" s="14">
        <f t="shared" si="175"/>
        <v>-14.845206534086277</v>
      </c>
      <c r="K721" s="14">
        <f t="shared" si="183"/>
        <v>-78.048483413392958</v>
      </c>
      <c r="L721" s="14">
        <f t="shared" si="184"/>
        <v>15.174133426452983</v>
      </c>
      <c r="M721" s="14">
        <f t="shared" si="177"/>
        <v>17.306585567480067</v>
      </c>
      <c r="N721" s="14">
        <f t="shared" si="185"/>
        <v>-12.342213938077347</v>
      </c>
      <c r="O721" s="14">
        <f t="shared" si="176"/>
        <v>0</v>
      </c>
      <c r="P721" s="14">
        <f t="shared" si="186"/>
        <v>0</v>
      </c>
    </row>
    <row r="722" spans="1:16" x14ac:dyDescent="0.25">
      <c r="A722" s="14">
        <f t="shared" si="178"/>
        <v>3.4899999999999478</v>
      </c>
      <c r="B722" s="14">
        <f t="shared" si="171"/>
        <v>30.649363039231201</v>
      </c>
      <c r="C722" s="14">
        <f t="shared" si="172"/>
        <v>-7.6023496920912734</v>
      </c>
      <c r="D722" s="14">
        <f t="shared" si="173"/>
        <v>0</v>
      </c>
      <c r="E722" s="14">
        <f t="shared" si="179"/>
        <v>0</v>
      </c>
      <c r="F722" s="14">
        <f t="shared" si="174"/>
        <v>-7.1378840825577292</v>
      </c>
      <c r="G722" s="14">
        <f t="shared" si="180"/>
        <v>-1.4781409640603378</v>
      </c>
      <c r="H722" s="14">
        <f t="shared" si="181"/>
        <v>6.9831574854357807</v>
      </c>
      <c r="I722" s="14">
        <f t="shared" si="182"/>
        <v>3.134928216632427</v>
      </c>
      <c r="J722" s="14">
        <f t="shared" si="175"/>
        <v>-14.859290746659097</v>
      </c>
      <c r="K722" s="14">
        <f t="shared" si="183"/>
        <v>-78.086766830430662</v>
      </c>
      <c r="L722" s="14">
        <f t="shared" si="184"/>
        <v>15.186385232081625</v>
      </c>
      <c r="M722" s="14">
        <f t="shared" si="177"/>
        <v>17.306585567480067</v>
      </c>
      <c r="N722" s="14">
        <f t="shared" si="185"/>
        <v>-12.416510391810641</v>
      </c>
      <c r="O722" s="14">
        <f t="shared" si="176"/>
        <v>0</v>
      </c>
      <c r="P722" s="14">
        <f t="shared" si="186"/>
        <v>0</v>
      </c>
    </row>
    <row r="723" spans="1:16" x14ac:dyDescent="0.25">
      <c r="A723" s="14">
        <f t="shared" si="178"/>
        <v>3.4949999999999477</v>
      </c>
      <c r="B723" s="14">
        <f t="shared" si="171"/>
        <v>30.649363039231201</v>
      </c>
      <c r="C723" s="14">
        <f t="shared" si="172"/>
        <v>-7.6988688105613221</v>
      </c>
      <c r="D723" s="14">
        <f t="shared" si="173"/>
        <v>0</v>
      </c>
      <c r="E723" s="14">
        <f t="shared" si="179"/>
        <v>0</v>
      </c>
      <c r="F723" s="14">
        <f t="shared" si="174"/>
        <v>-7.1494151889327924</v>
      </c>
      <c r="G723" s="14">
        <f t="shared" si="180"/>
        <v>-1.475855054753783</v>
      </c>
      <c r="H723" s="14">
        <f t="shared" si="181"/>
        <v>6.9954263201823963</v>
      </c>
      <c r="I723" s="14">
        <f t="shared" si="182"/>
        <v>3.1275489413586581</v>
      </c>
      <c r="J723" s="14">
        <f t="shared" si="175"/>
        <v>-14.873313615058185</v>
      </c>
      <c r="K723" s="14">
        <f t="shared" si="183"/>
        <v>-78.124898756649714</v>
      </c>
      <c r="L723" s="14">
        <f t="shared" si="184"/>
        <v>15.198586127415565</v>
      </c>
      <c r="M723" s="14">
        <f t="shared" si="177"/>
        <v>17.306585567480067</v>
      </c>
      <c r="N723" s="14">
        <f t="shared" si="185"/>
        <v>-12.490876959885933</v>
      </c>
      <c r="O723" s="14">
        <f t="shared" si="176"/>
        <v>0</v>
      </c>
      <c r="P723" s="14">
        <f t="shared" si="186"/>
        <v>0</v>
      </c>
    </row>
    <row r="724" spans="1:16" x14ac:dyDescent="0.25">
      <c r="A724" s="14">
        <f t="shared" si="178"/>
        <v>3.4999999999999476</v>
      </c>
      <c r="B724" s="14">
        <f t="shared" si="171"/>
        <v>30.649363039231201</v>
      </c>
      <c r="C724" s="14">
        <f t="shared" si="172"/>
        <v>-7.7956329290313562</v>
      </c>
      <c r="D724" s="14">
        <f t="shared" si="173"/>
        <v>0</v>
      </c>
      <c r="E724" s="14">
        <f t="shared" si="179"/>
        <v>0</v>
      </c>
      <c r="F724" s="14">
        <f t="shared" si="174"/>
        <v>-7.1609076284465347</v>
      </c>
      <c r="G724" s="14">
        <f t="shared" si="180"/>
        <v>-1.4735639805413558</v>
      </c>
      <c r="H724" s="14">
        <f t="shared" si="181"/>
        <v>7.007653477334256</v>
      </c>
      <c r="I724" s="14">
        <f t="shared" si="182"/>
        <v>3.1201811214559512</v>
      </c>
      <c r="J724" s="14">
        <f t="shared" si="175"/>
        <v>-14.887275347671514</v>
      </c>
      <c r="K724" s="14">
        <f t="shared" si="183"/>
        <v>-78.162880022395754</v>
      </c>
      <c r="L724" s="14">
        <f t="shared" si="184"/>
        <v>15.210736257922498</v>
      </c>
      <c r="M724" s="14">
        <f t="shared" si="177"/>
        <v>17.306585567480067</v>
      </c>
      <c r="N724" s="14">
        <f t="shared" si="185"/>
        <v>-12.565313336624291</v>
      </c>
      <c r="O724" s="14">
        <f t="shared" si="176"/>
        <v>0</v>
      </c>
      <c r="P724" s="14">
        <f t="shared" si="186"/>
        <v>0</v>
      </c>
    </row>
    <row r="725" spans="1:16" x14ac:dyDescent="0.25">
      <c r="A725" s="14">
        <f t="shared" si="178"/>
        <v>3.5049999999999475</v>
      </c>
      <c r="B725" s="14">
        <f t="shared" si="171"/>
        <v>30.649363039231201</v>
      </c>
      <c r="C725" s="14">
        <f t="shared" si="172"/>
        <v>-7.892642047501397</v>
      </c>
      <c r="D725" s="14">
        <f t="shared" si="173"/>
        <v>0</v>
      </c>
      <c r="E725" s="14">
        <f t="shared" si="179"/>
        <v>0</v>
      </c>
      <c r="F725" s="14">
        <f t="shared" si="174"/>
        <v>-7.1723614227504227</v>
      </c>
      <c r="G725" s="14">
        <f t="shared" si="180"/>
        <v>-1.4712678155778747</v>
      </c>
      <c r="H725" s="14">
        <f t="shared" si="181"/>
        <v>7.0198389862875894</v>
      </c>
      <c r="I725" s="14">
        <f t="shared" si="182"/>
        <v>3.1128247823780617</v>
      </c>
      <c r="J725" s="14">
        <f t="shared" si="175"/>
        <v>-14.901176152740076</v>
      </c>
      <c r="K725" s="14">
        <f t="shared" si="183"/>
        <v>-78.200711451794646</v>
      </c>
      <c r="L725" s="14">
        <f t="shared" si="184"/>
        <v>15.22283576935574</v>
      </c>
      <c r="M725" s="14">
        <f t="shared" si="177"/>
        <v>17.306585567480067</v>
      </c>
      <c r="N725" s="14">
        <f t="shared" si="185"/>
        <v>-12.639819217387991</v>
      </c>
      <c r="O725" s="14">
        <f t="shared" si="176"/>
        <v>0</v>
      </c>
      <c r="P725" s="14">
        <f t="shared" si="186"/>
        <v>0</v>
      </c>
    </row>
    <row r="726" spans="1:16" x14ac:dyDescent="0.25">
      <c r="A726" s="14">
        <f t="shared" si="178"/>
        <v>3.5099999999999474</v>
      </c>
      <c r="B726" s="14">
        <f t="shared" si="171"/>
        <v>30.649363039231201</v>
      </c>
      <c r="C726" s="14">
        <f t="shared" si="172"/>
        <v>-7.9898961659714445</v>
      </c>
      <c r="D726" s="14">
        <f t="shared" si="173"/>
        <v>0</v>
      </c>
      <c r="E726" s="14">
        <f t="shared" si="179"/>
        <v>0</v>
      </c>
      <c r="F726" s="14">
        <f t="shared" si="174"/>
        <v>-7.1837765946840735</v>
      </c>
      <c r="G726" s="14">
        <f t="shared" si="180"/>
        <v>-1.4689666336685738</v>
      </c>
      <c r="H726" s="14">
        <f t="shared" si="181"/>
        <v>7.0319828776454738</v>
      </c>
      <c r="I726" s="14">
        <f t="shared" si="182"/>
        <v>3.1054799492097187</v>
      </c>
      <c r="J726" s="14">
        <f t="shared" si="175"/>
        <v>-14.915016238351848</v>
      </c>
      <c r="K726" s="14">
        <f t="shared" si="183"/>
        <v>-78.238393862809843</v>
      </c>
      <c r="L726" s="14">
        <f t="shared" si="184"/>
        <v>15.234884807744459</v>
      </c>
      <c r="M726" s="14">
        <f t="shared" si="177"/>
        <v>17.306585567480067</v>
      </c>
      <c r="N726" s="14">
        <f t="shared" si="185"/>
        <v>-12.71439429857975</v>
      </c>
      <c r="O726" s="14">
        <f t="shared" si="176"/>
        <v>0</v>
      </c>
      <c r="P726" s="14">
        <f t="shared" si="186"/>
        <v>0</v>
      </c>
    </row>
    <row r="727" spans="1:16" x14ac:dyDescent="0.25">
      <c r="A727" s="14">
        <f t="shared" si="178"/>
        <v>3.5149999999999473</v>
      </c>
      <c r="B727" s="14">
        <f t="shared" si="171"/>
        <v>30.649363039231201</v>
      </c>
      <c r="C727" s="14">
        <f t="shared" si="172"/>
        <v>-8.0873952844414774</v>
      </c>
      <c r="D727" s="14">
        <f t="shared" si="173"/>
        <v>0</v>
      </c>
      <c r="E727" s="14">
        <f t="shared" si="179"/>
        <v>0</v>
      </c>
      <c r="F727" s="14">
        <f t="shared" si="174"/>
        <v>-7.1951531682625305</v>
      </c>
      <c r="G727" s="14">
        <f t="shared" si="180"/>
        <v>-1.4666605082680755</v>
      </c>
      <c r="H727" s="14">
        <f t="shared" si="181"/>
        <v>7.0440851832047828</v>
      </c>
      <c r="I727" s="14">
        <f t="shared" si="182"/>
        <v>3.0981466466683782</v>
      </c>
      <c r="J727" s="14">
        <f t="shared" si="175"/>
        <v>-14.928795812435824</v>
      </c>
      <c r="K727" s="14">
        <f t="shared" si="183"/>
        <v>-78.275928067299233</v>
      </c>
      <c r="L727" s="14">
        <f t="shared" si="184"/>
        <v>15.246883519384015</v>
      </c>
      <c r="M727" s="14">
        <f t="shared" si="177"/>
        <v>17.306585567480067</v>
      </c>
      <c r="N727" s="14">
        <f t="shared" si="185"/>
        <v>-12.789038277641929</v>
      </c>
      <c r="O727" s="14">
        <f t="shared" si="176"/>
        <v>0</v>
      </c>
      <c r="P727" s="14">
        <f t="shared" si="186"/>
        <v>0</v>
      </c>
    </row>
    <row r="728" spans="1:16" x14ac:dyDescent="0.25">
      <c r="A728" s="14">
        <f t="shared" si="178"/>
        <v>3.5199999999999472</v>
      </c>
      <c r="B728" s="14">
        <f t="shared" ref="B728:B791" si="187">IF(E728=0,B727,$B$19*A728)</f>
        <v>30.649363039231201</v>
      </c>
      <c r="C728" s="14">
        <f t="shared" si="172"/>
        <v>-8.1851394029115241</v>
      </c>
      <c r="D728" s="14">
        <f t="shared" si="173"/>
        <v>0</v>
      </c>
      <c r="E728" s="14">
        <f t="shared" si="179"/>
        <v>0</v>
      </c>
      <c r="F728" s="14">
        <f t="shared" si="174"/>
        <v>-7.2064911686635806</v>
      </c>
      <c r="G728" s="14">
        <f t="shared" si="180"/>
        <v>-1.4643495124794115</v>
      </c>
      <c r="H728" s="14">
        <f t="shared" si="181"/>
        <v>7.0561459359431824</v>
      </c>
      <c r="I728" s="14">
        <f t="shared" si="182"/>
        <v>3.0908248991059812</v>
      </c>
      <c r="J728" s="14">
        <f t="shared" si="175"/>
        <v>-14.942515082756108</v>
      </c>
      <c r="K728" s="14">
        <f t="shared" si="183"/>
        <v>-78.31331487107127</v>
      </c>
      <c r="L728" s="14">
        <f t="shared" si="184"/>
        <v>15.25883205082641</v>
      </c>
      <c r="M728" s="14">
        <f t="shared" si="177"/>
        <v>17.306585567480067</v>
      </c>
      <c r="N728" s="14">
        <f t="shared" si="185"/>
        <v>-12.863750853055709</v>
      </c>
      <c r="O728" s="14">
        <f t="shared" si="176"/>
        <v>0</v>
      </c>
      <c r="P728" s="14">
        <f t="shared" si="186"/>
        <v>0</v>
      </c>
    </row>
    <row r="729" spans="1:16" x14ac:dyDescent="0.25">
      <c r="A729" s="14">
        <f t="shared" si="178"/>
        <v>3.5249999999999471</v>
      </c>
      <c r="B729" s="14">
        <f t="shared" si="187"/>
        <v>30.649363039231201</v>
      </c>
      <c r="C729" s="14">
        <f t="shared" ref="C729:C792" si="188">$B$20*A729+0.5*$B$16*A729^2+$B$17</f>
        <v>-8.2831285213815704</v>
      </c>
      <c r="D729" s="14">
        <f t="shared" ref="D729:D792" si="189">IF(E729=1,C729,$B$18)</f>
        <v>0</v>
      </c>
      <c r="E729" s="14">
        <f t="shared" si="179"/>
        <v>0</v>
      </c>
      <c r="F729" s="14">
        <f t="shared" ref="F729:F792" si="190">-$E$13*L728^2</f>
        <v>-7.217790622215146</v>
      </c>
      <c r="G729" s="14">
        <f t="shared" si="180"/>
        <v>-1.4620337190530897</v>
      </c>
      <c r="H729" s="14">
        <f t="shared" si="181"/>
        <v>7.0681651700061945</v>
      </c>
      <c r="I729" s="14">
        <f t="shared" si="182"/>
        <v>3.083514730510716</v>
      </c>
      <c r="J729" s="14">
        <f t="shared" ref="J729:J792" si="191">J728+(H729+$B$16)*$A$22</f>
        <v>-14.956174256906078</v>
      </c>
      <c r="K729" s="14">
        <f t="shared" si="183"/>
        <v>-78.350555073940555</v>
      </c>
      <c r="L729" s="14">
        <f t="shared" si="184"/>
        <v>15.270730548870825</v>
      </c>
      <c r="M729" s="14">
        <f t="shared" si="177"/>
        <v>17.306585567480067</v>
      </c>
      <c r="N729" s="14">
        <f t="shared" si="185"/>
        <v>-12.93853172434024</v>
      </c>
      <c r="O729" s="14">
        <f t="shared" ref="O729:O792" si="192">IF(P729=1,N729,$B$18)</f>
        <v>0</v>
      </c>
      <c r="P729" s="14">
        <f t="shared" si="186"/>
        <v>0</v>
      </c>
    </row>
    <row r="730" spans="1:16" x14ac:dyDescent="0.25">
      <c r="A730" s="14">
        <f t="shared" si="178"/>
        <v>3.529999999999947</v>
      </c>
      <c r="B730" s="14">
        <f t="shared" si="187"/>
        <v>30.649363039231201</v>
      </c>
      <c r="C730" s="14">
        <f t="shared" si="188"/>
        <v>-8.3813626398516092</v>
      </c>
      <c r="D730" s="14">
        <f t="shared" si="189"/>
        <v>0</v>
      </c>
      <c r="E730" s="14">
        <f t="shared" si="179"/>
        <v>0</v>
      </c>
      <c r="F730" s="14">
        <f t="shared" si="190"/>
        <v>-7.229051556382716</v>
      </c>
      <c r="G730" s="14">
        <f t="shared" si="180"/>
        <v>-1.459713200386199</v>
      </c>
      <c r="H730" s="14">
        <f t="shared" si="181"/>
        <v>7.0801429206943025</v>
      </c>
      <c r="I730" s="14">
        <f t="shared" si="182"/>
        <v>3.0762161645087849</v>
      </c>
      <c r="J730" s="14">
        <f t="shared" si="191"/>
        <v>-14.969773542302606</v>
      </c>
      <c r="K730" s="14">
        <f t="shared" si="183"/>
        <v>-78.387649469782957</v>
      </c>
      <c r="L730" s="14">
        <f t="shared" si="184"/>
        <v>15.28257916055429</v>
      </c>
      <c r="M730" s="14">
        <f t="shared" ref="M730:M793" si="193">IF(P730=0,M729,M729+I730*$A$22)</f>
        <v>17.306585567480067</v>
      </c>
      <c r="N730" s="14">
        <f t="shared" si="185"/>
        <v>-13.013380592051753</v>
      </c>
      <c r="O730" s="14">
        <f t="shared" si="192"/>
        <v>0</v>
      </c>
      <c r="P730" s="14">
        <f t="shared" si="186"/>
        <v>0</v>
      </c>
    </row>
    <row r="731" spans="1:16" x14ac:dyDescent="0.25">
      <c r="A731" s="14">
        <f t="shared" si="178"/>
        <v>3.5349999999999469</v>
      </c>
      <c r="B731" s="14">
        <f t="shared" si="187"/>
        <v>30.649363039231201</v>
      </c>
      <c r="C731" s="14">
        <f t="shared" si="188"/>
        <v>-8.4798417583216477</v>
      </c>
      <c r="D731" s="14">
        <f t="shared" si="189"/>
        <v>0</v>
      </c>
      <c r="E731" s="14">
        <f t="shared" si="179"/>
        <v>0</v>
      </c>
      <c r="F731" s="14">
        <f t="shared" si="190"/>
        <v>-7.2402739997568561</v>
      </c>
      <c r="G731" s="14">
        <f t="shared" si="180"/>
        <v>-1.4573880285215461</v>
      </c>
      <c r="H731" s="14">
        <f t="shared" si="181"/>
        <v>7.0920792244501349</v>
      </c>
      <c r="I731" s="14">
        <f t="shared" si="182"/>
        <v>3.068929224366177</v>
      </c>
      <c r="J731" s="14">
        <f t="shared" si="191"/>
        <v>-14.983313146180356</v>
      </c>
      <c r="K731" s="14">
        <f t="shared" si="183"/>
        <v>-78.424598846589873</v>
      </c>
      <c r="L731" s="14">
        <f t="shared" si="184"/>
        <v>15.294378033142435</v>
      </c>
      <c r="M731" s="14">
        <f t="shared" si="193"/>
        <v>17.306585567480067</v>
      </c>
      <c r="N731" s="14">
        <f t="shared" si="185"/>
        <v>-13.088297157782655</v>
      </c>
      <c r="O731" s="14">
        <f t="shared" si="192"/>
        <v>0</v>
      </c>
      <c r="P731" s="14">
        <f t="shared" si="186"/>
        <v>0</v>
      </c>
    </row>
    <row r="732" spans="1:16" x14ac:dyDescent="0.25">
      <c r="A732" s="14">
        <f t="shared" si="178"/>
        <v>3.5399999999999467</v>
      </c>
      <c r="B732" s="14">
        <f t="shared" si="187"/>
        <v>30.649363039231201</v>
      </c>
      <c r="C732" s="14">
        <f t="shared" si="188"/>
        <v>-8.5785658767916857</v>
      </c>
      <c r="D732" s="14">
        <f t="shared" si="189"/>
        <v>0</v>
      </c>
      <c r="E732" s="14">
        <f t="shared" si="179"/>
        <v>0</v>
      </c>
      <c r="F732" s="14">
        <f t="shared" si="190"/>
        <v>-7.2514579820407654</v>
      </c>
      <c r="G732" s="14">
        <f t="shared" si="180"/>
        <v>-1.4550582751468617</v>
      </c>
      <c r="H732" s="14">
        <f t="shared" si="181"/>
        <v>7.103974118845688</v>
      </c>
      <c r="I732" s="14">
        <f t="shared" si="182"/>
        <v>3.0616539329904429</v>
      </c>
      <c r="J732" s="14">
        <f t="shared" si="191"/>
        <v>-14.996793275586127</v>
      </c>
      <c r="K732" s="14">
        <f t="shared" si="183"/>
        <v>-78.461403986522299</v>
      </c>
      <c r="L732" s="14">
        <f t="shared" si="184"/>
        <v>15.306127314120353</v>
      </c>
      <c r="M732" s="14">
        <f t="shared" si="193"/>
        <v>17.306585567480067</v>
      </c>
      <c r="N732" s="14">
        <f t="shared" si="185"/>
        <v>-13.163281124160585</v>
      </c>
      <c r="O732" s="14">
        <f t="shared" si="192"/>
        <v>0</v>
      </c>
      <c r="P732" s="14">
        <f t="shared" si="186"/>
        <v>0</v>
      </c>
    </row>
    <row r="733" spans="1:16" x14ac:dyDescent="0.25">
      <c r="A733" s="14">
        <f t="shared" si="178"/>
        <v>3.5449999999999466</v>
      </c>
      <c r="B733" s="14">
        <f t="shared" si="187"/>
        <v>30.649363039231201</v>
      </c>
      <c r="C733" s="14">
        <f t="shared" si="188"/>
        <v>-8.6775349952617304</v>
      </c>
      <c r="D733" s="14">
        <f t="shared" si="189"/>
        <v>0</v>
      </c>
      <c r="E733" s="14">
        <f t="shared" si="179"/>
        <v>0</v>
      </c>
      <c r="F733" s="14">
        <f t="shared" si="190"/>
        <v>-7.2626035340378952</v>
      </c>
      <c r="G733" s="14">
        <f t="shared" si="180"/>
        <v>-1.4527240115939997</v>
      </c>
      <c r="H733" s="14">
        <f t="shared" si="181"/>
        <v>7.1158276425696227</v>
      </c>
      <c r="I733" s="14">
        <f t="shared" si="182"/>
        <v>3.054390312932473</v>
      </c>
      <c r="J733" s="14">
        <f t="shared" si="191"/>
        <v>-15.010214137373278</v>
      </c>
      <c r="K733" s="14">
        <f t="shared" si="183"/>
        <v>-78.498065665963992</v>
      </c>
      <c r="L733" s="14">
        <f t="shared" si="184"/>
        <v>15.317827151183563</v>
      </c>
      <c r="M733" s="14">
        <f t="shared" si="193"/>
        <v>17.306585567480067</v>
      </c>
      <c r="N733" s="14">
        <f t="shared" si="185"/>
        <v>-13.238332194847452</v>
      </c>
      <c r="O733" s="14">
        <f t="shared" si="192"/>
        <v>0</v>
      </c>
      <c r="P733" s="14">
        <f t="shared" si="186"/>
        <v>0</v>
      </c>
    </row>
    <row r="734" spans="1:16" x14ac:dyDescent="0.25">
      <c r="A734" s="14">
        <f t="shared" si="178"/>
        <v>3.5499999999999465</v>
      </c>
      <c r="B734" s="14">
        <f t="shared" si="187"/>
        <v>30.649363039231201</v>
      </c>
      <c r="C734" s="14">
        <f t="shared" si="188"/>
        <v>-8.7767491137317748</v>
      </c>
      <c r="D734" s="14">
        <f t="shared" si="189"/>
        <v>0</v>
      </c>
      <c r="E734" s="14">
        <f t="shared" si="179"/>
        <v>0</v>
      </c>
      <c r="F734" s="14">
        <f t="shared" si="190"/>
        <v>-7.2737106876396265</v>
      </c>
      <c r="G734" s="14">
        <f t="shared" si="180"/>
        <v>-1.4503853088382219</v>
      </c>
      <c r="H734" s="14">
        <f t="shared" si="181"/>
        <v>7.1276398354146089</v>
      </c>
      <c r="I734" s="14">
        <f t="shared" si="182"/>
        <v>3.0471383863882817</v>
      </c>
      <c r="J734" s="14">
        <f t="shared" si="191"/>
        <v>-15.023575938196206</v>
      </c>
      <c r="K734" s="14">
        <f t="shared" si="183"/>
        <v>-78.534584655574292</v>
      </c>
      <c r="L734" s="14">
        <f t="shared" si="184"/>
        <v>15.32947769222908</v>
      </c>
      <c r="M734" s="14">
        <f t="shared" si="193"/>
        <v>17.306585567480067</v>
      </c>
      <c r="N734" s="14">
        <f t="shared" si="185"/>
        <v>-13.313450074538432</v>
      </c>
      <c r="O734" s="14">
        <f t="shared" si="192"/>
        <v>0</v>
      </c>
      <c r="P734" s="14">
        <f t="shared" si="186"/>
        <v>0</v>
      </c>
    </row>
    <row r="735" spans="1:16" x14ac:dyDescent="0.25">
      <c r="A735" s="14">
        <f t="shared" si="178"/>
        <v>3.5549999999999464</v>
      </c>
      <c r="B735" s="14">
        <f t="shared" si="187"/>
        <v>30.649363039231201</v>
      </c>
      <c r="C735" s="14">
        <f t="shared" si="188"/>
        <v>-8.8762082322018117</v>
      </c>
      <c r="D735" s="14">
        <f t="shared" si="189"/>
        <v>0</v>
      </c>
      <c r="E735" s="14">
        <f t="shared" si="179"/>
        <v>0</v>
      </c>
      <c r="F735" s="14">
        <f t="shared" si="190"/>
        <v>-7.2847794758130187</v>
      </c>
      <c r="G735" s="14">
        <f t="shared" si="180"/>
        <v>-1.4480422374974957</v>
      </c>
      <c r="H735" s="14">
        <f t="shared" si="181"/>
        <v>7.1394107382647372</v>
      </c>
      <c r="I735" s="14">
        <f t="shared" si="182"/>
        <v>3.0398981752007943</v>
      </c>
      <c r="J735" s="14">
        <f t="shared" si="191"/>
        <v>-15.036878884504883</v>
      </c>
      <c r="K735" s="14">
        <f t="shared" si="183"/>
        <v>-78.570961720340307</v>
      </c>
      <c r="L735" s="14">
        <f t="shared" si="184"/>
        <v>15.341079085346569</v>
      </c>
      <c r="M735" s="14">
        <f t="shared" si="193"/>
        <v>17.306585567480067</v>
      </c>
      <c r="N735" s="14">
        <f t="shared" si="185"/>
        <v>-13.388634468960957</v>
      </c>
      <c r="O735" s="14">
        <f t="shared" si="192"/>
        <v>0</v>
      </c>
      <c r="P735" s="14">
        <f t="shared" si="186"/>
        <v>0</v>
      </c>
    </row>
    <row r="736" spans="1:16" x14ac:dyDescent="0.25">
      <c r="A736" s="14">
        <f t="shared" si="178"/>
        <v>3.5599999999999463</v>
      </c>
      <c r="B736" s="14">
        <f t="shared" si="187"/>
        <v>30.649363039231201</v>
      </c>
      <c r="C736" s="14">
        <f t="shared" si="188"/>
        <v>-8.9759123506718623</v>
      </c>
      <c r="D736" s="14">
        <f t="shared" si="189"/>
        <v>0</v>
      </c>
      <c r="E736" s="14">
        <f t="shared" si="179"/>
        <v>0</v>
      </c>
      <c r="F736" s="14">
        <f t="shared" si="190"/>
        <v>-7.2958099325885959</v>
      </c>
      <c r="G736" s="14">
        <f t="shared" si="180"/>
        <v>-1.4456948678318389</v>
      </c>
      <c r="H736" s="14">
        <f t="shared" si="181"/>
        <v>7.1511403930829864</v>
      </c>
      <c r="I736" s="14">
        <f t="shared" si="182"/>
        <v>3.0326697008616352</v>
      </c>
      <c r="J736" s="14">
        <f t="shared" si="191"/>
        <v>-15.050123182539469</v>
      </c>
      <c r="K736" s="14">
        <f t="shared" si="183"/>
        <v>-78.607197619628565</v>
      </c>
      <c r="L736" s="14">
        <f t="shared" si="184"/>
        <v>15.352631478809624</v>
      </c>
      <c r="M736" s="14">
        <f t="shared" si="193"/>
        <v>17.306585567480067</v>
      </c>
      <c r="N736" s="14">
        <f t="shared" si="185"/>
        <v>-13.463885084873654</v>
      </c>
      <c r="O736" s="14">
        <f t="shared" si="192"/>
        <v>0</v>
      </c>
      <c r="P736" s="14">
        <f t="shared" si="186"/>
        <v>0</v>
      </c>
    </row>
    <row r="737" spans="1:16" x14ac:dyDescent="0.25">
      <c r="A737" s="14">
        <f t="shared" si="178"/>
        <v>3.5649999999999462</v>
      </c>
      <c r="B737" s="14">
        <f t="shared" si="187"/>
        <v>30.649363039231201</v>
      </c>
      <c r="C737" s="14">
        <f t="shared" si="188"/>
        <v>-9.0758614691418984</v>
      </c>
      <c r="D737" s="14">
        <f t="shared" si="189"/>
        <v>0</v>
      </c>
      <c r="E737" s="14">
        <f t="shared" si="179"/>
        <v>0</v>
      </c>
      <c r="F737" s="14">
        <f t="shared" si="190"/>
        <v>-7.3068020930482218</v>
      </c>
      <c r="G737" s="14">
        <f t="shared" si="180"/>
        <v>-1.4433432697426958</v>
      </c>
      <c r="H737" s="14">
        <f t="shared" si="181"/>
        <v>7.1628288428987563</v>
      </c>
      <c r="I737" s="14">
        <f t="shared" si="182"/>
        <v>3.0254529845129219</v>
      </c>
      <c r="J737" s="14">
        <f t="shared" si="191"/>
        <v>-15.063309038324975</v>
      </c>
      <c r="K737" s="14">
        <f t="shared" si="183"/>
        <v>-78.643293107236147</v>
      </c>
      <c r="L737" s="14">
        <f t="shared" si="184"/>
        <v>15.364135021067117</v>
      </c>
      <c r="M737" s="14">
        <f t="shared" si="193"/>
        <v>17.306585567480067</v>
      </c>
      <c r="N737" s="14">
        <f t="shared" si="185"/>
        <v>-13.539201630065278</v>
      </c>
      <c r="O737" s="14">
        <f t="shared" si="192"/>
        <v>0</v>
      </c>
      <c r="P737" s="14">
        <f t="shared" si="186"/>
        <v>0</v>
      </c>
    </row>
    <row r="738" spans="1:16" x14ac:dyDescent="0.25">
      <c r="A738" s="14">
        <f t="shared" si="178"/>
        <v>3.5699999999999461</v>
      </c>
      <c r="B738" s="14">
        <f t="shared" si="187"/>
        <v>30.649363039231201</v>
      </c>
      <c r="C738" s="14">
        <f t="shared" si="188"/>
        <v>-9.1760555876119412</v>
      </c>
      <c r="D738" s="14">
        <f t="shared" si="189"/>
        <v>0</v>
      </c>
      <c r="E738" s="14">
        <f t="shared" si="179"/>
        <v>0</v>
      </c>
      <c r="F738" s="14">
        <f t="shared" si="190"/>
        <v>-7.3177559933130132</v>
      </c>
      <c r="G738" s="14">
        <f t="shared" si="180"/>
        <v>-1.4409875127723575</v>
      </c>
      <c r="H738" s="14">
        <f t="shared" si="181"/>
        <v>7.174476131795454</v>
      </c>
      <c r="I738" s="14">
        <f t="shared" si="182"/>
        <v>3.01824804694906</v>
      </c>
      <c r="J738" s="14">
        <f t="shared" si="191"/>
        <v>-15.076436657665997</v>
      </c>
      <c r="K738" s="14">
        <f t="shared" si="183"/>
        <v>-78.679248931441279</v>
      </c>
      <c r="L738" s="14">
        <f t="shared" si="184"/>
        <v>15.375589860734674</v>
      </c>
      <c r="M738" s="14">
        <f t="shared" si="193"/>
        <v>17.306585567480067</v>
      </c>
      <c r="N738" s="14">
        <f t="shared" si="185"/>
        <v>-13.614583813353608</v>
      </c>
      <c r="O738" s="14">
        <f t="shared" si="192"/>
        <v>0</v>
      </c>
      <c r="P738" s="14">
        <f t="shared" si="186"/>
        <v>0</v>
      </c>
    </row>
    <row r="739" spans="1:16" x14ac:dyDescent="0.25">
      <c r="A739" s="14">
        <f t="shared" si="178"/>
        <v>3.574999999999946</v>
      </c>
      <c r="B739" s="14">
        <f t="shared" si="187"/>
        <v>30.649363039231201</v>
      </c>
      <c r="C739" s="14">
        <f t="shared" si="188"/>
        <v>-9.2764947060819765</v>
      </c>
      <c r="D739" s="14">
        <f t="shared" si="189"/>
        <v>0</v>
      </c>
      <c r="E739" s="14">
        <f t="shared" si="179"/>
        <v>0</v>
      </c>
      <c r="F739" s="14">
        <f t="shared" si="190"/>
        <v>-7.3286716705313344</v>
      </c>
      <c r="G739" s="14">
        <f t="shared" si="180"/>
        <v>-1.4386276661034179</v>
      </c>
      <c r="H739" s="14">
        <f t="shared" si="181"/>
        <v>7.1860823048981546</v>
      </c>
      <c r="I739" s="14">
        <f t="shared" si="182"/>
        <v>3.0110549086185427</v>
      </c>
      <c r="J739" s="14">
        <f t="shared" si="191"/>
        <v>-15.089506246141507</v>
      </c>
      <c r="K739" s="14">
        <f t="shared" si="183"/>
        <v>-78.71506583505338</v>
      </c>
      <c r="L739" s="14">
        <f t="shared" si="184"/>
        <v>15.386996146586226</v>
      </c>
      <c r="M739" s="14">
        <f t="shared" si="193"/>
        <v>17.306585567480067</v>
      </c>
      <c r="N739" s="14">
        <f t="shared" si="185"/>
        <v>-13.690031344584316</v>
      </c>
      <c r="O739" s="14">
        <f t="shared" si="192"/>
        <v>0</v>
      </c>
      <c r="P739" s="14">
        <f t="shared" si="186"/>
        <v>0</v>
      </c>
    </row>
    <row r="740" spans="1:16" x14ac:dyDescent="0.25">
      <c r="A740" s="14">
        <f t="shared" si="178"/>
        <v>3.5799999999999459</v>
      </c>
      <c r="B740" s="14">
        <f t="shared" si="187"/>
        <v>30.649363039231201</v>
      </c>
      <c r="C740" s="14">
        <f t="shared" si="188"/>
        <v>-9.3771788245520256</v>
      </c>
      <c r="D740" s="14">
        <f t="shared" si="189"/>
        <v>0</v>
      </c>
      <c r="E740" s="14">
        <f t="shared" si="179"/>
        <v>0</v>
      </c>
      <c r="F740" s="14">
        <f t="shared" si="190"/>
        <v>-7.3395491628668399</v>
      </c>
      <c r="G740" s="14">
        <f t="shared" si="180"/>
        <v>-1.4362637985582651</v>
      </c>
      <c r="H740" s="14">
        <f t="shared" si="181"/>
        <v>7.1976474083613127</v>
      </c>
      <c r="I740" s="14">
        <f t="shared" si="182"/>
        <v>3.0038735896257514</v>
      </c>
      <c r="J740" s="14">
        <f t="shared" si="191"/>
        <v>-15.1025180090997</v>
      </c>
      <c r="K740" s="14">
        <f t="shared" si="183"/>
        <v>-78.750744555462632</v>
      </c>
      <c r="L740" s="14">
        <f t="shared" si="184"/>
        <v>15.398354027545668</v>
      </c>
      <c r="M740" s="14">
        <f t="shared" si="193"/>
        <v>17.306585567480067</v>
      </c>
      <c r="N740" s="14">
        <f t="shared" si="185"/>
        <v>-13.765543934629815</v>
      </c>
      <c r="O740" s="14">
        <f t="shared" si="192"/>
        <v>0</v>
      </c>
      <c r="P740" s="14">
        <f t="shared" si="186"/>
        <v>0</v>
      </c>
    </row>
    <row r="741" spans="1:16" x14ac:dyDescent="0.25">
      <c r="A741" s="14">
        <f t="shared" si="178"/>
        <v>3.5849999999999458</v>
      </c>
      <c r="B741" s="14">
        <f t="shared" si="187"/>
        <v>30.649363039231201</v>
      </c>
      <c r="C741" s="14">
        <f t="shared" si="188"/>
        <v>-9.4781079430220601</v>
      </c>
      <c r="D741" s="14">
        <f t="shared" si="189"/>
        <v>0</v>
      </c>
      <c r="E741" s="14">
        <f t="shared" si="179"/>
        <v>0</v>
      </c>
      <c r="F741" s="14">
        <f t="shared" si="190"/>
        <v>-7.3503885094865895</v>
      </c>
      <c r="G741" s="14">
        <f t="shared" si="180"/>
        <v>-1.4338959785986038</v>
      </c>
      <c r="H741" s="14">
        <f t="shared" si="181"/>
        <v>7.2091714893565424</v>
      </c>
      <c r="I741" s="14">
        <f t="shared" si="182"/>
        <v>2.9967041097327582</v>
      </c>
      <c r="J741" s="14">
        <f t="shared" si="191"/>
        <v>-15.115472151652918</v>
      </c>
      <c r="K741" s="14">
        <f t="shared" si="183"/>
        <v>-78.786285824688974</v>
      </c>
      <c r="L741" s="14">
        <f t="shared" si="184"/>
        <v>15.409663652678605</v>
      </c>
      <c r="M741" s="14">
        <f t="shared" si="193"/>
        <v>17.306585567480067</v>
      </c>
      <c r="N741" s="14">
        <f t="shared" si="185"/>
        <v>-13.84112129538808</v>
      </c>
      <c r="O741" s="14">
        <f t="shared" si="192"/>
        <v>0</v>
      </c>
      <c r="P741" s="14">
        <f t="shared" si="186"/>
        <v>0</v>
      </c>
    </row>
    <row r="742" spans="1:16" x14ac:dyDescent="0.25">
      <c r="A742" s="14">
        <f t="shared" si="178"/>
        <v>3.5899999999999457</v>
      </c>
      <c r="B742" s="14">
        <f t="shared" si="187"/>
        <v>30.649363039231201</v>
      </c>
      <c r="C742" s="14">
        <f t="shared" si="188"/>
        <v>-9.5792820614921084</v>
      </c>
      <c r="D742" s="14">
        <f t="shared" si="189"/>
        <v>0</v>
      </c>
      <c r="E742" s="14">
        <f t="shared" si="179"/>
        <v>0</v>
      </c>
      <c r="F742" s="14">
        <f t="shared" si="190"/>
        <v>-7.3611897505492072</v>
      </c>
      <c r="G742" s="14">
        <f t="shared" si="180"/>
        <v>-1.4315242743250267</v>
      </c>
      <c r="H742" s="14">
        <f t="shared" si="181"/>
        <v>7.2206545960604496</v>
      </c>
      <c r="I742" s="14">
        <f t="shared" si="182"/>
        <v>2.9895464883611331</v>
      </c>
      <c r="J742" s="14">
        <f t="shared" si="191"/>
        <v>-15.128368878672616</v>
      </c>
      <c r="K742" s="14">
        <f t="shared" si="183"/>
        <v>-78.821690369430726</v>
      </c>
      <c r="L742" s="14">
        <f t="shared" si="184"/>
        <v>15.420925171184201</v>
      </c>
      <c r="M742" s="14">
        <f t="shared" si="193"/>
        <v>17.306585567480067</v>
      </c>
      <c r="N742" s="14">
        <f t="shared" si="185"/>
        <v>-13.916763139781443</v>
      </c>
      <c r="O742" s="14">
        <f t="shared" si="192"/>
        <v>0</v>
      </c>
      <c r="P742" s="14">
        <f t="shared" si="186"/>
        <v>0</v>
      </c>
    </row>
    <row r="743" spans="1:16" x14ac:dyDescent="0.25">
      <c r="A743" s="14">
        <f t="shared" si="178"/>
        <v>3.5949999999999456</v>
      </c>
      <c r="B743" s="14">
        <f t="shared" si="187"/>
        <v>30.649363039231201</v>
      </c>
      <c r="C743" s="14">
        <f t="shared" si="188"/>
        <v>-9.6807011799621492</v>
      </c>
      <c r="D743" s="14">
        <f t="shared" si="189"/>
        <v>0</v>
      </c>
      <c r="E743" s="14">
        <f t="shared" si="179"/>
        <v>0</v>
      </c>
      <c r="F743" s="14">
        <f t="shared" si="190"/>
        <v>-7.3719529271931377</v>
      </c>
      <c r="G743" s="14">
        <f t="shared" si="180"/>
        <v>-1.4291487534765992</v>
      </c>
      <c r="H743" s="14">
        <f t="shared" si="181"/>
        <v>7.2320967776425498</v>
      </c>
      <c r="I743" s="14">
        <f t="shared" si="182"/>
        <v>2.9824007445937499</v>
      </c>
      <c r="J743" s="14">
        <f t="shared" si="191"/>
        <v>-15.141208394784403</v>
      </c>
      <c r="K743" s="14">
        <f t="shared" si="183"/>
        <v>-78.856958911112457</v>
      </c>
      <c r="L743" s="14">
        <f t="shared" si="184"/>
        <v>15.432138732387131</v>
      </c>
      <c r="M743" s="14">
        <f t="shared" si="193"/>
        <v>17.306585567480067</v>
      </c>
      <c r="N743" s="14">
        <f t="shared" si="185"/>
        <v>-13.992469181755364</v>
      </c>
      <c r="O743" s="14">
        <f t="shared" si="192"/>
        <v>0</v>
      </c>
      <c r="P743" s="14">
        <f t="shared" si="186"/>
        <v>0</v>
      </c>
    </row>
    <row r="744" spans="1:16" x14ac:dyDescent="0.25">
      <c r="A744" s="14">
        <f t="shared" si="178"/>
        <v>3.5999999999999455</v>
      </c>
      <c r="B744" s="14">
        <f t="shared" si="187"/>
        <v>30.649363039231201</v>
      </c>
      <c r="C744" s="14">
        <f t="shared" si="188"/>
        <v>-9.7823652984321896</v>
      </c>
      <c r="D744" s="14">
        <f t="shared" si="189"/>
        <v>0</v>
      </c>
      <c r="E744" s="14">
        <f t="shared" si="179"/>
        <v>0</v>
      </c>
      <c r="F744" s="14">
        <f t="shared" si="190"/>
        <v>-7.3826780815249355</v>
      </c>
      <c r="G744" s="14">
        <f t="shared" si="180"/>
        <v>-1.4267694834305078</v>
      </c>
      <c r="H744" s="14">
        <f t="shared" si="181"/>
        <v>7.2434980842532255</v>
      </c>
      <c r="I744" s="14">
        <f t="shared" si="182"/>
        <v>2.9752668971765974</v>
      </c>
      <c r="J744" s="14">
        <f t="shared" si="191"/>
        <v>-15.153990904363138</v>
      </c>
      <c r="K744" s="14">
        <f t="shared" si="183"/>
        <v>-78.892092165932652</v>
      </c>
      <c r="L744" s="14">
        <f t="shared" si="184"/>
        <v>15.443304485729586</v>
      </c>
      <c r="M744" s="14">
        <f t="shared" si="193"/>
        <v>17.306585567480067</v>
      </c>
      <c r="N744" s="14">
        <f t="shared" si="185"/>
        <v>-14.06823913627718</v>
      </c>
      <c r="O744" s="14">
        <f t="shared" si="192"/>
        <v>0</v>
      </c>
      <c r="P744" s="14">
        <f t="shared" si="186"/>
        <v>0</v>
      </c>
    </row>
    <row r="745" spans="1:16" x14ac:dyDescent="0.25">
      <c r="A745" s="14">
        <f t="shared" si="178"/>
        <v>3.6049999999999454</v>
      </c>
      <c r="B745" s="14">
        <f t="shared" si="187"/>
        <v>30.649363039231201</v>
      </c>
      <c r="C745" s="14">
        <f t="shared" si="188"/>
        <v>-9.8842744169022296</v>
      </c>
      <c r="D745" s="14">
        <f t="shared" si="189"/>
        <v>0</v>
      </c>
      <c r="E745" s="14">
        <f t="shared" si="179"/>
        <v>0</v>
      </c>
      <c r="F745" s="14">
        <f t="shared" si="190"/>
        <v>-7.3933652566076216</v>
      </c>
      <c r="G745" s="14">
        <f t="shared" si="180"/>
        <v>-1.4243865312017121</v>
      </c>
      <c r="H745" s="14">
        <f t="shared" si="181"/>
        <v>7.2548585670117536</v>
      </c>
      <c r="I745" s="14">
        <f t="shared" si="182"/>
        <v>2.9681449645205888</v>
      </c>
      <c r="J745" s="14">
        <f t="shared" si="191"/>
        <v>-15.166716611528079</v>
      </c>
      <c r="K745" s="14">
        <f t="shared" si="183"/>
        <v>-78.927090844910666</v>
      </c>
      <c r="L745" s="14">
        <f t="shared" si="184"/>
        <v>15.454422580763433</v>
      </c>
      <c r="M745" s="14">
        <f t="shared" si="193"/>
        <v>17.306585567480067</v>
      </c>
      <c r="N745" s="14">
        <f t="shared" si="185"/>
        <v>-14.144072719334821</v>
      </c>
      <c r="O745" s="14">
        <f t="shared" si="192"/>
        <v>0</v>
      </c>
      <c r="P745" s="14">
        <f t="shared" si="186"/>
        <v>0</v>
      </c>
    </row>
    <row r="746" spans="1:16" x14ac:dyDescent="0.25">
      <c r="A746" s="14">
        <f t="shared" si="178"/>
        <v>3.6099999999999453</v>
      </c>
      <c r="B746" s="14">
        <f t="shared" si="187"/>
        <v>30.649363039231201</v>
      </c>
      <c r="C746" s="14">
        <f t="shared" si="188"/>
        <v>-9.9864285353722764</v>
      </c>
      <c r="D746" s="14">
        <f t="shared" si="189"/>
        <v>0</v>
      </c>
      <c r="E746" s="14">
        <f t="shared" si="179"/>
        <v>0</v>
      </c>
      <c r="F746" s="14">
        <f t="shared" si="190"/>
        <v>-7.4040144964491308</v>
      </c>
      <c r="G746" s="14">
        <f t="shared" si="180"/>
        <v>-1.4219999634426537</v>
      </c>
      <c r="H746" s="14">
        <f t="shared" si="181"/>
        <v>7.2661782779944204</v>
      </c>
      <c r="I746" s="14">
        <f t="shared" si="182"/>
        <v>2.9610349647033756</v>
      </c>
      <c r="J746" s="14">
        <f t="shared" si="191"/>
        <v>-15.179385720138107</v>
      </c>
      <c r="K746" s="14">
        <f t="shared" si="183"/>
        <v>-78.961955653933344</v>
      </c>
      <c r="L746" s="14">
        <f t="shared" si="184"/>
        <v>15.465493167142411</v>
      </c>
      <c r="M746" s="14">
        <f t="shared" si="193"/>
        <v>17.306585567480067</v>
      </c>
      <c r="N746" s="14">
        <f t="shared" si="185"/>
        <v>-14.21996964793551</v>
      </c>
      <c r="O746" s="14">
        <f t="shared" si="192"/>
        <v>0</v>
      </c>
      <c r="P746" s="14">
        <f t="shared" si="186"/>
        <v>0</v>
      </c>
    </row>
    <row r="747" spans="1:16" x14ac:dyDescent="0.25">
      <c r="A747" s="14">
        <f t="shared" si="178"/>
        <v>3.6149999999999451</v>
      </c>
      <c r="B747" s="14">
        <f t="shared" si="187"/>
        <v>30.649363039231201</v>
      </c>
      <c r="C747" s="14">
        <f t="shared" si="188"/>
        <v>-10.088827653842316</v>
      </c>
      <c r="D747" s="14">
        <f t="shared" si="189"/>
        <v>0</v>
      </c>
      <c r="E747" s="14">
        <f t="shared" si="179"/>
        <v>0</v>
      </c>
      <c r="F747" s="14">
        <f t="shared" si="190"/>
        <v>-7.4146258459907859</v>
      </c>
      <c r="G747" s="14">
        <f t="shared" si="180"/>
        <v>-1.4196098464429845</v>
      </c>
      <c r="H747" s="14">
        <f t="shared" si="181"/>
        <v>7.2774572702226639</v>
      </c>
      <c r="I747" s="14">
        <f t="shared" si="182"/>
        <v>2.9539369154711608</v>
      </c>
      <c r="J747" s="14">
        <f t="shared" si="191"/>
        <v>-15.191998433786994</v>
      </c>
      <c r="K747" s="14">
        <f t="shared" si="183"/>
        <v>-78.996687293801031</v>
      </c>
      <c r="L747" s="14">
        <f t="shared" si="184"/>
        <v>15.476516394614446</v>
      </c>
      <c r="M747" s="14">
        <f t="shared" si="193"/>
        <v>17.306585567480067</v>
      </c>
      <c r="N747" s="14">
        <f t="shared" si="185"/>
        <v>-14.295929640104445</v>
      </c>
      <c r="O747" s="14">
        <f t="shared" si="192"/>
        <v>0</v>
      </c>
      <c r="P747" s="14">
        <f t="shared" si="186"/>
        <v>0</v>
      </c>
    </row>
    <row r="748" spans="1:16" x14ac:dyDescent="0.25">
      <c r="A748" s="14">
        <f t="shared" si="178"/>
        <v>3.619999999999945</v>
      </c>
      <c r="B748" s="14">
        <f t="shared" si="187"/>
        <v>30.649363039231201</v>
      </c>
      <c r="C748" s="14">
        <f t="shared" si="188"/>
        <v>-10.191471772312354</v>
      </c>
      <c r="D748" s="14">
        <f t="shared" si="189"/>
        <v>0</v>
      </c>
      <c r="E748" s="14">
        <f t="shared" si="179"/>
        <v>0</v>
      </c>
      <c r="F748" s="14">
        <f t="shared" si="190"/>
        <v>-7.4251993510958618</v>
      </c>
      <c r="G748" s="14">
        <f t="shared" si="180"/>
        <v>-1.4172162461293338</v>
      </c>
      <c r="H748" s="14">
        <f t="shared" si="181"/>
        <v>7.2886955976513033</v>
      </c>
      <c r="I748" s="14">
        <f t="shared" si="182"/>
        <v>2.946850834240514</v>
      </c>
      <c r="J748" s="14">
        <f t="shared" si="191"/>
        <v>-15.204554955798738</v>
      </c>
      <c r="K748" s="14">
        <f t="shared" si="183"/>
        <v>-79.031286460273193</v>
      </c>
      <c r="L748" s="14">
        <f t="shared" si="184"/>
        <v>15.487492413014056</v>
      </c>
      <c r="M748" s="14">
        <f t="shared" si="193"/>
        <v>17.306585567480067</v>
      </c>
      <c r="N748" s="14">
        <f t="shared" si="185"/>
        <v>-14.371952414883438</v>
      </c>
      <c r="O748" s="14">
        <f t="shared" si="192"/>
        <v>0</v>
      </c>
      <c r="P748" s="14">
        <f t="shared" si="186"/>
        <v>0</v>
      </c>
    </row>
    <row r="749" spans="1:16" x14ac:dyDescent="0.25">
      <c r="A749" s="14">
        <f t="shared" si="178"/>
        <v>3.6249999999999449</v>
      </c>
      <c r="B749" s="14">
        <f t="shared" si="187"/>
        <v>30.649363039231201</v>
      </c>
      <c r="C749" s="14">
        <f t="shared" si="188"/>
        <v>-10.294360890782393</v>
      </c>
      <c r="D749" s="14">
        <f t="shared" si="189"/>
        <v>0</v>
      </c>
      <c r="E749" s="14">
        <f t="shared" si="179"/>
        <v>0</v>
      </c>
      <c r="F749" s="14">
        <f t="shared" si="190"/>
        <v>-7.4357350585382065</v>
      </c>
      <c r="G749" s="14">
        <f t="shared" si="180"/>
        <v>-1.4148192280651073</v>
      </c>
      <c r="H749" s="14">
        <f t="shared" si="181"/>
        <v>7.2998933151568339</v>
      </c>
      <c r="I749" s="14">
        <f t="shared" si="182"/>
        <v>2.9397767381001882</v>
      </c>
      <c r="J749" s="14">
        <f t="shared" si="191"/>
        <v>-15.217055489222954</v>
      </c>
      <c r="K749" s="14">
        <f t="shared" si="183"/>
        <v>-79.065753844113587</v>
      </c>
      <c r="L749" s="14">
        <f t="shared" si="184"/>
        <v>15.498421372254834</v>
      </c>
      <c r="M749" s="14">
        <f t="shared" si="193"/>
        <v>17.306585567480067</v>
      </c>
      <c r="N749" s="14">
        <f t="shared" si="185"/>
        <v>-14.448037692329553</v>
      </c>
      <c r="O749" s="14">
        <f t="shared" si="192"/>
        <v>0</v>
      </c>
      <c r="P749" s="14">
        <f t="shared" si="186"/>
        <v>0</v>
      </c>
    </row>
    <row r="750" spans="1:16" x14ac:dyDescent="0.25">
      <c r="A750" s="14">
        <f t="shared" si="178"/>
        <v>3.6299999999999448</v>
      </c>
      <c r="B750" s="14">
        <f t="shared" si="187"/>
        <v>30.649363039231201</v>
      </c>
      <c r="C750" s="14">
        <f t="shared" si="188"/>
        <v>-10.397495009252438</v>
      </c>
      <c r="D750" s="14">
        <f t="shared" si="189"/>
        <v>0</v>
      </c>
      <c r="E750" s="14">
        <f t="shared" si="179"/>
        <v>0</v>
      </c>
      <c r="F750" s="14">
        <f t="shared" si="190"/>
        <v>-7.446233015990928</v>
      </c>
      <c r="G750" s="14">
        <f t="shared" si="180"/>
        <v>-1.4124188574503163</v>
      </c>
      <c r="H750" s="14">
        <f t="shared" si="181"/>
        <v>7.3110504785257842</v>
      </c>
      <c r="I750" s="14">
        <f t="shared" si="182"/>
        <v>2.9327146438129366</v>
      </c>
      <c r="J750" s="14">
        <f t="shared" si="191"/>
        <v>-15.229500236830326</v>
      </c>
      <c r="K750" s="14">
        <f t="shared" si="183"/>
        <v>-79.100090131134834</v>
      </c>
      <c r="L750" s="14">
        <f t="shared" si="184"/>
        <v>15.509303422322029</v>
      </c>
      <c r="M750" s="14">
        <f t="shared" si="193"/>
        <v>17.306585567480067</v>
      </c>
      <c r="N750" s="14">
        <f t="shared" si="185"/>
        <v>-14.524185193513704</v>
      </c>
      <c r="O750" s="14">
        <f t="shared" si="192"/>
        <v>0</v>
      </c>
      <c r="P750" s="14">
        <f t="shared" si="186"/>
        <v>0</v>
      </c>
    </row>
    <row r="751" spans="1:16" x14ac:dyDescent="0.25">
      <c r="A751" s="14">
        <f t="shared" si="178"/>
        <v>3.6349999999999447</v>
      </c>
      <c r="B751" s="14">
        <f t="shared" si="187"/>
        <v>30.649363039231201</v>
      </c>
      <c r="C751" s="14">
        <f t="shared" si="188"/>
        <v>-10.500874127722476</v>
      </c>
      <c r="D751" s="14">
        <f t="shared" si="189"/>
        <v>0</v>
      </c>
      <c r="E751" s="14">
        <f t="shared" si="179"/>
        <v>0</v>
      </c>
      <c r="F751" s="14">
        <f t="shared" si="190"/>
        <v>-7.4566932720151433</v>
      </c>
      <c r="G751" s="14">
        <f t="shared" si="180"/>
        <v>-1.4100151991214385</v>
      </c>
      <c r="H751" s="14">
        <f t="shared" si="181"/>
        <v>7.322167144443128</v>
      </c>
      <c r="I751" s="14">
        <f t="shared" si="182"/>
        <v>2.9256645678173294</v>
      </c>
      <c r="J751" s="14">
        <f t="shared" si="191"/>
        <v>-15.241889401108111</v>
      </c>
      <c r="K751" s="14">
        <f t="shared" si="183"/>
        <v>-79.134296002242721</v>
      </c>
      <c r="L751" s="14">
        <f t="shared" si="184"/>
        <v>15.52013871326521</v>
      </c>
      <c r="M751" s="14">
        <f t="shared" si="193"/>
        <v>17.306585567480067</v>
      </c>
      <c r="N751" s="14">
        <f t="shared" si="185"/>
        <v>-14.600394640519244</v>
      </c>
      <c r="O751" s="14">
        <f t="shared" si="192"/>
        <v>0</v>
      </c>
      <c r="P751" s="14">
        <f t="shared" si="186"/>
        <v>0</v>
      </c>
    </row>
    <row r="752" spans="1:16" x14ac:dyDescent="0.25">
      <c r="A752" s="14">
        <f t="shared" si="178"/>
        <v>3.6399999999999446</v>
      </c>
      <c r="B752" s="14">
        <f t="shared" si="187"/>
        <v>30.649363039231201</v>
      </c>
      <c r="C752" s="14">
        <f t="shared" si="188"/>
        <v>-10.604498246192513</v>
      </c>
      <c r="D752" s="14">
        <f t="shared" si="189"/>
        <v>0</v>
      </c>
      <c r="E752" s="14">
        <f t="shared" si="179"/>
        <v>0</v>
      </c>
      <c r="F752" s="14">
        <f t="shared" si="190"/>
        <v>-7.4671158760487977</v>
      </c>
      <c r="G752" s="14">
        <f t="shared" si="180"/>
        <v>-1.4076083175513123</v>
      </c>
      <c r="H752" s="14">
        <f t="shared" si="181"/>
        <v>7.3332433704807833</v>
      </c>
      <c r="I752" s="14">
        <f t="shared" si="182"/>
        <v>2.918626526229573</v>
      </c>
      <c r="J752" s="14">
        <f t="shared" si="191"/>
        <v>-15.254223184255707</v>
      </c>
      <c r="K752" s="14">
        <f t="shared" si="183"/>
        <v>-79.168372133479963</v>
      </c>
      <c r="L752" s="14">
        <f t="shared" si="184"/>
        <v>15.53092739519103</v>
      </c>
      <c r="M752" s="14">
        <f t="shared" si="193"/>
        <v>17.306585567480067</v>
      </c>
      <c r="N752" s="14">
        <f t="shared" si="185"/>
        <v>-14.676665756440523</v>
      </c>
      <c r="O752" s="14">
        <f t="shared" si="192"/>
        <v>0</v>
      </c>
      <c r="P752" s="14">
        <f t="shared" si="186"/>
        <v>0</v>
      </c>
    </row>
    <row r="753" spans="1:16" x14ac:dyDescent="0.25">
      <c r="A753" s="14">
        <f t="shared" si="178"/>
        <v>3.6449999999999445</v>
      </c>
      <c r="B753" s="14">
        <f t="shared" si="187"/>
        <v>30.649363039231201</v>
      </c>
      <c r="C753" s="14">
        <f t="shared" si="188"/>
        <v>-10.708367364662564</v>
      </c>
      <c r="D753" s="14">
        <f t="shared" si="189"/>
        <v>0</v>
      </c>
      <c r="E753" s="14">
        <f t="shared" si="179"/>
        <v>0</v>
      </c>
      <c r="F753" s="14">
        <f t="shared" si="190"/>
        <v>-7.4775008783955528</v>
      </c>
      <c r="G753" s="14">
        <f t="shared" si="180"/>
        <v>-1.4051982768490536</v>
      </c>
      <c r="H753" s="14">
        <f t="shared" si="181"/>
        <v>7.3442792150861695</v>
      </c>
      <c r="I753" s="14">
        <f t="shared" si="182"/>
        <v>2.9116005348453275</v>
      </c>
      <c r="J753" s="14">
        <f t="shared" si="191"/>
        <v>-15.266501788180276</v>
      </c>
      <c r="K753" s="14">
        <f t="shared" si="183"/>
        <v>-79.202319196069411</v>
      </c>
      <c r="L753" s="14">
        <f t="shared" si="184"/>
        <v>15.541669618256051</v>
      </c>
      <c r="M753" s="14">
        <f t="shared" si="193"/>
        <v>17.306585567480067</v>
      </c>
      <c r="N753" s="14">
        <f t="shared" si="185"/>
        <v>-14.752998265381423</v>
      </c>
      <c r="O753" s="14">
        <f t="shared" si="192"/>
        <v>0</v>
      </c>
      <c r="P753" s="14">
        <f t="shared" si="186"/>
        <v>0</v>
      </c>
    </row>
    <row r="754" spans="1:16" x14ac:dyDescent="0.25">
      <c r="A754" s="14">
        <f t="shared" si="178"/>
        <v>3.6499999999999444</v>
      </c>
      <c r="B754" s="14">
        <f t="shared" si="187"/>
        <v>30.649363039231201</v>
      </c>
      <c r="C754" s="14">
        <f t="shared" si="188"/>
        <v>-10.812481483132608</v>
      </c>
      <c r="D754" s="14">
        <f t="shared" si="189"/>
        <v>0</v>
      </c>
      <c r="E754" s="14">
        <f t="shared" si="179"/>
        <v>0</v>
      </c>
      <c r="F754" s="14">
        <f t="shared" si="190"/>
        <v>-7.48784833021372</v>
      </c>
      <c r="G754" s="14">
        <f t="shared" si="180"/>
        <v>-1.4027851407600151</v>
      </c>
      <c r="H754" s="14">
        <f t="shared" si="181"/>
        <v>7.3552747375708067</v>
      </c>
      <c r="I754" s="14">
        <f t="shared" si="182"/>
        <v>2.9045866091415276</v>
      </c>
      <c r="J754" s="14">
        <f t="shared" si="191"/>
        <v>-15.278725414492422</v>
      </c>
      <c r="K754" s="14">
        <f t="shared" si="183"/>
        <v>-79.236137856457006</v>
      </c>
      <c r="L754" s="14">
        <f t="shared" si="184"/>
        <v>15.552365532659683</v>
      </c>
      <c r="M754" s="14">
        <f t="shared" si="193"/>
        <v>17.306585567480067</v>
      </c>
      <c r="N754" s="14">
        <f t="shared" si="185"/>
        <v>-14.829391892453886</v>
      </c>
      <c r="O754" s="14">
        <f t="shared" si="192"/>
        <v>0</v>
      </c>
      <c r="P754" s="14">
        <f t="shared" si="186"/>
        <v>0</v>
      </c>
    </row>
    <row r="755" spans="1:16" x14ac:dyDescent="0.25">
      <c r="A755" s="14">
        <f t="shared" si="178"/>
        <v>3.6549999999999443</v>
      </c>
      <c r="B755" s="14">
        <f t="shared" si="187"/>
        <v>30.649363039231201</v>
      </c>
      <c r="C755" s="14">
        <f t="shared" si="188"/>
        <v>-10.916840601602637</v>
      </c>
      <c r="D755" s="14">
        <f t="shared" si="189"/>
        <v>0</v>
      </c>
      <c r="E755" s="14">
        <f t="shared" si="179"/>
        <v>0</v>
      </c>
      <c r="F755" s="14">
        <f t="shared" si="190"/>
        <v>-7.4981582835052878</v>
      </c>
      <c r="G755" s="14">
        <f t="shared" si="180"/>
        <v>-1.4003689726657635</v>
      </c>
      <c r="H755" s="14">
        <f t="shared" si="181"/>
        <v>7.3662299980990271</v>
      </c>
      <c r="I755" s="14">
        <f t="shared" si="182"/>
        <v>2.8975847642781987</v>
      </c>
      <c r="J755" s="14">
        <f t="shared" si="191"/>
        <v>-15.290894264501928</v>
      </c>
      <c r="K755" s="14">
        <f t="shared" si="183"/>
        <v>-79.26982877635416</v>
      </c>
      <c r="L755" s="14">
        <f t="shared" si="184"/>
        <v>15.563015288637194</v>
      </c>
      <c r="M755" s="14">
        <f t="shared" si="193"/>
        <v>17.306585567480067</v>
      </c>
      <c r="N755" s="14">
        <f t="shared" si="185"/>
        <v>-14.905846363776396</v>
      </c>
      <c r="O755" s="14">
        <f t="shared" si="192"/>
        <v>0</v>
      </c>
      <c r="P755" s="14">
        <f t="shared" si="186"/>
        <v>0</v>
      </c>
    </row>
    <row r="756" spans="1:16" x14ac:dyDescent="0.25">
      <c r="A756" s="14">
        <f t="shared" si="178"/>
        <v>3.6599999999999442</v>
      </c>
      <c r="B756" s="14">
        <f t="shared" si="187"/>
        <v>30.649363039231201</v>
      </c>
      <c r="C756" s="14">
        <f t="shared" si="188"/>
        <v>-11.02144472007268</v>
      </c>
      <c r="D756" s="14">
        <f t="shared" si="189"/>
        <v>0</v>
      </c>
      <c r="E756" s="14">
        <f t="shared" si="179"/>
        <v>0</v>
      </c>
      <c r="F756" s="14">
        <f t="shared" si="190"/>
        <v>-7.5084307911050061</v>
      </c>
      <c r="G756" s="14">
        <f t="shared" si="180"/>
        <v>-1.3979498355840976</v>
      </c>
      <c r="H756" s="14">
        <f t="shared" si="181"/>
        <v>7.3771450576767261</v>
      </c>
      <c r="I756" s="14">
        <f t="shared" si="182"/>
        <v>2.8905950151002782</v>
      </c>
      <c r="J756" s="14">
        <f t="shared" si="191"/>
        <v>-15.303008539213543</v>
      </c>
      <c r="K756" s="14">
        <f t="shared" si="183"/>
        <v>-79.303392612779803</v>
      </c>
      <c r="L756" s="14">
        <f t="shared" si="184"/>
        <v>15.573619036452806</v>
      </c>
      <c r="M756" s="14">
        <f t="shared" si="193"/>
        <v>17.306585567480067</v>
      </c>
      <c r="N756" s="14">
        <f t="shared" si="185"/>
        <v>-14.982361406472464</v>
      </c>
      <c r="O756" s="14">
        <f t="shared" si="192"/>
        <v>0</v>
      </c>
      <c r="P756" s="14">
        <f t="shared" si="186"/>
        <v>0</v>
      </c>
    </row>
    <row r="757" spans="1:16" x14ac:dyDescent="0.25">
      <c r="A757" s="14">
        <f t="shared" si="178"/>
        <v>3.6649999999999441</v>
      </c>
      <c r="B757" s="14">
        <f t="shared" si="187"/>
        <v>30.649363039231201</v>
      </c>
      <c r="C757" s="14">
        <f t="shared" si="188"/>
        <v>-11.126293838542729</v>
      </c>
      <c r="D757" s="14">
        <f t="shared" si="189"/>
        <v>0</v>
      </c>
      <c r="E757" s="14">
        <f t="shared" si="179"/>
        <v>0</v>
      </c>
      <c r="F757" s="14">
        <f t="shared" si="190"/>
        <v>-7.5186659066695221</v>
      </c>
      <c r="G757" s="14">
        <f t="shared" si="180"/>
        <v>-1.3955277921690799</v>
      </c>
      <c r="H757" s="14">
        <f t="shared" si="181"/>
        <v>7.3880199781401723</v>
      </c>
      <c r="I757" s="14">
        <f t="shared" si="182"/>
        <v>2.8836173761394326</v>
      </c>
      <c r="J757" s="14">
        <f t="shared" si="191"/>
        <v>-15.315068439322843</v>
      </c>
      <c r="K757" s="14">
        <f t="shared" si="183"/>
        <v>-79.336830018101907</v>
      </c>
      <c r="L757" s="14">
        <f t="shared" si="184"/>
        <v>15.584176926392869</v>
      </c>
      <c r="M757" s="14">
        <f t="shared" si="193"/>
        <v>17.306585567480067</v>
      </c>
      <c r="N757" s="14">
        <f t="shared" si="185"/>
        <v>-15.058936748669078</v>
      </c>
      <c r="O757" s="14">
        <f t="shared" si="192"/>
        <v>0</v>
      </c>
      <c r="P757" s="14">
        <f t="shared" si="186"/>
        <v>0</v>
      </c>
    </row>
    <row r="758" spans="1:16" x14ac:dyDescent="0.25">
      <c r="A758" s="14">
        <f t="shared" si="178"/>
        <v>3.669999999999944</v>
      </c>
      <c r="B758" s="14">
        <f t="shared" si="187"/>
        <v>30.649363039231201</v>
      </c>
      <c r="C758" s="14">
        <f t="shared" si="188"/>
        <v>-11.231387957012764</v>
      </c>
      <c r="D758" s="14">
        <f t="shared" si="189"/>
        <v>0</v>
      </c>
      <c r="E758" s="14">
        <f t="shared" si="179"/>
        <v>0</v>
      </c>
      <c r="F758" s="14">
        <f t="shared" si="190"/>
        <v>-7.5288636846665931</v>
      </c>
      <c r="G758" s="14">
        <f t="shared" si="180"/>
        <v>-1.3931029047111085</v>
      </c>
      <c r="H758" s="14">
        <f t="shared" si="181"/>
        <v>7.3988548221449042</v>
      </c>
      <c r="I758" s="14">
        <f t="shared" si="182"/>
        <v>2.8766518616158772</v>
      </c>
      <c r="J758" s="14">
        <f t="shared" si="191"/>
        <v>-15.327074165212119</v>
      </c>
      <c r="K758" s="14">
        <f t="shared" si="183"/>
        <v>-79.370141640078629</v>
      </c>
      <c r="L758" s="14">
        <f t="shared" si="184"/>
        <v>15.594689108759137</v>
      </c>
      <c r="M758" s="14">
        <f t="shared" si="193"/>
        <v>17.306585567480067</v>
      </c>
      <c r="N758" s="14">
        <f t="shared" si="185"/>
        <v>-15.135572119495139</v>
      </c>
      <c r="O758" s="14">
        <f t="shared" si="192"/>
        <v>0</v>
      </c>
      <c r="P758" s="14">
        <f t="shared" si="186"/>
        <v>0</v>
      </c>
    </row>
    <row r="759" spans="1:16" x14ac:dyDescent="0.25">
      <c r="A759" s="14">
        <f t="shared" si="178"/>
        <v>3.6749999999999439</v>
      </c>
      <c r="B759" s="14">
        <f t="shared" si="187"/>
        <v>30.649363039231201</v>
      </c>
      <c r="C759" s="14">
        <f t="shared" si="188"/>
        <v>-11.336727075482813</v>
      </c>
      <c r="D759" s="14">
        <f t="shared" si="189"/>
        <v>0</v>
      </c>
      <c r="E759" s="14">
        <f t="shared" si="179"/>
        <v>0</v>
      </c>
      <c r="F759" s="14">
        <f t="shared" si="190"/>
        <v>-7.5390241803643772</v>
      </c>
      <c r="G759" s="14">
        <f t="shared" si="180"/>
        <v>-1.3906752351370175</v>
      </c>
      <c r="H759" s="14">
        <f t="shared" si="181"/>
        <v>7.4096496531546867</v>
      </c>
      <c r="I759" s="14">
        <f t="shared" si="182"/>
        <v>2.8696984854401921</v>
      </c>
      <c r="J759" s="14">
        <f t="shared" si="191"/>
        <v>-15.339025916946346</v>
      </c>
      <c r="K759" s="14">
        <f t="shared" si="183"/>
        <v>-79.403328121899051</v>
      </c>
      <c r="L759" s="14">
        <f t="shared" si="184"/>
        <v>15.605155733862107</v>
      </c>
      <c r="M759" s="14">
        <f t="shared" si="193"/>
        <v>17.306585567480067</v>
      </c>
      <c r="N759" s="14">
        <f t="shared" si="185"/>
        <v>-15.21226724907987</v>
      </c>
      <c r="O759" s="14">
        <f t="shared" si="192"/>
        <v>0</v>
      </c>
      <c r="P759" s="14">
        <f t="shared" si="186"/>
        <v>0</v>
      </c>
    </row>
    <row r="760" spans="1:16" x14ac:dyDescent="0.25">
      <c r="A760" s="14">
        <f t="shared" si="178"/>
        <v>3.6799999999999438</v>
      </c>
      <c r="B760" s="14">
        <f t="shared" si="187"/>
        <v>30.649363039231201</v>
      </c>
      <c r="C760" s="14">
        <f t="shared" si="188"/>
        <v>-11.442311193952854</v>
      </c>
      <c r="D760" s="14">
        <f t="shared" si="189"/>
        <v>0</v>
      </c>
      <c r="E760" s="14">
        <f t="shared" si="179"/>
        <v>0</v>
      </c>
      <c r="F760" s="14">
        <f t="shared" si="190"/>
        <v>-7.5491474498207705</v>
      </c>
      <c r="G760" s="14">
        <f t="shared" si="180"/>
        <v>-1.3882448450101941</v>
      </c>
      <c r="H760" s="14">
        <f t="shared" si="181"/>
        <v>7.4204045354305359</v>
      </c>
      <c r="I760" s="14">
        <f t="shared" si="182"/>
        <v>2.8627572612151413</v>
      </c>
      <c r="J760" s="14">
        <f t="shared" si="191"/>
        <v>-15.350923894269194</v>
      </c>
      <c r="K760" s="14">
        <f t="shared" si="183"/>
        <v>-79.436390102223484</v>
      </c>
      <c r="L760" s="14">
        <f t="shared" si="184"/>
        <v>15.615576952014449</v>
      </c>
      <c r="M760" s="14">
        <f t="shared" si="193"/>
        <v>17.306585567480067</v>
      </c>
      <c r="N760" s="14">
        <f t="shared" si="185"/>
        <v>-15.289021868551217</v>
      </c>
      <c r="O760" s="14">
        <f t="shared" si="192"/>
        <v>0</v>
      </c>
      <c r="P760" s="14">
        <f t="shared" si="186"/>
        <v>0</v>
      </c>
    </row>
    <row r="761" spans="1:16" x14ac:dyDescent="0.25">
      <c r="A761" s="14">
        <f t="shared" si="178"/>
        <v>3.6849999999999437</v>
      </c>
      <c r="B761" s="14">
        <f t="shared" si="187"/>
        <v>30.649363039231201</v>
      </c>
      <c r="C761" s="14">
        <f t="shared" si="188"/>
        <v>-11.548140312422902</v>
      </c>
      <c r="D761" s="14">
        <f t="shared" si="189"/>
        <v>0</v>
      </c>
      <c r="E761" s="14">
        <f t="shared" si="179"/>
        <v>0</v>
      </c>
      <c r="F761" s="14">
        <f t="shared" si="190"/>
        <v>-7.5592335498728298</v>
      </c>
      <c r="G761" s="14">
        <f t="shared" si="180"/>
        <v>-1.3858117955307372</v>
      </c>
      <c r="H761" s="14">
        <f t="shared" si="181"/>
        <v>7.431119534019814</v>
      </c>
      <c r="I761" s="14">
        <f t="shared" si="182"/>
        <v>2.8558282022374875</v>
      </c>
      <c r="J761" s="14">
        <f t="shared" si="191"/>
        <v>-15.362768296599095</v>
      </c>
      <c r="K761" s="14">
        <f t="shared" si="183"/>
        <v>-79.469328215223371</v>
      </c>
      <c r="L761" s="14">
        <f t="shared" si="184"/>
        <v>15.625952913524515</v>
      </c>
      <c r="M761" s="14">
        <f t="shared" si="193"/>
        <v>17.306585567480067</v>
      </c>
      <c r="N761" s="14">
        <f t="shared" si="185"/>
        <v>-15.365835710034212</v>
      </c>
      <c r="O761" s="14">
        <f t="shared" si="192"/>
        <v>0</v>
      </c>
      <c r="P761" s="14">
        <f t="shared" si="186"/>
        <v>0</v>
      </c>
    </row>
    <row r="762" spans="1:16" x14ac:dyDescent="0.25">
      <c r="A762" s="14">
        <f t="shared" si="178"/>
        <v>3.6899999999999435</v>
      </c>
      <c r="B762" s="14">
        <f t="shared" si="187"/>
        <v>30.649363039231201</v>
      </c>
      <c r="C762" s="14">
        <f t="shared" si="188"/>
        <v>-11.654214430892935</v>
      </c>
      <c r="D762" s="14">
        <f t="shared" si="189"/>
        <v>0</v>
      </c>
      <c r="E762" s="14">
        <f t="shared" si="179"/>
        <v>0</v>
      </c>
      <c r="F762" s="14">
        <f t="shared" si="190"/>
        <v>-7.5692825381262425</v>
      </c>
      <c r="G762" s="14">
        <f t="shared" si="180"/>
        <v>-1.383376147535629</v>
      </c>
      <c r="H762" s="14">
        <f t="shared" si="181"/>
        <v>7.4417947147453836</v>
      </c>
      <c r="I762" s="14">
        <f t="shared" si="182"/>
        <v>2.8489113214998092</v>
      </c>
      <c r="J762" s="14">
        <f t="shared" si="191"/>
        <v>-15.374559323025368</v>
      </c>
      <c r="K762" s="14">
        <f t="shared" si="183"/>
        <v>-79.50214309062082</v>
      </c>
      <c r="L762" s="14">
        <f t="shared" si="184"/>
        <v>15.636283768689927</v>
      </c>
      <c r="M762" s="14">
        <f t="shared" si="193"/>
        <v>17.306585567480067</v>
      </c>
      <c r="N762" s="14">
        <f t="shared" si="185"/>
        <v>-15.442708506649339</v>
      </c>
      <c r="O762" s="14">
        <f t="shared" si="192"/>
        <v>0</v>
      </c>
      <c r="P762" s="14">
        <f t="shared" si="186"/>
        <v>0</v>
      </c>
    </row>
    <row r="763" spans="1:16" x14ac:dyDescent="0.25">
      <c r="A763" s="14">
        <f t="shared" si="178"/>
        <v>3.6949999999999434</v>
      </c>
      <c r="B763" s="14">
        <f t="shared" si="187"/>
        <v>30.649363039231201</v>
      </c>
      <c r="C763" s="14">
        <f t="shared" si="188"/>
        <v>-11.760533549362968</v>
      </c>
      <c r="D763" s="14">
        <f t="shared" si="189"/>
        <v>0</v>
      </c>
      <c r="E763" s="14">
        <f t="shared" si="179"/>
        <v>0</v>
      </c>
      <c r="F763" s="14">
        <f t="shared" si="190"/>
        <v>-7.579294472944877</v>
      </c>
      <c r="G763" s="14">
        <f t="shared" si="180"/>
        <v>-1.3809379614989368</v>
      </c>
      <c r="H763" s="14">
        <f t="shared" si="181"/>
        <v>7.4524301441948397</v>
      </c>
      <c r="I763" s="14">
        <f t="shared" si="182"/>
        <v>2.8420066316923145</v>
      </c>
      <c r="J763" s="14">
        <f t="shared" si="191"/>
        <v>-15.386297172304394</v>
      </c>
      <c r="K763" s="14">
        <f t="shared" si="183"/>
        <v>-79.53483535372763</v>
      </c>
      <c r="L763" s="14">
        <f t="shared" si="184"/>
        <v>15.646569667791253</v>
      </c>
      <c r="M763" s="14">
        <f t="shared" si="193"/>
        <v>17.306585567480067</v>
      </c>
      <c r="N763" s="14">
        <f t="shared" si="185"/>
        <v>-15.519639992510861</v>
      </c>
      <c r="O763" s="14">
        <f t="shared" si="192"/>
        <v>0</v>
      </c>
      <c r="P763" s="14">
        <f t="shared" si="186"/>
        <v>0</v>
      </c>
    </row>
    <row r="764" spans="1:16" x14ac:dyDescent="0.25">
      <c r="A764" s="14">
        <f t="shared" si="178"/>
        <v>3.6999999999999433</v>
      </c>
      <c r="B764" s="14">
        <f t="shared" si="187"/>
        <v>30.649363039231201</v>
      </c>
      <c r="C764" s="14">
        <f t="shared" si="188"/>
        <v>-11.867097667833008</v>
      </c>
      <c r="D764" s="14">
        <f t="shared" si="189"/>
        <v>0</v>
      </c>
      <c r="E764" s="14">
        <f t="shared" si="179"/>
        <v>0</v>
      </c>
      <c r="F764" s="14">
        <f t="shared" si="190"/>
        <v>-7.5892694134404035</v>
      </c>
      <c r="G764" s="14">
        <f t="shared" si="180"/>
        <v>-1.3784972975320557</v>
      </c>
      <c r="H764" s="14">
        <f t="shared" si="181"/>
        <v>7.4630258897098081</v>
      </c>
      <c r="I764" s="14">
        <f t="shared" si="182"/>
        <v>2.835114145204654</v>
      </c>
      <c r="J764" s="14">
        <f t="shared" si="191"/>
        <v>-15.397982042855844</v>
      </c>
      <c r="K764" s="14">
        <f t="shared" si="183"/>
        <v>-79.567405625484028</v>
      </c>
      <c r="L764" s="14">
        <f t="shared" si="184"/>
        <v>15.656810761085749</v>
      </c>
      <c r="M764" s="14">
        <f t="shared" si="193"/>
        <v>17.306585567480067</v>
      </c>
      <c r="N764" s="14">
        <f t="shared" si="185"/>
        <v>-15.596629902725139</v>
      </c>
      <c r="O764" s="14">
        <f t="shared" si="192"/>
        <v>0</v>
      </c>
      <c r="P764" s="14">
        <f t="shared" si="186"/>
        <v>0</v>
      </c>
    </row>
    <row r="765" spans="1:16" x14ac:dyDescent="0.25">
      <c r="A765" s="14">
        <f t="shared" si="178"/>
        <v>3.7049999999999432</v>
      </c>
      <c r="B765" s="14">
        <f t="shared" si="187"/>
        <v>30.649363039231201</v>
      </c>
      <c r="C765" s="14">
        <f t="shared" si="188"/>
        <v>-11.973906786303061</v>
      </c>
      <c r="D765" s="14">
        <f t="shared" si="189"/>
        <v>0</v>
      </c>
      <c r="E765" s="14">
        <f t="shared" si="179"/>
        <v>0</v>
      </c>
      <c r="F765" s="14">
        <f t="shared" si="190"/>
        <v>-7.5992074194619663</v>
      </c>
      <c r="G765" s="14">
        <f t="shared" si="180"/>
        <v>-1.3760542153839466</v>
      </c>
      <c r="H765" s="14">
        <f t="shared" si="181"/>
        <v>7.4735820193753053</v>
      </c>
      <c r="I765" s="14">
        <f t="shared" si="182"/>
        <v>2.8282338741277342</v>
      </c>
      <c r="J765" s="14">
        <f t="shared" si="191"/>
        <v>-15.409614132758968</v>
      </c>
      <c r="K765" s="14">
        <f t="shared" si="183"/>
        <v>-79.59985452249704</v>
      </c>
      <c r="L765" s="14">
        <f t="shared" si="184"/>
        <v>15.667007198801194</v>
      </c>
      <c r="M765" s="14">
        <f t="shared" si="193"/>
        <v>17.306585567480067</v>
      </c>
      <c r="N765" s="14">
        <f t="shared" si="185"/>
        <v>-15.673677973388934</v>
      </c>
      <c r="O765" s="14">
        <f t="shared" si="192"/>
        <v>0</v>
      </c>
      <c r="P765" s="14">
        <f t="shared" si="186"/>
        <v>0</v>
      </c>
    </row>
    <row r="766" spans="1:16" x14ac:dyDescent="0.25">
      <c r="A766" s="14">
        <f t="shared" si="178"/>
        <v>3.7099999999999431</v>
      </c>
      <c r="B766" s="14">
        <f t="shared" si="187"/>
        <v>30.649363039231201</v>
      </c>
      <c r="C766" s="14">
        <f t="shared" si="188"/>
        <v>-12.0809609047731</v>
      </c>
      <c r="D766" s="14">
        <f t="shared" si="189"/>
        <v>0</v>
      </c>
      <c r="E766" s="14">
        <f t="shared" si="179"/>
        <v>0</v>
      </c>
      <c r="F766" s="14">
        <f t="shared" si="190"/>
        <v>-7.6091085515859413</v>
      </c>
      <c r="G766" s="14">
        <f t="shared" si="180"/>
        <v>-1.3736087744414296</v>
      </c>
      <c r="H766" s="14">
        <f t="shared" si="181"/>
        <v>7.4840986020091833</v>
      </c>
      <c r="I766" s="14">
        <f t="shared" si="182"/>
        <v>2.8213658302555271</v>
      </c>
      <c r="J766" s="14">
        <f t="shared" si="191"/>
        <v>-15.421193639748921</v>
      </c>
      <c r="K766" s="14">
        <f t="shared" si="183"/>
        <v>-79.63218265707826</v>
      </c>
      <c r="L766" s="14">
        <f t="shared" si="184"/>
        <v>15.677159131129786</v>
      </c>
      <c r="M766" s="14">
        <f t="shared" si="193"/>
        <v>17.306585567480067</v>
      </c>
      <c r="N766" s="14">
        <f t="shared" si="185"/>
        <v>-15.750783941587677</v>
      </c>
      <c r="O766" s="14">
        <f t="shared" si="192"/>
        <v>0</v>
      </c>
      <c r="P766" s="14">
        <f t="shared" si="186"/>
        <v>0</v>
      </c>
    </row>
    <row r="767" spans="1:16" x14ac:dyDescent="0.25">
      <c r="A767" s="14">
        <f t="shared" si="178"/>
        <v>3.714999999999943</v>
      </c>
      <c r="B767" s="14">
        <f t="shared" si="187"/>
        <v>30.649363039231201</v>
      </c>
      <c r="C767" s="14">
        <f t="shared" si="188"/>
        <v>-12.188260023243132</v>
      </c>
      <c r="D767" s="14">
        <f t="shared" si="189"/>
        <v>0</v>
      </c>
      <c r="E767" s="14">
        <f t="shared" si="179"/>
        <v>0</v>
      </c>
      <c r="F767" s="14">
        <f t="shared" si="190"/>
        <v>-7.6189728711057461</v>
      </c>
      <c r="G767" s="14">
        <f t="shared" si="180"/>
        <v>-1.3711610337294877</v>
      </c>
      <c r="H767" s="14">
        <f t="shared" si="181"/>
        <v>7.494575707151621</v>
      </c>
      <c r="I767" s="14">
        <f t="shared" si="182"/>
        <v>2.8145100250868795</v>
      </c>
      <c r="J767" s="14">
        <f t="shared" si="191"/>
        <v>-15.432720761213163</v>
      </c>
      <c r="K767" s="14">
        <f t="shared" si="183"/>
        <v>-79.664390637281571</v>
      </c>
      <c r="L767" s="14">
        <f t="shared" si="184"/>
        <v>15.687266708222129</v>
      </c>
      <c r="M767" s="14">
        <f t="shared" si="193"/>
        <v>17.306585567480067</v>
      </c>
      <c r="N767" s="14">
        <f t="shared" si="185"/>
        <v>-15.827947545393743</v>
      </c>
      <c r="O767" s="14">
        <f t="shared" si="192"/>
        <v>0</v>
      </c>
      <c r="P767" s="14">
        <f t="shared" si="186"/>
        <v>0</v>
      </c>
    </row>
    <row r="768" spans="1:16" x14ac:dyDescent="0.25">
      <c r="A768" s="14">
        <f t="shared" si="178"/>
        <v>3.7199999999999429</v>
      </c>
      <c r="B768" s="14">
        <f t="shared" si="187"/>
        <v>30.649363039231201</v>
      </c>
      <c r="C768" s="14">
        <f t="shared" si="188"/>
        <v>-12.295804141713184</v>
      </c>
      <c r="D768" s="14">
        <f t="shared" si="189"/>
        <v>0</v>
      </c>
      <c r="E768" s="14">
        <f t="shared" si="179"/>
        <v>0</v>
      </c>
      <c r="F768" s="14">
        <f t="shared" si="190"/>
        <v>-7.6288004400217249</v>
      </c>
      <c r="G768" s="14">
        <f t="shared" si="180"/>
        <v>-1.368711051911587</v>
      </c>
      <c r="H768" s="14">
        <f t="shared" si="181"/>
        <v>7.5050134050546999</v>
      </c>
      <c r="I768" s="14">
        <f t="shared" si="182"/>
        <v>2.8076664698273217</v>
      </c>
      <c r="J768" s="14">
        <f t="shared" si="191"/>
        <v>-15.44419569418789</v>
      </c>
      <c r="K768" s="14">
        <f t="shared" si="183"/>
        <v>-79.696479066940185</v>
      </c>
      <c r="L768" s="14">
        <f t="shared" si="184"/>
        <v>15.69733008018129</v>
      </c>
      <c r="M768" s="14">
        <f t="shared" si="193"/>
        <v>17.306585567480067</v>
      </c>
      <c r="N768" s="14">
        <f t="shared" si="185"/>
        <v>-15.905168523864681</v>
      </c>
      <c r="O768" s="14">
        <f t="shared" si="192"/>
        <v>0</v>
      </c>
      <c r="P768" s="14">
        <f t="shared" si="186"/>
        <v>0</v>
      </c>
    </row>
    <row r="769" spans="1:16" x14ac:dyDescent="0.25">
      <c r="A769" s="14">
        <f t="shared" ref="A769:A832" si="194">A768+$A$22</f>
        <v>3.7249999999999428</v>
      </c>
      <c r="B769" s="14">
        <f t="shared" si="187"/>
        <v>30.649363039231201</v>
      </c>
      <c r="C769" s="14">
        <f t="shared" si="188"/>
        <v>-12.403593260183207</v>
      </c>
      <c r="D769" s="14">
        <f t="shared" si="189"/>
        <v>0</v>
      </c>
      <c r="E769" s="14">
        <f t="shared" ref="E769:E832" si="195">IF(AND(C770-C769&lt;0,C769&lt;$B$18),0,1)</f>
        <v>0</v>
      </c>
      <c r="F769" s="14">
        <f t="shared" si="190"/>
        <v>-7.6385913210310949</v>
      </c>
      <c r="G769" s="14">
        <f t="shared" ref="G769:G832" si="196">$F769*COS(PI()/180*$K768)</f>
        <v>-1.3662588872900416</v>
      </c>
      <c r="H769" s="14">
        <f t="shared" ref="H769:H832" si="197">$F769*SIN(PI()/180*$K768)</f>
        <v>7.515411766672039</v>
      </c>
      <c r="I769" s="14">
        <f t="shared" ref="I769:I832" si="198">I768+G769*$A$22</f>
        <v>2.8008351753908713</v>
      </c>
      <c r="J769" s="14">
        <f t="shared" si="191"/>
        <v>-15.455618635354529</v>
      </c>
      <c r="K769" s="14">
        <f t="shared" ref="K769:K832" si="199">180/PI()*ATAN(J769/I769)</f>
        <v>-79.728448545703472</v>
      </c>
      <c r="L769" s="14">
        <f t="shared" ref="L769:L832" si="200">SQRT(I769^2+J769^2)</f>
        <v>15.707349397056941</v>
      </c>
      <c r="M769" s="14">
        <f t="shared" si="193"/>
        <v>17.306585567480067</v>
      </c>
      <c r="N769" s="14">
        <f t="shared" ref="N769:N832" si="201">N768+J769*$A$22</f>
        <v>-15.982446617041454</v>
      </c>
      <c r="O769" s="14">
        <f t="shared" si="192"/>
        <v>0</v>
      </c>
      <c r="P769" s="14">
        <f t="shared" ref="P769:P832" si="202">IF(AND(N770-N769&lt;0,N769&lt;$B$18),0,1)</f>
        <v>0</v>
      </c>
    </row>
    <row r="770" spans="1:16" x14ac:dyDescent="0.25">
      <c r="A770" s="14">
        <f t="shared" si="194"/>
        <v>3.7299999999999427</v>
      </c>
      <c r="B770" s="14">
        <f t="shared" si="187"/>
        <v>30.649363039231201</v>
      </c>
      <c r="C770" s="14">
        <f t="shared" si="188"/>
        <v>-12.511627378653259</v>
      </c>
      <c r="D770" s="14">
        <f t="shared" si="189"/>
        <v>0</v>
      </c>
      <c r="E770" s="14">
        <f t="shared" si="195"/>
        <v>0</v>
      </c>
      <c r="F770" s="14">
        <f t="shared" si="190"/>
        <v>-7.6483455775179765</v>
      </c>
      <c r="G770" s="14">
        <f t="shared" si="196"/>
        <v>-1.3638045978063826</v>
      </c>
      <c r="H770" s="14">
        <f t="shared" si="197"/>
        <v>7.5257708636485185</v>
      </c>
      <c r="I770" s="14">
        <f t="shared" si="198"/>
        <v>2.7940161524018396</v>
      </c>
      <c r="J770" s="14">
        <f t="shared" si="191"/>
        <v>-15.466989781036286</v>
      </c>
      <c r="K770" s="14">
        <f t="shared" si="199"/>
        <v>-79.760299669073433</v>
      </c>
      <c r="L770" s="14">
        <f t="shared" si="200"/>
        <v>15.717324808839553</v>
      </c>
      <c r="M770" s="14">
        <f t="shared" si="193"/>
        <v>17.306585567480067</v>
      </c>
      <c r="N770" s="14">
        <f t="shared" si="201"/>
        <v>-16.059781565946636</v>
      </c>
      <c r="O770" s="14">
        <f t="shared" si="192"/>
        <v>0</v>
      </c>
      <c r="P770" s="14">
        <f t="shared" si="202"/>
        <v>0</v>
      </c>
    </row>
    <row r="771" spans="1:16" x14ac:dyDescent="0.25">
      <c r="A771" s="14">
        <f t="shared" si="194"/>
        <v>3.7349999999999426</v>
      </c>
      <c r="B771" s="14">
        <f t="shared" si="187"/>
        <v>30.649363039231201</v>
      </c>
      <c r="C771" s="14">
        <f t="shared" si="188"/>
        <v>-12.619906497123303</v>
      </c>
      <c r="D771" s="14">
        <f t="shared" si="189"/>
        <v>0</v>
      </c>
      <c r="E771" s="14">
        <f t="shared" si="195"/>
        <v>0</v>
      </c>
      <c r="F771" s="14">
        <f t="shared" si="190"/>
        <v>-7.6580632735434619</v>
      </c>
      <c r="G771" s="14">
        <f t="shared" si="196"/>
        <v>-1.3613482410417592</v>
      </c>
      <c r="H771" s="14">
        <f t="shared" si="197"/>
        <v>7.5360907683100331</v>
      </c>
      <c r="I771" s="14">
        <f t="shared" si="198"/>
        <v>2.7872094111966308</v>
      </c>
      <c r="J771" s="14">
        <f t="shared" si="191"/>
        <v>-15.478309327194737</v>
      </c>
      <c r="K771" s="14">
        <f t="shared" si="199"/>
        <v>-79.792033028440599</v>
      </c>
      <c r="L771" s="14">
        <f t="shared" si="200"/>
        <v>15.727256465454699</v>
      </c>
      <c r="M771" s="14">
        <f t="shared" si="193"/>
        <v>17.306585567480067</v>
      </c>
      <c r="N771" s="14">
        <f t="shared" si="201"/>
        <v>-16.137173112582609</v>
      </c>
      <c r="O771" s="14">
        <f t="shared" si="192"/>
        <v>0</v>
      </c>
      <c r="P771" s="14">
        <f t="shared" si="202"/>
        <v>0</v>
      </c>
    </row>
    <row r="772" spans="1:16" x14ac:dyDescent="0.25">
      <c r="A772" s="14">
        <f t="shared" si="194"/>
        <v>3.7399999999999425</v>
      </c>
      <c r="B772" s="14">
        <f t="shared" si="187"/>
        <v>30.649363039231201</v>
      </c>
      <c r="C772" s="14">
        <f t="shared" si="188"/>
        <v>-12.728430615593346</v>
      </c>
      <c r="D772" s="14">
        <f t="shared" si="189"/>
        <v>0</v>
      </c>
      <c r="E772" s="14">
        <f t="shared" si="195"/>
        <v>0</v>
      </c>
      <c r="F772" s="14">
        <f t="shared" si="190"/>
        <v>-7.6677444738357865</v>
      </c>
      <c r="G772" s="14">
        <f t="shared" si="196"/>
        <v>-1.3588898742173687</v>
      </c>
      <c r="H772" s="14">
        <f t="shared" si="197"/>
        <v>7.5463715536533673</v>
      </c>
      <c r="I772" s="14">
        <f t="shared" si="198"/>
        <v>2.780414961825544</v>
      </c>
      <c r="J772" s="14">
        <f t="shared" si="191"/>
        <v>-15.48957746942647</v>
      </c>
      <c r="K772" s="14">
        <f t="shared" si="199"/>
        <v>-79.823649211119886</v>
      </c>
      <c r="L772" s="14">
        <f t="shared" si="200"/>
        <v>15.737144516757398</v>
      </c>
      <c r="M772" s="14">
        <f t="shared" si="193"/>
        <v>17.306585567480067</v>
      </c>
      <c r="N772" s="14">
        <f t="shared" si="201"/>
        <v>-16.214620999929743</v>
      </c>
      <c r="O772" s="14">
        <f t="shared" si="192"/>
        <v>0</v>
      </c>
      <c r="P772" s="14">
        <f t="shared" si="202"/>
        <v>0</v>
      </c>
    </row>
    <row r="773" spans="1:16" x14ac:dyDescent="0.25">
      <c r="A773" s="14">
        <f t="shared" si="194"/>
        <v>3.7449999999999424</v>
      </c>
      <c r="B773" s="14">
        <f t="shared" si="187"/>
        <v>30.649363039231201</v>
      </c>
      <c r="C773" s="14">
        <f t="shared" si="188"/>
        <v>-12.837199734063375</v>
      </c>
      <c r="D773" s="14">
        <f t="shared" si="189"/>
        <v>0</v>
      </c>
      <c r="E773" s="14">
        <f t="shared" si="195"/>
        <v>0</v>
      </c>
      <c r="F773" s="14">
        <f t="shared" si="190"/>
        <v>-7.6773892437805307</v>
      </c>
      <c r="G773" s="14">
        <f t="shared" si="196"/>
        <v>-1.3564295541948965</v>
      </c>
      <c r="H773" s="14">
        <f t="shared" si="197"/>
        <v>7.5566132933360848</v>
      </c>
      <c r="I773" s="14">
        <f t="shared" si="198"/>
        <v>2.7736328140545696</v>
      </c>
      <c r="J773" s="14">
        <f t="shared" si="191"/>
        <v>-15.500794402959789</v>
      </c>
      <c r="K773" s="14">
        <f t="shared" si="199"/>
        <v>-79.855148800385876</v>
      </c>
      <c r="L773" s="14">
        <f t="shared" si="200"/>
        <v>15.746989112526553</v>
      </c>
      <c r="M773" s="14">
        <f t="shared" si="193"/>
        <v>17.306585567480067</v>
      </c>
      <c r="N773" s="14">
        <f t="shared" si="201"/>
        <v>-16.292124971944542</v>
      </c>
      <c r="O773" s="14">
        <f t="shared" si="192"/>
        <v>0</v>
      </c>
      <c r="P773" s="14">
        <f t="shared" si="202"/>
        <v>0</v>
      </c>
    </row>
    <row r="774" spans="1:16" x14ac:dyDescent="0.25">
      <c r="A774" s="14">
        <f t="shared" si="194"/>
        <v>3.7499999999999423</v>
      </c>
      <c r="B774" s="14">
        <f t="shared" si="187"/>
        <v>30.649363039231201</v>
      </c>
      <c r="C774" s="14">
        <f t="shared" si="188"/>
        <v>-12.946213852533425</v>
      </c>
      <c r="D774" s="14">
        <f t="shared" si="189"/>
        <v>0</v>
      </c>
      <c r="E774" s="14">
        <f t="shared" si="195"/>
        <v>0</v>
      </c>
      <c r="F774" s="14">
        <f t="shared" si="190"/>
        <v>-7.686997649410924</v>
      </c>
      <c r="G774" s="14">
        <f t="shared" si="196"/>
        <v>-1.3539673374769745</v>
      </c>
      <c r="H774" s="14">
        <f t="shared" si="197"/>
        <v>7.5668160616665308</v>
      </c>
      <c r="I774" s="14">
        <f t="shared" si="198"/>
        <v>2.7668629773671847</v>
      </c>
      <c r="J774" s="14">
        <f t="shared" si="191"/>
        <v>-15.511960322651456</v>
      </c>
      <c r="K774" s="14">
        <f t="shared" si="199"/>
        <v>-79.886532375507755</v>
      </c>
      <c r="L774" s="14">
        <f t="shared" si="200"/>
        <v>15.756790402459451</v>
      </c>
      <c r="M774" s="14">
        <f t="shared" si="193"/>
        <v>17.306585567480067</v>
      </c>
      <c r="N774" s="14">
        <f t="shared" si="201"/>
        <v>-16.3696847735578</v>
      </c>
      <c r="O774" s="14">
        <f t="shared" si="192"/>
        <v>0</v>
      </c>
      <c r="P774" s="14">
        <f t="shared" si="202"/>
        <v>0</v>
      </c>
    </row>
    <row r="775" spans="1:16" x14ac:dyDescent="0.25">
      <c r="A775" s="14">
        <f t="shared" si="194"/>
        <v>3.7549999999999422</v>
      </c>
      <c r="B775" s="14">
        <f t="shared" si="187"/>
        <v>30.649363039231201</v>
      </c>
      <c r="C775" s="14">
        <f t="shared" si="188"/>
        <v>-13.055472971003468</v>
      </c>
      <c r="D775" s="14">
        <f t="shared" si="189"/>
        <v>0</v>
      </c>
      <c r="E775" s="14">
        <f t="shared" si="195"/>
        <v>0</v>
      </c>
      <c r="F775" s="14">
        <f t="shared" si="190"/>
        <v>-7.6965697573981862</v>
      </c>
      <c r="G775" s="14">
        <f t="shared" si="196"/>
        <v>-1.3515032802076881</v>
      </c>
      <c r="H775" s="14">
        <f t="shared" si="197"/>
        <v>7.5769799335938748</v>
      </c>
      <c r="I775" s="14">
        <f t="shared" si="198"/>
        <v>2.7601054609661464</v>
      </c>
      <c r="J775" s="14">
        <f t="shared" si="191"/>
        <v>-15.523075422983487</v>
      </c>
      <c r="K775" s="14">
        <f t="shared" si="199"/>
        <v>-79.917800511783952</v>
      </c>
      <c r="L775" s="14">
        <f t="shared" si="200"/>
        <v>15.766548536166345</v>
      </c>
      <c r="M775" s="14">
        <f t="shared" si="193"/>
        <v>17.306585567480067</v>
      </c>
      <c r="N775" s="14">
        <f t="shared" si="201"/>
        <v>-16.447300150672717</v>
      </c>
      <c r="O775" s="14">
        <f t="shared" si="192"/>
        <v>0</v>
      </c>
      <c r="P775" s="14">
        <f t="shared" si="202"/>
        <v>0</v>
      </c>
    </row>
    <row r="776" spans="1:16" x14ac:dyDescent="0.25">
      <c r="A776" s="14">
        <f t="shared" si="194"/>
        <v>3.7599999999999421</v>
      </c>
      <c r="B776" s="14">
        <f t="shared" si="187"/>
        <v>30.649363039231201</v>
      </c>
      <c r="C776" s="14">
        <f t="shared" si="188"/>
        <v>-13.16497708947351</v>
      </c>
      <c r="D776" s="14">
        <f t="shared" si="189"/>
        <v>0</v>
      </c>
      <c r="E776" s="14">
        <f t="shared" si="195"/>
        <v>0</v>
      </c>
      <c r="F776" s="14">
        <f t="shared" si="190"/>
        <v>-7.706105635041963</v>
      </c>
      <c r="G776" s="14">
        <f t="shared" si="196"/>
        <v>-1.3490374381730772</v>
      </c>
      <c r="H776" s="14">
        <f t="shared" si="197"/>
        <v>7.5871049846982421</v>
      </c>
      <c r="I776" s="14">
        <f t="shared" si="198"/>
        <v>2.7533602737752809</v>
      </c>
      <c r="J776" s="14">
        <f t="shared" si="191"/>
        <v>-15.534139898059996</v>
      </c>
      <c r="K776" s="14">
        <f t="shared" si="199"/>
        <v>-79.948953780576502</v>
      </c>
      <c r="L776" s="14">
        <f t="shared" si="200"/>
        <v>15.776263663165095</v>
      </c>
      <c r="M776" s="14">
        <f t="shared" si="193"/>
        <v>17.306585567480067</v>
      </c>
      <c r="N776" s="14">
        <f t="shared" si="201"/>
        <v>-16.524970850163019</v>
      </c>
      <c r="O776" s="14">
        <f t="shared" si="192"/>
        <v>0</v>
      </c>
      <c r="P776" s="14">
        <f t="shared" si="202"/>
        <v>0</v>
      </c>
    </row>
    <row r="777" spans="1:16" x14ac:dyDescent="0.25">
      <c r="A777" s="14">
        <f t="shared" si="194"/>
        <v>3.7649999999999419</v>
      </c>
      <c r="B777" s="14">
        <f t="shared" si="187"/>
        <v>30.649363039231201</v>
      </c>
      <c r="C777" s="14">
        <f t="shared" si="188"/>
        <v>-13.274726207943552</v>
      </c>
      <c r="D777" s="14">
        <f t="shared" si="189"/>
        <v>0</v>
      </c>
      <c r="E777" s="14">
        <f t="shared" si="195"/>
        <v>0</v>
      </c>
      <c r="F777" s="14">
        <f t="shared" si="190"/>
        <v>-7.7156053502608026</v>
      </c>
      <c r="G777" s="14">
        <f t="shared" si="196"/>
        <v>-1.3465698668016597</v>
      </c>
      <c r="H777" s="14">
        <f t="shared" si="197"/>
        <v>7.5971912911808976</v>
      </c>
      <c r="I777" s="14">
        <f t="shared" si="198"/>
        <v>2.7466274244412725</v>
      </c>
      <c r="J777" s="14">
        <f t="shared" si="191"/>
        <v>-15.545153941604092</v>
      </c>
      <c r="K777" s="14">
        <f t="shared" si="199"/>
        <v>-79.979992749344873</v>
      </c>
      <c r="L777" s="14">
        <f t="shared" si="200"/>
        <v>15.785935932875887</v>
      </c>
      <c r="M777" s="14">
        <f t="shared" si="193"/>
        <v>17.306585567480067</v>
      </c>
      <c r="N777" s="14">
        <f t="shared" si="201"/>
        <v>-16.60269661987104</v>
      </c>
      <c r="O777" s="14">
        <f t="shared" si="192"/>
        <v>0</v>
      </c>
      <c r="P777" s="14">
        <f t="shared" si="202"/>
        <v>0</v>
      </c>
    </row>
    <row r="778" spans="1:16" x14ac:dyDescent="0.25">
      <c r="A778" s="14">
        <f t="shared" si="194"/>
        <v>3.7699999999999418</v>
      </c>
      <c r="B778" s="14">
        <f t="shared" si="187"/>
        <v>30.649363039231201</v>
      </c>
      <c r="C778" s="14">
        <f t="shared" si="188"/>
        <v>-13.384720326413586</v>
      </c>
      <c r="D778" s="14">
        <f t="shared" si="189"/>
        <v>0</v>
      </c>
      <c r="E778" s="14">
        <f t="shared" si="195"/>
        <v>0</v>
      </c>
      <c r="F778" s="14">
        <f t="shared" si="190"/>
        <v>-7.7250689715827248</v>
      </c>
      <c r="G778" s="14">
        <f t="shared" si="196"/>
        <v>-1.3441006211650048</v>
      </c>
      <c r="H778" s="14">
        <f t="shared" si="197"/>
        <v>7.6072389298545122</v>
      </c>
      <c r="I778" s="14">
        <f t="shared" si="198"/>
        <v>2.7399069213354474</v>
      </c>
      <c r="J778" s="14">
        <f t="shared" si="191"/>
        <v>-15.556117746954818</v>
      </c>
      <c r="K778" s="14">
        <f t="shared" si="199"/>
        <v>-80.010917981679668</v>
      </c>
      <c r="L778" s="14">
        <f t="shared" si="200"/>
        <v>15.79556549461603</v>
      </c>
      <c r="M778" s="14">
        <f t="shared" si="193"/>
        <v>17.306585567480067</v>
      </c>
      <c r="N778" s="14">
        <f t="shared" si="201"/>
        <v>-16.680477208605815</v>
      </c>
      <c r="O778" s="14">
        <f t="shared" si="192"/>
        <v>0</v>
      </c>
      <c r="P778" s="14">
        <f t="shared" si="202"/>
        <v>0</v>
      </c>
    </row>
    <row r="779" spans="1:16" x14ac:dyDescent="0.25">
      <c r="A779" s="14">
        <f t="shared" si="194"/>
        <v>3.7749999999999417</v>
      </c>
      <c r="B779" s="14">
        <f t="shared" si="187"/>
        <v>30.649363039231201</v>
      </c>
      <c r="C779" s="14">
        <f t="shared" si="188"/>
        <v>-13.494959444883634</v>
      </c>
      <c r="D779" s="14">
        <f t="shared" si="189"/>
        <v>0</v>
      </c>
      <c r="E779" s="14">
        <f t="shared" si="195"/>
        <v>0</v>
      </c>
      <c r="F779" s="14">
        <f t="shared" si="190"/>
        <v>-7.7344965681358406</v>
      </c>
      <c r="G779" s="14">
        <f t="shared" si="196"/>
        <v>-1.3416297559782788</v>
      </c>
      <c r="H779" s="14">
        <f t="shared" si="197"/>
        <v>7.6172479781334905</v>
      </c>
      <c r="I779" s="14">
        <f t="shared" si="198"/>
        <v>2.7331987725555562</v>
      </c>
      <c r="J779" s="14">
        <f t="shared" si="191"/>
        <v>-15.567031507064151</v>
      </c>
      <c r="K779" s="14">
        <f t="shared" si="199"/>
        <v>-80.04173003733581</v>
      </c>
      <c r="L779" s="14">
        <f t="shared" si="200"/>
        <v>15.805152497594801</v>
      </c>
      <c r="M779" s="14">
        <f t="shared" si="193"/>
        <v>17.306585567480067</v>
      </c>
      <c r="N779" s="14">
        <f t="shared" si="201"/>
        <v>-16.758312366141137</v>
      </c>
      <c r="O779" s="14">
        <f t="shared" si="192"/>
        <v>0</v>
      </c>
      <c r="P779" s="14">
        <f t="shared" si="202"/>
        <v>0</v>
      </c>
    </row>
    <row r="780" spans="1:16" x14ac:dyDescent="0.25">
      <c r="A780" s="14">
        <f t="shared" si="194"/>
        <v>3.7799999999999416</v>
      </c>
      <c r="B780" s="14">
        <f t="shared" si="187"/>
        <v>30.649363039231201</v>
      </c>
      <c r="C780" s="14">
        <f t="shared" si="188"/>
        <v>-13.605443563353667</v>
      </c>
      <c r="D780" s="14">
        <f t="shared" si="189"/>
        <v>0</v>
      </c>
      <c r="E780" s="14">
        <f t="shared" si="195"/>
        <v>0</v>
      </c>
      <c r="F780" s="14">
        <f t="shared" si="190"/>
        <v>-7.7438882096390422</v>
      </c>
      <c r="G780" s="14">
        <f t="shared" si="196"/>
        <v>-1.3391573256008635</v>
      </c>
      <c r="H780" s="14">
        <f t="shared" si="197"/>
        <v>7.6272185140243698</v>
      </c>
      <c r="I780" s="14">
        <f t="shared" si="198"/>
        <v>2.726502985927552</v>
      </c>
      <c r="J780" s="14">
        <f t="shared" si="191"/>
        <v>-15.577895414494028</v>
      </c>
      <c r="K780" s="14">
        <f t="shared" si="199"/>
        <v>-80.07242947226554</v>
      </c>
      <c r="L780" s="14">
        <f t="shared" si="200"/>
        <v>15.814697090908378</v>
      </c>
      <c r="M780" s="14">
        <f t="shared" si="193"/>
        <v>17.306585567480067</v>
      </c>
      <c r="N780" s="14">
        <f t="shared" si="201"/>
        <v>-16.836201843213608</v>
      </c>
      <c r="O780" s="14">
        <f t="shared" si="192"/>
        <v>0</v>
      </c>
      <c r="P780" s="14">
        <f t="shared" si="202"/>
        <v>0</v>
      </c>
    </row>
    <row r="781" spans="1:16" x14ac:dyDescent="0.25">
      <c r="A781" s="14">
        <f t="shared" si="194"/>
        <v>3.7849999999999415</v>
      </c>
      <c r="B781" s="14">
        <f t="shared" si="187"/>
        <v>30.649363039231201</v>
      </c>
      <c r="C781" s="14">
        <f t="shared" si="188"/>
        <v>-13.716172681823707</v>
      </c>
      <c r="D781" s="14">
        <f t="shared" si="189"/>
        <v>0</v>
      </c>
      <c r="E781" s="14">
        <f t="shared" si="195"/>
        <v>0</v>
      </c>
      <c r="F781" s="14">
        <f t="shared" si="190"/>
        <v>-7.7532439663927635</v>
      </c>
      <c r="G781" s="14">
        <f t="shared" si="196"/>
        <v>-1.3366833840369461</v>
      </c>
      <c r="H781" s="14">
        <f t="shared" si="197"/>
        <v>7.6371506161162834</v>
      </c>
      <c r="I781" s="14">
        <f t="shared" si="198"/>
        <v>2.7198195690073672</v>
      </c>
      <c r="J781" s="14">
        <f t="shared" si="191"/>
        <v>-15.588709661413446</v>
      </c>
      <c r="K781" s="14">
        <f t="shared" si="199"/>
        <v>-80.103016838651044</v>
      </c>
      <c r="L781" s="14">
        <f t="shared" si="200"/>
        <v>15.824199423534841</v>
      </c>
      <c r="M781" s="14">
        <f t="shared" si="193"/>
        <v>17.306585567480067</v>
      </c>
      <c r="N781" s="14">
        <f t="shared" si="201"/>
        <v>-16.914145391520677</v>
      </c>
      <c r="O781" s="14">
        <f t="shared" si="192"/>
        <v>0</v>
      </c>
      <c r="P781" s="14">
        <f t="shared" si="202"/>
        <v>0</v>
      </c>
    </row>
    <row r="782" spans="1:16" x14ac:dyDescent="0.25">
      <c r="A782" s="14">
        <f t="shared" si="194"/>
        <v>3.7899999999999414</v>
      </c>
      <c r="B782" s="14">
        <f t="shared" si="187"/>
        <v>30.649363039231201</v>
      </c>
      <c r="C782" s="14">
        <f t="shared" si="188"/>
        <v>-13.827146800293754</v>
      </c>
      <c r="D782" s="14">
        <f t="shared" si="189"/>
        <v>0</v>
      </c>
      <c r="E782" s="14">
        <f t="shared" si="195"/>
        <v>0</v>
      </c>
      <c r="F782" s="14">
        <f t="shared" si="190"/>
        <v>-7.7625639092698124</v>
      </c>
      <c r="G782" s="14">
        <f t="shared" si="196"/>
        <v>-1.3342079849361608</v>
      </c>
      <c r="H782" s="14">
        <f t="shared" si="197"/>
        <v>7.6470443635715117</v>
      </c>
      <c r="I782" s="14">
        <f t="shared" si="198"/>
        <v>2.7131485290826864</v>
      </c>
      <c r="J782" s="14">
        <f t="shared" si="191"/>
        <v>-15.599474439595589</v>
      </c>
      <c r="K782" s="14">
        <f t="shared" si="199"/>
        <v>-80.133492684936655</v>
      </c>
      <c r="L782" s="14">
        <f t="shared" si="200"/>
        <v>15.833659644329218</v>
      </c>
      <c r="M782" s="14">
        <f t="shared" si="193"/>
        <v>17.306585567480067</v>
      </c>
      <c r="N782" s="14">
        <f t="shared" si="201"/>
        <v>-16.992142763718654</v>
      </c>
      <c r="O782" s="14">
        <f t="shared" si="192"/>
        <v>0</v>
      </c>
      <c r="P782" s="14">
        <f t="shared" si="202"/>
        <v>0</v>
      </c>
    </row>
    <row r="783" spans="1:16" x14ac:dyDescent="0.25">
      <c r="A783" s="14">
        <f t="shared" si="194"/>
        <v>3.7949999999999413</v>
      </c>
      <c r="B783" s="14">
        <f t="shared" si="187"/>
        <v>30.649363039231201</v>
      </c>
      <c r="C783" s="14">
        <f t="shared" si="188"/>
        <v>-13.938365918763786</v>
      </c>
      <c r="D783" s="14">
        <f t="shared" si="189"/>
        <v>0</v>
      </c>
      <c r="E783" s="14">
        <f t="shared" si="195"/>
        <v>0</v>
      </c>
      <c r="F783" s="14">
        <f t="shared" si="190"/>
        <v>-7.7718481097062497</v>
      </c>
      <c r="G783" s="14">
        <f t="shared" si="196"/>
        <v>-1.3317311815942388</v>
      </c>
      <c r="H783" s="14">
        <f t="shared" si="197"/>
        <v>7.6568998361160645</v>
      </c>
      <c r="I783" s="14">
        <f t="shared" si="198"/>
        <v>2.7064898731747151</v>
      </c>
      <c r="J783" s="14">
        <f t="shared" si="191"/>
        <v>-15.610189940415008</v>
      </c>
      <c r="K783" s="14">
        <f t="shared" si="199"/>
        <v>-80.163857555860872</v>
      </c>
      <c r="L783" s="14">
        <f t="shared" si="200"/>
        <v>15.843077902018635</v>
      </c>
      <c r="M783" s="14">
        <f t="shared" si="193"/>
        <v>17.306585567480067</v>
      </c>
      <c r="N783" s="14">
        <f t="shared" si="201"/>
        <v>-17.070193713420728</v>
      </c>
      <c r="O783" s="14">
        <f t="shared" si="192"/>
        <v>0</v>
      </c>
      <c r="P783" s="14">
        <f t="shared" si="202"/>
        <v>0</v>
      </c>
    </row>
    <row r="784" spans="1:16" x14ac:dyDescent="0.25">
      <c r="A784" s="14">
        <f t="shared" si="194"/>
        <v>3.7999999999999412</v>
      </c>
      <c r="B784" s="14">
        <f t="shared" si="187"/>
        <v>30.649363039231201</v>
      </c>
      <c r="C784" s="14">
        <f t="shared" si="188"/>
        <v>-14.049830037233832</v>
      </c>
      <c r="D784" s="14">
        <f t="shared" si="189"/>
        <v>0</v>
      </c>
      <c r="E784" s="14">
        <f t="shared" si="195"/>
        <v>0</v>
      </c>
      <c r="F784" s="14">
        <f t="shared" si="190"/>
        <v>-7.7810966396923664</v>
      </c>
      <c r="G784" s="14">
        <f t="shared" si="196"/>
        <v>-1.3292530269536773</v>
      </c>
      <c r="H784" s="14">
        <f t="shared" si="197"/>
        <v>7.6667171140303809</v>
      </c>
      <c r="I784" s="14">
        <f t="shared" si="198"/>
        <v>2.6998436080399468</v>
      </c>
      <c r="J784" s="14">
        <f t="shared" si="191"/>
        <v>-15.620856354844856</v>
      </c>
      <c r="K784" s="14">
        <f t="shared" si="199"/>
        <v>-80.194111992488018</v>
      </c>
      <c r="L784" s="14">
        <f t="shared" si="200"/>
        <v>15.852454345197499</v>
      </c>
      <c r="M784" s="14">
        <f t="shared" si="193"/>
        <v>17.306585567480067</v>
      </c>
      <c r="N784" s="14">
        <f t="shared" si="201"/>
        <v>-17.148297995194952</v>
      </c>
      <c r="O784" s="14">
        <f t="shared" si="192"/>
        <v>0</v>
      </c>
      <c r="P784" s="14">
        <f t="shared" si="202"/>
        <v>0</v>
      </c>
    </row>
    <row r="785" spans="1:16" x14ac:dyDescent="0.25">
      <c r="A785" s="14">
        <f t="shared" si="194"/>
        <v>3.8049999999999411</v>
      </c>
      <c r="B785" s="14">
        <f t="shared" si="187"/>
        <v>30.649363039231201</v>
      </c>
      <c r="C785" s="14">
        <f t="shared" si="188"/>
        <v>-14.161539155703871</v>
      </c>
      <c r="D785" s="14">
        <f t="shared" si="189"/>
        <v>0</v>
      </c>
      <c r="E785" s="14">
        <f t="shared" si="195"/>
        <v>0</v>
      </c>
      <c r="F785" s="14">
        <f t="shared" si="190"/>
        <v>-7.7903095717637028</v>
      </c>
      <c r="G785" s="14">
        <f t="shared" si="196"/>
        <v>-1.3267735736044211</v>
      </c>
      <c r="H785" s="14">
        <f t="shared" si="197"/>
        <v>7.6764962781400552</v>
      </c>
      <c r="I785" s="14">
        <f t="shared" si="198"/>
        <v>2.6932097401719246</v>
      </c>
      <c r="J785" s="14">
        <f t="shared" si="191"/>
        <v>-15.631473873454155</v>
      </c>
      <c r="K785" s="14">
        <f t="shared" si="199"/>
        <v>-80.224256532239565</v>
      </c>
      <c r="L785" s="14">
        <f t="shared" si="200"/>
        <v>15.861789122322765</v>
      </c>
      <c r="M785" s="14">
        <f t="shared" si="193"/>
        <v>17.306585567480067</v>
      </c>
      <c r="N785" s="14">
        <f t="shared" si="201"/>
        <v>-17.226455364562224</v>
      </c>
      <c r="O785" s="14">
        <f t="shared" si="192"/>
        <v>0</v>
      </c>
      <c r="P785" s="14">
        <f t="shared" si="202"/>
        <v>0</v>
      </c>
    </row>
    <row r="786" spans="1:16" x14ac:dyDescent="0.25">
      <c r="A786" s="14">
        <f t="shared" si="194"/>
        <v>3.809999999999941</v>
      </c>
      <c r="B786" s="14">
        <f t="shared" si="187"/>
        <v>30.649363039231201</v>
      </c>
      <c r="C786" s="14">
        <f t="shared" si="188"/>
        <v>-14.273493274173909</v>
      </c>
      <c r="D786" s="14">
        <f t="shared" si="189"/>
        <v>0</v>
      </c>
      <c r="E786" s="14">
        <f t="shared" si="195"/>
        <v>0</v>
      </c>
      <c r="F786" s="14">
        <f t="shared" si="190"/>
        <v>-7.7994869789921406</v>
      </c>
      <c r="G786" s="14">
        <f t="shared" si="196"/>
        <v>-1.3242928737845754</v>
      </c>
      <c r="H786" s="14">
        <f t="shared" si="197"/>
        <v>7.6862374098066564</v>
      </c>
      <c r="I786" s="14">
        <f t="shared" si="198"/>
        <v>2.6865882758030017</v>
      </c>
      <c r="J786" s="14">
        <f t="shared" si="191"/>
        <v>-15.642042686405121</v>
      </c>
      <c r="K786" s="14">
        <f t="shared" si="199"/>
        <v>-80.254291708925166</v>
      </c>
      <c r="L786" s="14">
        <f t="shared" si="200"/>
        <v>15.871082381709261</v>
      </c>
      <c r="M786" s="14">
        <f t="shared" si="193"/>
        <v>17.306585567480067</v>
      </c>
      <c r="N786" s="14">
        <f t="shared" si="201"/>
        <v>-17.30466557799425</v>
      </c>
      <c r="O786" s="14">
        <f t="shared" si="192"/>
        <v>0</v>
      </c>
      <c r="P786" s="14">
        <f t="shared" si="202"/>
        <v>0</v>
      </c>
    </row>
    <row r="787" spans="1:16" x14ac:dyDescent="0.25">
      <c r="A787" s="14">
        <f t="shared" si="194"/>
        <v>3.8149999999999409</v>
      </c>
      <c r="B787" s="14">
        <f t="shared" si="187"/>
        <v>30.649363039231201</v>
      </c>
      <c r="C787" s="14">
        <f t="shared" si="188"/>
        <v>-14.385692392643961</v>
      </c>
      <c r="D787" s="14">
        <f t="shared" si="189"/>
        <v>0</v>
      </c>
      <c r="E787" s="14">
        <f t="shared" si="195"/>
        <v>0</v>
      </c>
      <c r="F787" s="14">
        <f t="shared" si="190"/>
        <v>-7.8086289349770652</v>
      </c>
      <c r="G787" s="14">
        <f t="shared" si="196"/>
        <v>-1.3218109793811126</v>
      </c>
      <c r="H787" s="14">
        <f t="shared" si="197"/>
        <v>7.6959405909186049</v>
      </c>
      <c r="I787" s="14">
        <f t="shared" si="198"/>
        <v>2.679979220906096</v>
      </c>
      <c r="J787" s="14">
        <f t="shared" si="191"/>
        <v>-15.652562983450528</v>
      </c>
      <c r="K787" s="14">
        <f t="shared" si="199"/>
        <v>-80.28421805277334</v>
      </c>
      <c r="L787" s="14">
        <f t="shared" si="200"/>
        <v>15.880334271525085</v>
      </c>
      <c r="M787" s="14">
        <f t="shared" si="193"/>
        <v>17.306585567480067</v>
      </c>
      <c r="N787" s="14">
        <f t="shared" si="201"/>
        <v>-17.382928392911502</v>
      </c>
      <c r="O787" s="14">
        <f t="shared" si="192"/>
        <v>0</v>
      </c>
      <c r="P787" s="14">
        <f t="shared" si="202"/>
        <v>0</v>
      </c>
    </row>
    <row r="788" spans="1:16" x14ac:dyDescent="0.25">
      <c r="A788" s="14">
        <f t="shared" si="194"/>
        <v>3.8199999999999408</v>
      </c>
      <c r="B788" s="14">
        <f t="shared" si="187"/>
        <v>30.649363039231201</v>
      </c>
      <c r="C788" s="14">
        <f t="shared" si="188"/>
        <v>-14.498136511114005</v>
      </c>
      <c r="D788" s="14">
        <f t="shared" si="189"/>
        <v>0</v>
      </c>
      <c r="E788" s="14">
        <f t="shared" si="195"/>
        <v>0</v>
      </c>
      <c r="F788" s="14">
        <f t="shared" si="190"/>
        <v>-7.817735513836598</v>
      </c>
      <c r="G788" s="14">
        <f t="shared" si="196"/>
        <v>-1.3193279419306356</v>
      </c>
      <c r="H788" s="14">
        <f t="shared" si="197"/>
        <v>7.7056059038821241</v>
      </c>
      <c r="I788" s="14">
        <f t="shared" si="198"/>
        <v>2.6733825811964427</v>
      </c>
      <c r="J788" s="14">
        <f t="shared" si="191"/>
        <v>-15.663034953931117</v>
      </c>
      <c r="K788" s="14">
        <f t="shared" si="199"/>
        <v>-80.314036090461997</v>
      </c>
      <c r="L788" s="14">
        <f t="shared" si="200"/>
        <v>15.889544939787058</v>
      </c>
      <c r="M788" s="14">
        <f t="shared" si="193"/>
        <v>17.306585567480067</v>
      </c>
      <c r="N788" s="14">
        <f t="shared" si="201"/>
        <v>-17.461243567681159</v>
      </c>
      <c r="O788" s="14">
        <f t="shared" si="192"/>
        <v>0</v>
      </c>
      <c r="P788" s="14">
        <f t="shared" si="202"/>
        <v>0</v>
      </c>
    </row>
    <row r="789" spans="1:16" x14ac:dyDescent="0.25">
      <c r="A789" s="14">
        <f t="shared" si="194"/>
        <v>3.8249999999999407</v>
      </c>
      <c r="B789" s="14">
        <f t="shared" si="187"/>
        <v>30.649363039231201</v>
      </c>
      <c r="C789" s="14">
        <f t="shared" si="188"/>
        <v>-14.610825629584042</v>
      </c>
      <c r="D789" s="14">
        <f t="shared" si="189"/>
        <v>0</v>
      </c>
      <c r="E789" s="14">
        <f t="shared" si="195"/>
        <v>0</v>
      </c>
      <c r="F789" s="14">
        <f t="shared" si="190"/>
        <v>-7.826806790198888</v>
      </c>
      <c r="G789" s="14">
        <f t="shared" si="196"/>
        <v>-1.3168438126201081</v>
      </c>
      <c r="H789" s="14">
        <f t="shared" si="197"/>
        <v>7.7152334316122646</v>
      </c>
      <c r="I789" s="14">
        <f t="shared" si="198"/>
        <v>2.666798362133342</v>
      </c>
      <c r="J789" s="14">
        <f t="shared" si="191"/>
        <v>-15.673458786773056</v>
      </c>
      <c r="K789" s="14">
        <f t="shared" si="199"/>
        <v>-80.343746345148361</v>
      </c>
      <c r="L789" s="14">
        <f t="shared" si="200"/>
        <v>15.898714534356248</v>
      </c>
      <c r="M789" s="14">
        <f t="shared" si="193"/>
        <v>17.306585567480067</v>
      </c>
      <c r="N789" s="14">
        <f t="shared" si="201"/>
        <v>-17.539610861615024</v>
      </c>
      <c r="O789" s="14">
        <f t="shared" si="192"/>
        <v>0</v>
      </c>
      <c r="P789" s="14">
        <f t="shared" si="202"/>
        <v>0</v>
      </c>
    </row>
    <row r="790" spans="1:16" x14ac:dyDescent="0.25">
      <c r="A790" s="14">
        <f t="shared" si="194"/>
        <v>3.8299999999999406</v>
      </c>
      <c r="B790" s="14">
        <f t="shared" si="187"/>
        <v>30.649363039231201</v>
      </c>
      <c r="C790" s="14">
        <f t="shared" si="188"/>
        <v>-14.723759748054078</v>
      </c>
      <c r="D790" s="14">
        <f t="shared" si="189"/>
        <v>0</v>
      </c>
      <c r="E790" s="14">
        <f t="shared" si="195"/>
        <v>0</v>
      </c>
      <c r="F790" s="14">
        <f t="shared" si="190"/>
        <v>-7.8358428391934689</v>
      </c>
      <c r="G790" s="14">
        <f t="shared" si="196"/>
        <v>-1.3143586422876505</v>
      </c>
      <c r="H790" s="14">
        <f t="shared" si="197"/>
        <v>7.7248232575239753</v>
      </c>
      <c r="I790" s="14">
        <f t="shared" si="198"/>
        <v>2.6602265689219036</v>
      </c>
      <c r="J790" s="14">
        <f t="shared" si="191"/>
        <v>-15.683834670485435</v>
      </c>
      <c r="K790" s="14">
        <f t="shared" si="199"/>
        <v>-80.373349336499018</v>
      </c>
      <c r="L790" s="14">
        <f t="shared" si="200"/>
        <v>15.907843202933545</v>
      </c>
      <c r="M790" s="14">
        <f t="shared" si="193"/>
        <v>17.306585567480067</v>
      </c>
      <c r="N790" s="14">
        <f t="shared" si="201"/>
        <v>-17.61803003496745</v>
      </c>
      <c r="O790" s="14">
        <f t="shared" si="192"/>
        <v>0</v>
      </c>
      <c r="P790" s="14">
        <f t="shared" si="202"/>
        <v>0</v>
      </c>
    </row>
    <row r="791" spans="1:16" x14ac:dyDescent="0.25">
      <c r="A791" s="14">
        <f t="shared" si="194"/>
        <v>3.8349999999999405</v>
      </c>
      <c r="B791" s="14">
        <f t="shared" si="187"/>
        <v>30.649363039231201</v>
      </c>
      <c r="C791" s="14">
        <f t="shared" si="188"/>
        <v>-14.836938866524115</v>
      </c>
      <c r="D791" s="14">
        <f t="shared" si="189"/>
        <v>0</v>
      </c>
      <c r="E791" s="14">
        <f t="shared" si="195"/>
        <v>0</v>
      </c>
      <c r="F791" s="14">
        <f t="shared" si="190"/>
        <v>-7.8448437364426882</v>
      </c>
      <c r="G791" s="14">
        <f t="shared" si="196"/>
        <v>-1.3118724814233127</v>
      </c>
      <c r="H791" s="14">
        <f t="shared" si="197"/>
        <v>7.7343754655232715</v>
      </c>
      <c r="I791" s="14">
        <f t="shared" si="198"/>
        <v>2.653667206514787</v>
      </c>
      <c r="J791" s="14">
        <f t="shared" si="191"/>
        <v>-15.694162793157819</v>
      </c>
      <c r="K791" s="14">
        <f t="shared" si="199"/>
        <v>-80.402845580719259</v>
      </c>
      <c r="L791" s="14">
        <f t="shared" si="200"/>
        <v>15.91693109305532</v>
      </c>
      <c r="M791" s="14">
        <f t="shared" si="193"/>
        <v>17.306585567480067</v>
      </c>
      <c r="N791" s="14">
        <f t="shared" si="201"/>
        <v>-17.69650084893324</v>
      </c>
      <c r="O791" s="14">
        <f t="shared" si="192"/>
        <v>0</v>
      </c>
      <c r="P791" s="14">
        <f t="shared" si="202"/>
        <v>0</v>
      </c>
    </row>
    <row r="792" spans="1:16" x14ac:dyDescent="0.25">
      <c r="A792" s="14">
        <f t="shared" si="194"/>
        <v>3.8399999999999403</v>
      </c>
      <c r="B792" s="14">
        <f t="shared" ref="B792:B855" si="203">IF(E792=0,B791,$B$19*A792)</f>
        <v>30.649363039231201</v>
      </c>
      <c r="C792" s="14">
        <f t="shared" si="188"/>
        <v>-14.950362984994158</v>
      </c>
      <c r="D792" s="14">
        <f t="shared" si="189"/>
        <v>0</v>
      </c>
      <c r="E792" s="14">
        <f t="shared" si="195"/>
        <v>0</v>
      </c>
      <c r="F792" s="14">
        <f t="shared" si="190"/>
        <v>-7.8538095580532081</v>
      </c>
      <c r="G792" s="14">
        <f t="shared" si="196"/>
        <v>-1.3093853801698911</v>
      </c>
      <c r="H792" s="14">
        <f t="shared" si="197"/>
        <v>7.7438901399984541</v>
      </c>
      <c r="I792" s="14">
        <f t="shared" si="198"/>
        <v>2.6471202796139375</v>
      </c>
      <c r="J792" s="14">
        <f t="shared" si="191"/>
        <v>-15.704443342457827</v>
      </c>
      <c r="K792" s="14">
        <f t="shared" si="199"/>
        <v>-80.432235590582465</v>
      </c>
      <c r="L792" s="14">
        <f t="shared" si="200"/>
        <v>15.925978352089121</v>
      </c>
      <c r="M792" s="14">
        <f t="shared" si="193"/>
        <v>17.306585567480067</v>
      </c>
      <c r="N792" s="14">
        <f t="shared" si="201"/>
        <v>-17.775023065645531</v>
      </c>
      <c r="O792" s="14">
        <f t="shared" si="192"/>
        <v>0</v>
      </c>
      <c r="P792" s="14">
        <f t="shared" si="202"/>
        <v>0</v>
      </c>
    </row>
    <row r="793" spans="1:16" x14ac:dyDescent="0.25">
      <c r="A793" s="14">
        <f t="shared" si="194"/>
        <v>3.8449999999999402</v>
      </c>
      <c r="B793" s="14">
        <f t="shared" si="203"/>
        <v>30.649363039231201</v>
      </c>
      <c r="C793" s="14">
        <f t="shared" ref="C793:C856" si="204">$B$20*A793+0.5*$B$16*A793^2+$B$17</f>
        <v>-15.0640321034642</v>
      </c>
      <c r="D793" s="14">
        <f t="shared" ref="D793:D856" si="205">IF(E793=1,C793,$B$18)</f>
        <v>0</v>
      </c>
      <c r="E793" s="14">
        <f t="shared" si="195"/>
        <v>0</v>
      </c>
      <c r="F793" s="14">
        <f t="shared" ref="F793:F856" si="206">-$E$13*L792^2</f>
        <v>-7.8627403806075504</v>
      </c>
      <c r="G793" s="14">
        <f t="shared" si="196"/>
        <v>-1.3068973883237369</v>
      </c>
      <c r="H793" s="14">
        <f t="shared" si="197"/>
        <v>7.7533673658113971</v>
      </c>
      <c r="I793" s="14">
        <f t="shared" si="198"/>
        <v>2.6405857926723186</v>
      </c>
      <c r="J793" s="14">
        <f t="shared" ref="J793:J856" si="207">J792+(H793+$B$16)*$A$22</f>
        <v>-15.71467650562877</v>
      </c>
      <c r="K793" s="14">
        <f t="shared" si="199"/>
        <v>-80.461519875458919</v>
      </c>
      <c r="L793" s="14">
        <f t="shared" si="200"/>
        <v>15.934985127229449</v>
      </c>
      <c r="M793" s="14">
        <f t="shared" si="193"/>
        <v>17.306585567480067</v>
      </c>
      <c r="N793" s="14">
        <f t="shared" si="201"/>
        <v>-17.853596448173676</v>
      </c>
      <c r="O793" s="14">
        <f t="shared" ref="O793:O856" si="208">IF(P793=1,N793,$B$18)</f>
        <v>0</v>
      </c>
      <c r="P793" s="14">
        <f t="shared" si="202"/>
        <v>0</v>
      </c>
    </row>
    <row r="794" spans="1:16" x14ac:dyDescent="0.25">
      <c r="A794" s="14">
        <f t="shared" si="194"/>
        <v>3.8499999999999401</v>
      </c>
      <c r="B794" s="14">
        <f t="shared" si="203"/>
        <v>30.649363039231201</v>
      </c>
      <c r="C794" s="14">
        <f t="shared" si="204"/>
        <v>-15.177946221934242</v>
      </c>
      <c r="D794" s="14">
        <f t="shared" si="205"/>
        <v>0</v>
      </c>
      <c r="E794" s="14">
        <f t="shared" si="195"/>
        <v>0</v>
      </c>
      <c r="F794" s="14">
        <f t="shared" si="206"/>
        <v>-7.8716362811557357</v>
      </c>
      <c r="G794" s="14">
        <f t="shared" si="196"/>
        <v>-1.3044085553356106</v>
      </c>
      <c r="H794" s="14">
        <f t="shared" si="197"/>
        <v>7.7628072282889109</v>
      </c>
      <c r="I794" s="14">
        <f t="shared" si="198"/>
        <v>2.6340637498956405</v>
      </c>
      <c r="J794" s="14">
        <f t="shared" si="207"/>
        <v>-15.724862469487325</v>
      </c>
      <c r="K794" s="14">
        <f t="shared" si="199"/>
        <v>-80.49069894134459</v>
      </c>
      <c r="L794" s="14">
        <f t="shared" si="200"/>
        <v>15.943951565493585</v>
      </c>
      <c r="M794" s="14">
        <f t="shared" ref="M794:M857" si="209">IF(P794=0,M793,M793+I794*$A$22)</f>
        <v>17.306585567480067</v>
      </c>
      <c r="N794" s="14">
        <f t="shared" si="201"/>
        <v>-17.932220760521112</v>
      </c>
      <c r="O794" s="14">
        <f t="shared" si="208"/>
        <v>0</v>
      </c>
      <c r="P794" s="14">
        <f t="shared" si="202"/>
        <v>0</v>
      </c>
    </row>
    <row r="795" spans="1:16" x14ac:dyDescent="0.25">
      <c r="A795" s="14">
        <f t="shared" si="194"/>
        <v>3.85499999999994</v>
      </c>
      <c r="B795" s="14">
        <f t="shared" si="203"/>
        <v>30.649363039231201</v>
      </c>
      <c r="C795" s="14">
        <f t="shared" si="204"/>
        <v>-15.292105340404291</v>
      </c>
      <c r="D795" s="14">
        <f t="shared" si="205"/>
        <v>0</v>
      </c>
      <c r="E795" s="14">
        <f t="shared" si="195"/>
        <v>0</v>
      </c>
      <c r="F795" s="14">
        <f t="shared" si="206"/>
        <v>-7.8804973372069655</v>
      </c>
      <c r="G795" s="14">
        <f t="shared" si="196"/>
        <v>-1.3019189303115142</v>
      </c>
      <c r="H795" s="14">
        <f t="shared" si="197"/>
        <v>7.7722098132141673</v>
      </c>
      <c r="I795" s="14">
        <f t="shared" si="198"/>
        <v>2.6275541552440829</v>
      </c>
      <c r="J795" s="14">
        <f t="shared" si="207"/>
        <v>-15.735001420421254</v>
      </c>
      <c r="K795" s="14">
        <f t="shared" si="199"/>
        <v>-80.519773290889461</v>
      </c>
      <c r="L795" s="14">
        <f t="shared" si="200"/>
        <v>15.952877813717478</v>
      </c>
      <c r="M795" s="14">
        <f t="shared" si="209"/>
        <v>17.306585567480067</v>
      </c>
      <c r="N795" s="14">
        <f t="shared" si="201"/>
        <v>-18.010895767623218</v>
      </c>
      <c r="O795" s="14">
        <f t="shared" si="208"/>
        <v>0</v>
      </c>
      <c r="P795" s="14">
        <f t="shared" si="202"/>
        <v>0</v>
      </c>
    </row>
    <row r="796" spans="1:16" x14ac:dyDescent="0.25">
      <c r="A796" s="14">
        <f t="shared" si="194"/>
        <v>3.8599999999999399</v>
      </c>
      <c r="B796" s="14">
        <f t="shared" si="203"/>
        <v>30.649363039231201</v>
      </c>
      <c r="C796" s="14">
        <f t="shared" si="204"/>
        <v>-15.406509458874332</v>
      </c>
      <c r="D796" s="14">
        <f t="shared" si="205"/>
        <v>0</v>
      </c>
      <c r="E796" s="14">
        <f t="shared" si="195"/>
        <v>0</v>
      </c>
      <c r="F796" s="14">
        <f t="shared" si="206"/>
        <v>-7.8893236267213798</v>
      </c>
      <c r="G796" s="14">
        <f t="shared" si="196"/>
        <v>-1.2994285620135702</v>
      </c>
      <c r="H796" s="14">
        <f t="shared" si="197"/>
        <v>7.7815752068181885</v>
      </c>
      <c r="I796" s="14">
        <f t="shared" si="198"/>
        <v>2.6210570124340151</v>
      </c>
      <c r="J796" s="14">
        <f t="shared" si="207"/>
        <v>-15.745093544387164</v>
      </c>
      <c r="K796" s="14">
        <f t="shared" si="199"/>
        <v>-80.548743423425648</v>
      </c>
      <c r="L796" s="14">
        <f t="shared" si="200"/>
        <v>15.961764018551705</v>
      </c>
      <c r="M796" s="14">
        <f t="shared" si="209"/>
        <v>17.306585567480067</v>
      </c>
      <c r="N796" s="14">
        <f t="shared" si="201"/>
        <v>-18.089621235345152</v>
      </c>
      <c r="O796" s="14">
        <f t="shared" si="208"/>
        <v>0</v>
      </c>
      <c r="P796" s="14">
        <f t="shared" si="202"/>
        <v>0</v>
      </c>
    </row>
    <row r="797" spans="1:16" x14ac:dyDescent="0.25">
      <c r="A797" s="14">
        <f t="shared" si="194"/>
        <v>3.8649999999999398</v>
      </c>
      <c r="B797" s="14">
        <f t="shared" si="203"/>
        <v>30.649363039231201</v>
      </c>
      <c r="C797" s="14">
        <f t="shared" si="204"/>
        <v>-15.521158577344373</v>
      </c>
      <c r="D797" s="14">
        <f t="shared" si="205"/>
        <v>0</v>
      </c>
      <c r="E797" s="14">
        <f t="shared" si="195"/>
        <v>0</v>
      </c>
      <c r="F797" s="14">
        <f t="shared" si="206"/>
        <v>-7.8981152281018874</v>
      </c>
      <c r="G797" s="14">
        <f t="shared" si="196"/>
        <v>-1.2969374988608979</v>
      </c>
      <c r="H797" s="14">
        <f t="shared" si="197"/>
        <v>7.7909034957714223</v>
      </c>
      <c r="I797" s="14">
        <f t="shared" si="198"/>
        <v>2.6145723249397106</v>
      </c>
      <c r="J797" s="14">
        <f t="shared" si="207"/>
        <v>-15.755139026908306</v>
      </c>
      <c r="K797" s="14">
        <f t="shared" si="199"/>
        <v>-80.577609834995243</v>
      </c>
      <c r="L797" s="14">
        <f t="shared" si="200"/>
        <v>15.970610326457466</v>
      </c>
      <c r="M797" s="14">
        <f t="shared" si="209"/>
        <v>17.306585567480067</v>
      </c>
      <c r="N797" s="14">
        <f t="shared" si="201"/>
        <v>-18.168396930479695</v>
      </c>
      <c r="O797" s="14">
        <f t="shared" si="208"/>
        <v>0</v>
      </c>
      <c r="P797" s="14">
        <f t="shared" si="202"/>
        <v>0</v>
      </c>
    </row>
    <row r="798" spans="1:16" x14ac:dyDescent="0.25">
      <c r="A798" s="14">
        <f t="shared" si="194"/>
        <v>3.8699999999999397</v>
      </c>
      <c r="B798" s="14">
        <f t="shared" si="203"/>
        <v>30.649363039231201</v>
      </c>
      <c r="C798" s="14">
        <f t="shared" si="204"/>
        <v>-15.636052695814413</v>
      </c>
      <c r="D798" s="14">
        <f t="shared" si="205"/>
        <v>0</v>
      </c>
      <c r="E798" s="14">
        <f t="shared" si="195"/>
        <v>0</v>
      </c>
      <c r="F798" s="14">
        <f t="shared" si="206"/>
        <v>-7.9068722201860453</v>
      </c>
      <c r="G798" s="14">
        <f t="shared" si="196"/>
        <v>-1.2944457889305128</v>
      </c>
      <c r="H798" s="14">
        <f t="shared" si="197"/>
        <v>7.80019476717536</v>
      </c>
      <c r="I798" s="14">
        <f t="shared" si="198"/>
        <v>2.608100095995058</v>
      </c>
      <c r="J798" s="14">
        <f t="shared" si="207"/>
        <v>-15.76513805307243</v>
      </c>
      <c r="K798" s="14">
        <f t="shared" si="199"/>
        <v>-80.606373018377866</v>
      </c>
      <c r="L798" s="14">
        <f t="shared" si="200"/>
        <v>15.979416883702665</v>
      </c>
      <c r="M798" s="14">
        <f t="shared" si="209"/>
        <v>17.306585567480067</v>
      </c>
      <c r="N798" s="14">
        <f t="shared" si="201"/>
        <v>-18.247222620745056</v>
      </c>
      <c r="O798" s="14">
        <f t="shared" si="208"/>
        <v>0</v>
      </c>
      <c r="P798" s="14">
        <f t="shared" si="202"/>
        <v>0</v>
      </c>
    </row>
    <row r="799" spans="1:16" x14ac:dyDescent="0.25">
      <c r="A799" s="14">
        <f t="shared" si="194"/>
        <v>3.8749999999999396</v>
      </c>
      <c r="B799" s="14">
        <f t="shared" si="203"/>
        <v>30.649363039231201</v>
      </c>
      <c r="C799" s="14">
        <f t="shared" si="204"/>
        <v>-15.751191814284446</v>
      </c>
      <c r="D799" s="14">
        <f t="shared" si="205"/>
        <v>0</v>
      </c>
      <c r="E799" s="14">
        <f t="shared" si="195"/>
        <v>0</v>
      </c>
      <c r="F799" s="14">
        <f t="shared" si="206"/>
        <v>-7.9155946822380159</v>
      </c>
      <c r="G799" s="14">
        <f t="shared" si="196"/>
        <v>-1.2919534799582295</v>
      </c>
      <c r="H799" s="14">
        <f t="shared" si="197"/>
        <v>7.8094491085542375</v>
      </c>
      <c r="I799" s="14">
        <f t="shared" si="198"/>
        <v>2.6016403285952667</v>
      </c>
      <c r="J799" s="14">
        <f t="shared" si="207"/>
        <v>-15.77509080752966</v>
      </c>
      <c r="K799" s="14">
        <f t="shared" si="199"/>
        <v>-80.635033463117992</v>
      </c>
      <c r="L799" s="14">
        <f t="shared" si="200"/>
        <v>15.988183836358026</v>
      </c>
      <c r="M799" s="14">
        <f t="shared" si="209"/>
        <v>17.306585567480067</v>
      </c>
      <c r="N799" s="14">
        <f t="shared" si="201"/>
        <v>-18.326098074782703</v>
      </c>
      <c r="O799" s="14">
        <f t="shared" si="208"/>
        <v>0</v>
      </c>
      <c r="P799" s="14">
        <f t="shared" si="202"/>
        <v>0</v>
      </c>
    </row>
    <row r="800" spans="1:16" x14ac:dyDescent="0.25">
      <c r="A800" s="14">
        <f t="shared" si="194"/>
        <v>3.8799999999999395</v>
      </c>
      <c r="B800" s="14">
        <f t="shared" si="203"/>
        <v>30.649363039231201</v>
      </c>
      <c r="C800" s="14">
        <f t="shared" si="204"/>
        <v>-15.866575932754493</v>
      </c>
      <c r="D800" s="14">
        <f t="shared" si="205"/>
        <v>0</v>
      </c>
      <c r="E800" s="14">
        <f t="shared" si="195"/>
        <v>0</v>
      </c>
      <c r="F800" s="14">
        <f t="shared" si="206"/>
        <v>-7.9242826939405813</v>
      </c>
      <c r="G800" s="14">
        <f t="shared" si="196"/>
        <v>-1.2894606193395841</v>
      </c>
      <c r="H800" s="14">
        <f t="shared" si="197"/>
        <v>7.818666607846799</v>
      </c>
      <c r="I800" s="14">
        <f t="shared" si="198"/>
        <v>2.5951930254985687</v>
      </c>
      <c r="J800" s="14">
        <f t="shared" si="207"/>
        <v>-15.784997474490426</v>
      </c>
      <c r="K800" s="14">
        <f t="shared" si="199"/>
        <v>-80.66359165555194</v>
      </c>
      <c r="L800" s="14">
        <f t="shared" si="200"/>
        <v>15.99691133029328</v>
      </c>
      <c r="M800" s="14">
        <f t="shared" si="209"/>
        <v>17.306585567480067</v>
      </c>
      <c r="N800" s="14">
        <f t="shared" si="201"/>
        <v>-18.405023062155156</v>
      </c>
      <c r="O800" s="14">
        <f t="shared" si="208"/>
        <v>0</v>
      </c>
      <c r="P800" s="14">
        <f t="shared" si="202"/>
        <v>0</v>
      </c>
    </row>
    <row r="801" spans="1:16" x14ac:dyDescent="0.25">
      <c r="A801" s="14">
        <f t="shared" si="194"/>
        <v>3.8849999999999394</v>
      </c>
      <c r="B801" s="14">
        <f t="shared" si="203"/>
        <v>30.649363039231201</v>
      </c>
      <c r="C801" s="14">
        <f t="shared" si="204"/>
        <v>-15.98220505122454</v>
      </c>
      <c r="D801" s="14">
        <f t="shared" si="205"/>
        <v>0</v>
      </c>
      <c r="E801" s="14">
        <f t="shared" si="195"/>
        <v>0</v>
      </c>
      <c r="F801" s="14">
        <f t="shared" si="206"/>
        <v>-7.9329363353872306</v>
      </c>
      <c r="G801" s="14">
        <f t="shared" si="196"/>
        <v>-1.2869672541307791</v>
      </c>
      <c r="H801" s="14">
        <f t="shared" si="197"/>
        <v>7.8278473533981279</v>
      </c>
      <c r="I801" s="14">
        <f t="shared" si="198"/>
        <v>2.5887581892279146</v>
      </c>
      <c r="J801" s="14">
        <f t="shared" si="207"/>
        <v>-15.794858237723435</v>
      </c>
      <c r="K801" s="14">
        <f t="shared" si="199"/>
        <v>-80.692048078834645</v>
      </c>
      <c r="L801" s="14">
        <f t="shared" si="200"/>
        <v>16.005599511173408</v>
      </c>
      <c r="M801" s="14">
        <f t="shared" si="209"/>
        <v>17.306585567480067</v>
      </c>
      <c r="N801" s="14">
        <f t="shared" si="201"/>
        <v>-18.483997353343774</v>
      </c>
      <c r="O801" s="14">
        <f t="shared" si="208"/>
        <v>0</v>
      </c>
      <c r="P801" s="14">
        <f t="shared" si="202"/>
        <v>0</v>
      </c>
    </row>
    <row r="802" spans="1:16" x14ac:dyDescent="0.25">
      <c r="A802" s="14">
        <f t="shared" si="194"/>
        <v>3.8899999999999393</v>
      </c>
      <c r="B802" s="14">
        <f t="shared" si="203"/>
        <v>30.649363039231201</v>
      </c>
      <c r="C802" s="14">
        <f t="shared" si="204"/>
        <v>-16.098079169694564</v>
      </c>
      <c r="D802" s="14">
        <f t="shared" si="205"/>
        <v>0</v>
      </c>
      <c r="E802" s="14">
        <f t="shared" si="195"/>
        <v>0</v>
      </c>
      <c r="F802" s="14">
        <f t="shared" si="206"/>
        <v>-7.9415556870743078</v>
      </c>
      <c r="G802" s="14">
        <f t="shared" si="196"/>
        <v>-1.284473431049626</v>
      </c>
      <c r="H802" s="14">
        <f t="shared" si="197"/>
        <v>7.8369914339515443</v>
      </c>
      <c r="I802" s="14">
        <f t="shared" si="198"/>
        <v>2.5823358220726664</v>
      </c>
      <c r="J802" s="14">
        <f t="shared" si="207"/>
        <v>-15.804673280553677</v>
      </c>
      <c r="K802" s="14">
        <f t="shared" si="199"/>
        <v>-80.72040321296619</v>
      </c>
      <c r="L802" s="14">
        <f t="shared" si="200"/>
        <v>16.014248524454935</v>
      </c>
      <c r="M802" s="14">
        <f t="shared" si="209"/>
        <v>17.306585567480067</v>
      </c>
      <c r="N802" s="14">
        <f t="shared" si="201"/>
        <v>-18.563020719746543</v>
      </c>
      <c r="O802" s="14">
        <f t="shared" si="208"/>
        <v>0</v>
      </c>
      <c r="P802" s="14">
        <f t="shared" si="202"/>
        <v>0</v>
      </c>
    </row>
    <row r="803" spans="1:16" x14ac:dyDescent="0.25">
      <c r="A803" s="14">
        <f t="shared" si="194"/>
        <v>3.8949999999999392</v>
      </c>
      <c r="B803" s="14">
        <f t="shared" si="203"/>
        <v>30.649363039231201</v>
      </c>
      <c r="C803" s="14">
        <f t="shared" si="204"/>
        <v>-16.21419828816461</v>
      </c>
      <c r="D803" s="14">
        <f t="shared" si="205"/>
        <v>0</v>
      </c>
      <c r="E803" s="14">
        <f t="shared" si="195"/>
        <v>0</v>
      </c>
      <c r="F803" s="14">
        <f t="shared" si="206"/>
        <v>-7.9501408298932184</v>
      </c>
      <c r="G803" s="14">
        <f t="shared" si="196"/>
        <v>-1.2819791964765026</v>
      </c>
      <c r="H803" s="14">
        <f t="shared" si="197"/>
        <v>7.8460989386405702</v>
      </c>
      <c r="I803" s="14">
        <f t="shared" si="198"/>
        <v>2.5759259260902838</v>
      </c>
      <c r="J803" s="14">
        <f t="shared" si="207"/>
        <v>-15.814442785860475</v>
      </c>
      <c r="K803" s="14">
        <f t="shared" si="199"/>
        <v>-80.748657534818037</v>
      </c>
      <c r="L803" s="14">
        <f t="shared" si="200"/>
        <v>16.022858515382282</v>
      </c>
      <c r="M803" s="14">
        <f t="shared" si="209"/>
        <v>17.306585567480067</v>
      </c>
      <c r="N803" s="14">
        <f t="shared" si="201"/>
        <v>-18.642092933675844</v>
      </c>
      <c r="O803" s="14">
        <f t="shared" si="208"/>
        <v>0</v>
      </c>
      <c r="P803" s="14">
        <f t="shared" si="202"/>
        <v>0</v>
      </c>
    </row>
    <row r="804" spans="1:16" x14ac:dyDescent="0.25">
      <c r="A804" s="14">
        <f t="shared" si="194"/>
        <v>3.8999999999999391</v>
      </c>
      <c r="B804" s="14">
        <f t="shared" si="203"/>
        <v>30.649363039231201</v>
      </c>
      <c r="C804" s="14">
        <f t="shared" si="204"/>
        <v>-16.330562406634655</v>
      </c>
      <c r="D804" s="14">
        <f t="shared" si="205"/>
        <v>0</v>
      </c>
      <c r="E804" s="14">
        <f t="shared" si="195"/>
        <v>0</v>
      </c>
      <c r="F804" s="14">
        <f t="shared" si="206"/>
        <v>-7.9586918451227131</v>
      </c>
      <c r="G804" s="14">
        <f t="shared" si="196"/>
        <v>-1.279484596455341</v>
      </c>
      <c r="H804" s="14">
        <f t="shared" si="197"/>
        <v>7.8551699569809621</v>
      </c>
      <c r="I804" s="14">
        <f t="shared" si="198"/>
        <v>2.5695285031080073</v>
      </c>
      <c r="J804" s="14">
        <f t="shared" si="207"/>
        <v>-15.824166936075571</v>
      </c>
      <c r="K804" s="14">
        <f t="shared" si="199"/>
        <v>-80.776811518159064</v>
      </c>
      <c r="L804" s="14">
        <f t="shared" si="200"/>
        <v>16.031429628984178</v>
      </c>
      <c r="M804" s="14">
        <f t="shared" si="209"/>
        <v>17.306585567480067</v>
      </c>
      <c r="N804" s="14">
        <f t="shared" si="201"/>
        <v>-18.721213768356222</v>
      </c>
      <c r="O804" s="14">
        <f t="shared" si="208"/>
        <v>0</v>
      </c>
      <c r="P804" s="14">
        <f t="shared" si="202"/>
        <v>0</v>
      </c>
    </row>
    <row r="805" spans="1:16" x14ac:dyDescent="0.25">
      <c r="A805" s="14">
        <f t="shared" si="194"/>
        <v>3.904999999999939</v>
      </c>
      <c r="B805" s="14">
        <f t="shared" si="203"/>
        <v>30.649363039231201</v>
      </c>
      <c r="C805" s="14">
        <f t="shared" si="204"/>
        <v>-16.4471715251047</v>
      </c>
      <c r="D805" s="14">
        <f t="shared" si="205"/>
        <v>0</v>
      </c>
      <c r="E805" s="14">
        <f t="shared" si="195"/>
        <v>0</v>
      </c>
      <c r="F805" s="14">
        <f t="shared" si="206"/>
        <v>-7.9672088144212241</v>
      </c>
      <c r="G805" s="14">
        <f t="shared" si="196"/>
        <v>-1.2769896766945965</v>
      </c>
      <c r="H805" s="14">
        <f t="shared" si="197"/>
        <v>7.864204578862803</v>
      </c>
      <c r="I805" s="14">
        <f t="shared" si="198"/>
        <v>2.5631435547245345</v>
      </c>
      <c r="J805" s="14">
        <f t="shared" si="207"/>
        <v>-15.833845913181257</v>
      </c>
      <c r="K805" s="14">
        <f t="shared" si="199"/>
        <v>-80.804865633681189</v>
      </c>
      <c r="L805" s="14">
        <f t="shared" si="200"/>
        <v>16.03996201007012</v>
      </c>
      <c r="M805" s="14">
        <f t="shared" si="209"/>
        <v>17.306585567480067</v>
      </c>
      <c r="N805" s="14">
        <f t="shared" si="201"/>
        <v>-18.800382997922128</v>
      </c>
      <c r="O805" s="14">
        <f t="shared" si="208"/>
        <v>0</v>
      </c>
      <c r="P805" s="14">
        <f t="shared" si="202"/>
        <v>0</v>
      </c>
    </row>
    <row r="806" spans="1:16" x14ac:dyDescent="0.25">
      <c r="A806" s="14">
        <f t="shared" si="194"/>
        <v>3.9099999999999389</v>
      </c>
      <c r="B806" s="14">
        <f t="shared" si="203"/>
        <v>30.649363039231201</v>
      </c>
      <c r="C806" s="14">
        <f t="shared" si="204"/>
        <v>-16.564025643574738</v>
      </c>
      <c r="D806" s="14">
        <f t="shared" si="205"/>
        <v>0</v>
      </c>
      <c r="E806" s="14">
        <f t="shared" si="195"/>
        <v>0</v>
      </c>
      <c r="F806" s="14">
        <f t="shared" si="206"/>
        <v>-7.9756918198192741</v>
      </c>
      <c r="G806" s="14">
        <f t="shared" si="196"/>
        <v>-1.2744944825682649</v>
      </c>
      <c r="H806" s="14">
        <f t="shared" si="197"/>
        <v>7.8732028945426737</v>
      </c>
      <c r="I806" s="14">
        <f t="shared" si="198"/>
        <v>2.5567710823116934</v>
      </c>
      <c r="J806" s="14">
        <f t="shared" si="207"/>
        <v>-15.843479898708544</v>
      </c>
      <c r="K806" s="14">
        <f t="shared" si="199"/>
        <v>-80.832820349025013</v>
      </c>
      <c r="L806" s="14">
        <f t="shared" si="200"/>
        <v>16.048455803226897</v>
      </c>
      <c r="M806" s="14">
        <f t="shared" si="209"/>
        <v>17.306585567480067</v>
      </c>
      <c r="N806" s="14">
        <f t="shared" si="201"/>
        <v>-18.879600397415672</v>
      </c>
      <c r="O806" s="14">
        <f t="shared" si="208"/>
        <v>0</v>
      </c>
      <c r="P806" s="14">
        <f t="shared" si="202"/>
        <v>0</v>
      </c>
    </row>
    <row r="807" spans="1:16" x14ac:dyDescent="0.25">
      <c r="A807" s="14">
        <f t="shared" si="194"/>
        <v>3.9149999999999388</v>
      </c>
      <c r="B807" s="14">
        <f t="shared" si="203"/>
        <v>30.649363039231201</v>
      </c>
      <c r="C807" s="14">
        <f t="shared" si="204"/>
        <v>-16.681124762044774</v>
      </c>
      <c r="D807" s="14">
        <f t="shared" si="205"/>
        <v>0</v>
      </c>
      <c r="E807" s="14">
        <f t="shared" si="195"/>
        <v>0</v>
      </c>
      <c r="F807" s="14">
        <f t="shared" si="206"/>
        <v>-7.9841409437119397</v>
      </c>
      <c r="G807" s="14">
        <f t="shared" si="196"/>
        <v>-1.271999059116883</v>
      </c>
      <c r="H807" s="14">
        <f t="shared" si="197"/>
        <v>7.8821649946358745</v>
      </c>
      <c r="I807" s="14">
        <f t="shared" si="198"/>
        <v>2.550411087016109</v>
      </c>
      <c r="J807" s="14">
        <f t="shared" si="207"/>
        <v>-15.853069073735364</v>
      </c>
      <c r="K807" s="14">
        <f t="shared" si="199"/>
        <v>-80.860676128804997</v>
      </c>
      <c r="L807" s="14">
        <f t="shared" si="200"/>
        <v>16.056911152815143</v>
      </c>
      <c r="M807" s="14">
        <f t="shared" si="209"/>
        <v>17.306585567480067</v>
      </c>
      <c r="N807" s="14">
        <f t="shared" si="201"/>
        <v>-18.958865742784347</v>
      </c>
      <c r="O807" s="14">
        <f t="shared" si="208"/>
        <v>0</v>
      </c>
      <c r="P807" s="14">
        <f t="shared" si="202"/>
        <v>0</v>
      </c>
    </row>
    <row r="808" spans="1:16" x14ac:dyDescent="0.25">
      <c r="A808" s="14">
        <f t="shared" si="194"/>
        <v>3.9199999999999386</v>
      </c>
      <c r="B808" s="14">
        <f t="shared" si="203"/>
        <v>30.649363039231201</v>
      </c>
      <c r="C808" s="14">
        <f t="shared" si="204"/>
        <v>-16.798468880514811</v>
      </c>
      <c r="D808" s="14">
        <f t="shared" si="205"/>
        <v>0</v>
      </c>
      <c r="E808" s="14">
        <f t="shared" si="195"/>
        <v>0</v>
      </c>
      <c r="F808" s="14">
        <f t="shared" si="206"/>
        <v>-7.992556268851378</v>
      </c>
      <c r="G808" s="14">
        <f t="shared" si="196"/>
        <v>-1.2695034510485437</v>
      </c>
      <c r="H808" s="14">
        <f t="shared" si="197"/>
        <v>7.8910909701087144</v>
      </c>
      <c r="I808" s="14">
        <f t="shared" si="198"/>
        <v>2.5440635697608665</v>
      </c>
      <c r="J808" s="14">
        <f t="shared" si="207"/>
        <v>-15.86261361888482</v>
      </c>
      <c r="K808" s="14">
        <f t="shared" si="199"/>
        <v>-80.88843343463445</v>
      </c>
      <c r="L808" s="14">
        <f t="shared" si="200"/>
        <v>16.065328202965993</v>
      </c>
      <c r="M808" s="14">
        <f t="shared" si="209"/>
        <v>17.306585567480067</v>
      </c>
      <c r="N808" s="14">
        <f t="shared" si="201"/>
        <v>-19.038178810878772</v>
      </c>
      <c r="O808" s="14">
        <f t="shared" si="208"/>
        <v>0</v>
      </c>
      <c r="P808" s="14">
        <f t="shared" si="202"/>
        <v>0</v>
      </c>
    </row>
    <row r="809" spans="1:16" x14ac:dyDescent="0.25">
      <c r="A809" s="14">
        <f t="shared" si="194"/>
        <v>3.9249999999999385</v>
      </c>
      <c r="B809" s="14">
        <f t="shared" si="203"/>
        <v>30.649363039231201</v>
      </c>
      <c r="C809" s="14">
        <f t="shared" si="204"/>
        <v>-16.916057998984854</v>
      </c>
      <c r="D809" s="14">
        <f t="shared" si="205"/>
        <v>0</v>
      </c>
      <c r="E809" s="14">
        <f t="shared" si="195"/>
        <v>0</v>
      </c>
      <c r="F809" s="14">
        <f t="shared" si="206"/>
        <v>-8.0009378783394496</v>
      </c>
      <c r="G809" s="14">
        <f t="shared" si="196"/>
        <v>-1.2670077027399436</v>
      </c>
      <c r="H809" s="14">
        <f t="shared" si="197"/>
        <v>7.8999809122709044</v>
      </c>
      <c r="I809" s="14">
        <f t="shared" si="198"/>
        <v>2.5377285312471667</v>
      </c>
      <c r="J809" s="14">
        <f t="shared" si="207"/>
        <v>-15.872113714323465</v>
      </c>
      <c r="K809" s="14">
        <f t="shared" si="199"/>
        <v>-80.916092725150307</v>
      </c>
      <c r="L809" s="14">
        <f t="shared" si="200"/>
        <v>16.073707097577735</v>
      </c>
      <c r="M809" s="14">
        <f t="shared" si="209"/>
        <v>17.306585567480067</v>
      </c>
      <c r="N809" s="14">
        <f t="shared" si="201"/>
        <v>-19.117539379450388</v>
      </c>
      <c r="O809" s="14">
        <f t="shared" si="208"/>
        <v>0</v>
      </c>
      <c r="P809" s="14">
        <f t="shared" si="202"/>
        <v>0</v>
      </c>
    </row>
    <row r="810" spans="1:16" x14ac:dyDescent="0.25">
      <c r="A810" s="14">
        <f t="shared" si="194"/>
        <v>3.9299999999999384</v>
      </c>
      <c r="B810" s="14">
        <f t="shared" si="203"/>
        <v>30.649363039231201</v>
      </c>
      <c r="C810" s="14">
        <f t="shared" si="204"/>
        <v>-17.033892117454897</v>
      </c>
      <c r="D810" s="14">
        <f t="shared" si="205"/>
        <v>0</v>
      </c>
      <c r="E810" s="14">
        <f t="shared" si="195"/>
        <v>0</v>
      </c>
      <c r="F810" s="14">
        <f t="shared" si="206"/>
        <v>-8.0092858556203463</v>
      </c>
      <c r="G810" s="14">
        <f t="shared" si="196"/>
        <v>-1.2645118582374264</v>
      </c>
      <c r="H810" s="14">
        <f t="shared" si="197"/>
        <v>7.9088349127679409</v>
      </c>
      <c r="I810" s="14">
        <f t="shared" si="198"/>
        <v>2.5314059719559796</v>
      </c>
      <c r="J810" s="14">
        <f t="shared" si="207"/>
        <v>-15.881569539759624</v>
      </c>
      <c r="K810" s="14">
        <f t="shared" si="199"/>
        <v>-80.943654456037692</v>
      </c>
      <c r="L810" s="14">
        <f t="shared" si="200"/>
        <v>16.082047980312556</v>
      </c>
      <c r="M810" s="14">
        <f t="shared" si="209"/>
        <v>17.306585567480067</v>
      </c>
      <c r="N810" s="14">
        <f t="shared" si="201"/>
        <v>-19.196947227149188</v>
      </c>
      <c r="O810" s="14">
        <f t="shared" si="208"/>
        <v>0</v>
      </c>
      <c r="P810" s="14">
        <f t="shared" si="202"/>
        <v>0</v>
      </c>
    </row>
    <row r="811" spans="1:16" x14ac:dyDescent="0.25">
      <c r="A811" s="14">
        <f t="shared" si="194"/>
        <v>3.9349999999999383</v>
      </c>
      <c r="B811" s="14">
        <f t="shared" si="203"/>
        <v>30.649363039231201</v>
      </c>
      <c r="C811" s="14">
        <f t="shared" si="204"/>
        <v>-17.15197123592494</v>
      </c>
      <c r="D811" s="14">
        <f t="shared" si="205"/>
        <v>0</v>
      </c>
      <c r="E811" s="14">
        <f t="shared" si="195"/>
        <v>0</v>
      </c>
      <c r="F811" s="14">
        <f t="shared" si="206"/>
        <v>-8.0176002844733301</v>
      </c>
      <c r="G811" s="14">
        <f t="shared" si="196"/>
        <v>-1.2620159612580211</v>
      </c>
      <c r="H811" s="14">
        <f t="shared" si="197"/>
        <v>7.9176530635736251</v>
      </c>
      <c r="I811" s="14">
        <f t="shared" si="198"/>
        <v>2.5250958921496895</v>
      </c>
      <c r="J811" s="14">
        <f t="shared" si="207"/>
        <v>-15.890981274441756</v>
      </c>
      <c r="K811" s="14">
        <f t="shared" si="199"/>
        <v>-80.971119080054152</v>
      </c>
      <c r="L811" s="14">
        <f t="shared" si="200"/>
        <v>16.090350994593305</v>
      </c>
      <c r="M811" s="14">
        <f t="shared" si="209"/>
        <v>17.306585567480067</v>
      </c>
      <c r="N811" s="14">
        <f t="shared" si="201"/>
        <v>-19.276402133521398</v>
      </c>
      <c r="O811" s="14">
        <f t="shared" si="208"/>
        <v>0</v>
      </c>
      <c r="P811" s="14">
        <f t="shared" si="202"/>
        <v>0</v>
      </c>
    </row>
    <row r="812" spans="1:16" x14ac:dyDescent="0.25">
      <c r="A812" s="14">
        <f t="shared" si="194"/>
        <v>3.9399999999999382</v>
      </c>
      <c r="B812" s="14">
        <f t="shared" si="203"/>
        <v>30.649363039231201</v>
      </c>
      <c r="C812" s="14">
        <f t="shared" si="204"/>
        <v>-17.270295354394975</v>
      </c>
      <c r="D812" s="14">
        <f t="shared" si="205"/>
        <v>0</v>
      </c>
      <c r="E812" s="14">
        <f t="shared" si="195"/>
        <v>0</v>
      </c>
      <c r="F812" s="14">
        <f t="shared" si="206"/>
        <v>-8.0258812490055007</v>
      </c>
      <c r="G812" s="14">
        <f t="shared" si="196"/>
        <v>-1.2595200551905215</v>
      </c>
      <c r="H812" s="14">
        <f t="shared" si="197"/>
        <v>7.9264354569826008</v>
      </c>
      <c r="I812" s="14">
        <f t="shared" si="198"/>
        <v>2.518798291873737</v>
      </c>
      <c r="J812" s="14">
        <f t="shared" si="207"/>
        <v>-15.900349097156843</v>
      </c>
      <c r="K812" s="14">
        <f t="shared" si="199"/>
        <v>-80.998487047053757</v>
      </c>
      <c r="L812" s="14">
        <f t="shared" si="200"/>
        <v>16.098616283600354</v>
      </c>
      <c r="M812" s="14">
        <f t="shared" si="209"/>
        <v>17.306585567480067</v>
      </c>
      <c r="N812" s="14">
        <f t="shared" si="201"/>
        <v>-19.355903879007183</v>
      </c>
      <c r="O812" s="14">
        <f t="shared" si="208"/>
        <v>0</v>
      </c>
      <c r="P812" s="14">
        <f t="shared" si="202"/>
        <v>0</v>
      </c>
    </row>
    <row r="813" spans="1:16" x14ac:dyDescent="0.25">
      <c r="A813" s="14">
        <f t="shared" si="194"/>
        <v>3.9449999999999381</v>
      </c>
      <c r="B813" s="14">
        <f t="shared" si="203"/>
        <v>30.649363039231201</v>
      </c>
      <c r="C813" s="14">
        <f t="shared" si="204"/>
        <v>-17.388864472865016</v>
      </c>
      <c r="D813" s="14">
        <f t="shared" si="205"/>
        <v>0</v>
      </c>
      <c r="E813" s="14">
        <f t="shared" si="195"/>
        <v>0</v>
      </c>
      <c r="F813" s="14">
        <f t="shared" si="206"/>
        <v>-8.0341288336446759</v>
      </c>
      <c r="G813" s="14">
        <f t="shared" si="196"/>
        <v>-1.2570241830965623</v>
      </c>
      <c r="H813" s="14">
        <f t="shared" si="197"/>
        <v>7.935182185602998</v>
      </c>
      <c r="I813" s="14">
        <f t="shared" si="198"/>
        <v>2.5125131709582544</v>
      </c>
      <c r="J813" s="14">
        <f t="shared" si="207"/>
        <v>-15.909673186228828</v>
      </c>
      <c r="K813" s="14">
        <f t="shared" si="199"/>
        <v>-81.025758804010877</v>
      </c>
      <c r="L813" s="14">
        <f t="shared" si="200"/>
        <v>16.106843990268462</v>
      </c>
      <c r="M813" s="14">
        <f t="shared" si="209"/>
        <v>17.306585567480067</v>
      </c>
      <c r="N813" s="14">
        <f t="shared" si="201"/>
        <v>-19.435452244938329</v>
      </c>
      <c r="O813" s="14">
        <f t="shared" si="208"/>
        <v>0</v>
      </c>
      <c r="P813" s="14">
        <f t="shared" si="202"/>
        <v>0</v>
      </c>
    </row>
    <row r="814" spans="1:16" x14ac:dyDescent="0.25">
      <c r="A814" s="14">
        <f t="shared" si="194"/>
        <v>3.949999999999938</v>
      </c>
      <c r="B814" s="14">
        <f t="shared" si="203"/>
        <v>30.649363039231201</v>
      </c>
      <c r="C814" s="14">
        <f t="shared" si="204"/>
        <v>-17.507678591335058</v>
      </c>
      <c r="D814" s="14">
        <f t="shared" si="205"/>
        <v>0</v>
      </c>
      <c r="E814" s="14">
        <f t="shared" si="195"/>
        <v>0</v>
      </c>
      <c r="F814" s="14">
        <f t="shared" si="206"/>
        <v>-8.042343123132266</v>
      </c>
      <c r="G814" s="14">
        <f t="shared" si="196"/>
        <v>-1.2545283877116995</v>
      </c>
      <c r="H814" s="14">
        <f t="shared" si="197"/>
        <v>7.9438933423490994</v>
      </c>
      <c r="I814" s="14">
        <f t="shared" si="198"/>
        <v>2.5062405290196961</v>
      </c>
      <c r="J814" s="14">
        <f t="shared" si="207"/>
        <v>-15.918953719517082</v>
      </c>
      <c r="K814" s="14">
        <f t="shared" si="199"/>
        <v>-81.052934795043853</v>
      </c>
      <c r="L814" s="14">
        <f t="shared" si="200"/>
        <v>16.115034257283714</v>
      </c>
      <c r="M814" s="14">
        <f t="shared" si="209"/>
        <v>17.306585567480067</v>
      </c>
      <c r="N814" s="14">
        <f t="shared" si="201"/>
        <v>-19.515047013535913</v>
      </c>
      <c r="O814" s="14">
        <f t="shared" si="208"/>
        <v>0</v>
      </c>
      <c r="P814" s="14">
        <f t="shared" si="202"/>
        <v>0</v>
      </c>
    </row>
    <row r="815" spans="1:16" x14ac:dyDescent="0.25">
      <c r="A815" s="14">
        <f t="shared" si="194"/>
        <v>3.9549999999999379</v>
      </c>
      <c r="B815" s="14">
        <f t="shared" si="203"/>
        <v>30.649363039231201</v>
      </c>
      <c r="C815" s="14">
        <f t="shared" si="204"/>
        <v>-17.626737709805099</v>
      </c>
      <c r="D815" s="14">
        <f t="shared" si="205"/>
        <v>0</v>
      </c>
      <c r="E815" s="14">
        <f t="shared" si="195"/>
        <v>0</v>
      </c>
      <c r="F815" s="14">
        <f t="shared" si="206"/>
        <v>-8.0505242025162573</v>
      </c>
      <c r="G815" s="14">
        <f t="shared" si="196"/>
        <v>-1.2520327114465024</v>
      </c>
      <c r="H815" s="14">
        <f t="shared" si="197"/>
        <v>7.9525690204340842</v>
      </c>
      <c r="I815" s="14">
        <f t="shared" si="198"/>
        <v>2.4999803654624637</v>
      </c>
      <c r="J815" s="14">
        <f t="shared" si="207"/>
        <v>-15.928190874414913</v>
      </c>
      <c r="K815" s="14">
        <f t="shared" si="199"/>
        <v>-81.080015461438279</v>
      </c>
      <c r="L815" s="14">
        <f t="shared" si="200"/>
        <v>16.123187227080518</v>
      </c>
      <c r="M815" s="14">
        <f t="shared" si="209"/>
        <v>17.306585567480067</v>
      </c>
      <c r="N815" s="14">
        <f t="shared" si="201"/>
        <v>-19.594687967907987</v>
      </c>
      <c r="O815" s="14">
        <f t="shared" si="208"/>
        <v>0</v>
      </c>
      <c r="P815" s="14">
        <f t="shared" si="202"/>
        <v>0</v>
      </c>
    </row>
    <row r="816" spans="1:16" x14ac:dyDescent="0.25">
      <c r="A816" s="14">
        <f t="shared" si="194"/>
        <v>3.9599999999999378</v>
      </c>
      <c r="B816" s="14">
        <f t="shared" si="203"/>
        <v>30.649363039231201</v>
      </c>
      <c r="C816" s="14">
        <f t="shared" si="204"/>
        <v>-17.746041828275146</v>
      </c>
      <c r="D816" s="14">
        <f t="shared" si="205"/>
        <v>0</v>
      </c>
      <c r="E816" s="14">
        <f t="shared" si="195"/>
        <v>0</v>
      </c>
      <c r="F816" s="14">
        <f t="shared" si="206"/>
        <v>-8.0586721571442634</v>
      </c>
      <c r="G816" s="14">
        <f t="shared" si="196"/>
        <v>-1.2495371963876694</v>
      </c>
      <c r="H816" s="14">
        <f t="shared" si="197"/>
        <v>7.9612093133628772</v>
      </c>
      <c r="I816" s="14">
        <f t="shared" si="198"/>
        <v>2.4937326794805252</v>
      </c>
      <c r="J816" s="14">
        <f t="shared" si="207"/>
        <v>-15.937384827848099</v>
      </c>
      <c r="K816" s="14">
        <f t="shared" si="199"/>
        <v>-81.10700124167019</v>
      </c>
      <c r="L816" s="14">
        <f t="shared" si="200"/>
        <v>16.131303041838621</v>
      </c>
      <c r="M816" s="14">
        <f t="shared" si="209"/>
        <v>17.306585567480067</v>
      </c>
      <c r="N816" s="14">
        <f t="shared" si="201"/>
        <v>-19.674374892047229</v>
      </c>
      <c r="O816" s="14">
        <f t="shared" si="208"/>
        <v>0</v>
      </c>
      <c r="P816" s="14">
        <f t="shared" si="202"/>
        <v>0</v>
      </c>
    </row>
    <row r="817" spans="1:16" x14ac:dyDescent="0.25">
      <c r="A817" s="14">
        <f t="shared" si="194"/>
        <v>3.9649999999999377</v>
      </c>
      <c r="B817" s="14">
        <f t="shared" si="203"/>
        <v>30.649363039231201</v>
      </c>
      <c r="C817" s="14">
        <f t="shared" si="204"/>
        <v>-17.865590946745179</v>
      </c>
      <c r="D817" s="14">
        <f t="shared" si="205"/>
        <v>0</v>
      </c>
      <c r="E817" s="14">
        <f t="shared" si="195"/>
        <v>0</v>
      </c>
      <c r="F817" s="14">
        <f t="shared" si="206"/>
        <v>-8.0667870726565898</v>
      </c>
      <c r="G817" s="14">
        <f t="shared" si="196"/>
        <v>-1.2470418842991347</v>
      </c>
      <c r="H817" s="14">
        <f t="shared" si="197"/>
        <v>7.9698143149249798</v>
      </c>
      <c r="I817" s="14">
        <f t="shared" si="198"/>
        <v>2.4874974700590298</v>
      </c>
      <c r="J817" s="14">
        <f t="shared" si="207"/>
        <v>-15.946535756273475</v>
      </c>
      <c r="K817" s="14">
        <f t="shared" si="199"/>
        <v>-81.133892571429044</v>
      </c>
      <c r="L817" s="14">
        <f t="shared" si="200"/>
        <v>16.139381843480205</v>
      </c>
      <c r="M817" s="14">
        <f t="shared" si="209"/>
        <v>17.306585567480067</v>
      </c>
      <c r="N817" s="14">
        <f t="shared" si="201"/>
        <v>-19.754107570828598</v>
      </c>
      <c r="O817" s="14">
        <f t="shared" si="208"/>
        <v>0</v>
      </c>
      <c r="P817" s="14">
        <f t="shared" si="202"/>
        <v>0</v>
      </c>
    </row>
    <row r="818" spans="1:16" x14ac:dyDescent="0.25">
      <c r="A818" s="14">
        <f t="shared" si="194"/>
        <v>3.9699999999999376</v>
      </c>
      <c r="B818" s="14">
        <f t="shared" si="203"/>
        <v>30.649363039231201</v>
      </c>
      <c r="C818" s="14">
        <f t="shared" si="204"/>
        <v>-17.985385065215226</v>
      </c>
      <c r="D818" s="14">
        <f t="shared" si="205"/>
        <v>0</v>
      </c>
      <c r="E818" s="14">
        <f t="shared" si="195"/>
        <v>0</v>
      </c>
      <c r="F818" s="14">
        <f t="shared" si="206"/>
        <v>-8.0748690349794128</v>
      </c>
      <c r="G818" s="14">
        <f t="shared" si="196"/>
        <v>-1.2445468166231823</v>
      </c>
      <c r="H818" s="14">
        <f t="shared" si="197"/>
        <v>7.9783841191874467</v>
      </c>
      <c r="I818" s="14">
        <f t="shared" si="198"/>
        <v>2.481274735975914</v>
      </c>
      <c r="J818" s="14">
        <f t="shared" si="207"/>
        <v>-15.955643835677538</v>
      </c>
      <c r="K818" s="14">
        <f t="shared" si="199"/>
        <v>-81.16068988364033</v>
      </c>
      <c r="L818" s="14">
        <f t="shared" si="200"/>
        <v>16.147423773667022</v>
      </c>
      <c r="M818" s="14">
        <f t="shared" si="209"/>
        <v>17.306585567480067</v>
      </c>
      <c r="N818" s="14">
        <f t="shared" si="201"/>
        <v>-19.833885790006985</v>
      </c>
      <c r="O818" s="14">
        <f t="shared" si="208"/>
        <v>0</v>
      </c>
      <c r="P818" s="14">
        <f t="shared" si="202"/>
        <v>0</v>
      </c>
    </row>
    <row r="819" spans="1:16" x14ac:dyDescent="0.25">
      <c r="A819" s="14">
        <f t="shared" si="194"/>
        <v>3.9749999999999375</v>
      </c>
      <c r="B819" s="14">
        <f t="shared" si="203"/>
        <v>30.649363039231201</v>
      </c>
      <c r="C819" s="14">
        <f t="shared" si="204"/>
        <v>-18.105424183685265</v>
      </c>
      <c r="D819" s="14">
        <f t="shared" si="205"/>
        <v>0</v>
      </c>
      <c r="E819" s="14">
        <f t="shared" si="195"/>
        <v>0</v>
      </c>
      <c r="F819" s="14">
        <f t="shared" si="206"/>
        <v>-8.082918130317994</v>
      </c>
      <c r="G819" s="14">
        <f t="shared" si="196"/>
        <v>-1.2420520344816015</v>
      </c>
      <c r="H819" s="14">
        <f t="shared" si="197"/>
        <v>7.9869188204878769</v>
      </c>
      <c r="I819" s="14">
        <f t="shared" si="198"/>
        <v>2.4750644758035061</v>
      </c>
      <c r="J819" s="14">
        <f t="shared" si="207"/>
        <v>-15.964709241575099</v>
      </c>
      <c r="K819" s="14">
        <f t="shared" si="199"/>
        <v>-81.187393608488108</v>
      </c>
      <c r="L819" s="14">
        <f t="shared" si="200"/>
        <v>16.155428973797566</v>
      </c>
      <c r="M819" s="14">
        <f t="shared" si="209"/>
        <v>17.306585567480067</v>
      </c>
      <c r="N819" s="14">
        <f t="shared" si="201"/>
        <v>-19.913709336214861</v>
      </c>
      <c r="O819" s="14">
        <f t="shared" si="208"/>
        <v>0</v>
      </c>
      <c r="P819" s="14">
        <f t="shared" si="202"/>
        <v>0</v>
      </c>
    </row>
    <row r="820" spans="1:16" x14ac:dyDescent="0.25">
      <c r="A820" s="14">
        <f t="shared" si="194"/>
        <v>3.9799999999999374</v>
      </c>
      <c r="B820" s="14">
        <f t="shared" si="203"/>
        <v>30.649363039231201</v>
      </c>
      <c r="C820" s="14">
        <f t="shared" si="204"/>
        <v>-18.225708302155311</v>
      </c>
      <c r="D820" s="14">
        <f t="shared" si="205"/>
        <v>0</v>
      </c>
      <c r="E820" s="14">
        <f t="shared" si="195"/>
        <v>0</v>
      </c>
      <c r="F820" s="14">
        <f t="shared" si="206"/>
        <v>-8.0909344451499532</v>
      </c>
      <c r="G820" s="14">
        <f t="shared" si="196"/>
        <v>-1.2395575786768045</v>
      </c>
      <c r="H820" s="14">
        <f t="shared" si="197"/>
        <v>7.9954185134274791</v>
      </c>
      <c r="I820" s="14">
        <f t="shared" si="198"/>
        <v>2.468866687910122</v>
      </c>
      <c r="J820" s="14">
        <f t="shared" si="207"/>
        <v>-15.973732149007962</v>
      </c>
      <c r="K820" s="14">
        <f t="shared" si="199"/>
        <v>-81.214004173437303</v>
      </c>
      <c r="L820" s="14">
        <f t="shared" si="200"/>
        <v>16.163397585004297</v>
      </c>
      <c r="M820" s="14">
        <f t="shared" si="209"/>
        <v>17.306585567480067</v>
      </c>
      <c r="N820" s="14">
        <f t="shared" si="201"/>
        <v>-19.9935779969599</v>
      </c>
      <c r="O820" s="14">
        <f t="shared" si="208"/>
        <v>0</v>
      </c>
      <c r="P820" s="14">
        <f t="shared" si="202"/>
        <v>0</v>
      </c>
    </row>
    <row r="821" spans="1:16" x14ac:dyDescent="0.25">
      <c r="A821" s="14">
        <f t="shared" si="194"/>
        <v>3.9849999999999373</v>
      </c>
      <c r="B821" s="14">
        <f t="shared" si="203"/>
        <v>30.649363039231201</v>
      </c>
      <c r="C821" s="14">
        <f t="shared" si="204"/>
        <v>-18.346237420625343</v>
      </c>
      <c r="D821" s="14">
        <f t="shared" si="205"/>
        <v>0</v>
      </c>
      <c r="E821" s="14">
        <f t="shared" si="195"/>
        <v>0</v>
      </c>
      <c r="F821" s="14">
        <f t="shared" si="206"/>
        <v>-8.0989180662186051</v>
      </c>
      <c r="G821" s="14">
        <f t="shared" si="196"/>
        <v>-1.2370634896929853</v>
      </c>
      <c r="H821" s="14">
        <f t="shared" si="197"/>
        <v>8.0038832928642041</v>
      </c>
      <c r="I821" s="14">
        <f t="shared" si="198"/>
        <v>2.4626813704616572</v>
      </c>
      <c r="J821" s="14">
        <f t="shared" si="207"/>
        <v>-15.982712732543641</v>
      </c>
      <c r="K821" s="14">
        <f t="shared" si="199"/>
        <v>-81.240522003255762</v>
      </c>
      <c r="L821" s="14">
        <f t="shared" si="200"/>
        <v>16.171329748150942</v>
      </c>
      <c r="M821" s="14">
        <f t="shared" si="209"/>
        <v>17.306585567480067</v>
      </c>
      <c r="N821" s="14">
        <f t="shared" si="201"/>
        <v>-20.073491560622617</v>
      </c>
      <c r="O821" s="14">
        <f t="shared" si="208"/>
        <v>0</v>
      </c>
      <c r="P821" s="14">
        <f t="shared" si="202"/>
        <v>0</v>
      </c>
    </row>
    <row r="822" spans="1:16" x14ac:dyDescent="0.25">
      <c r="A822" s="14">
        <f t="shared" si="194"/>
        <v>3.9899999999999372</v>
      </c>
      <c r="B822" s="14">
        <f t="shared" si="203"/>
        <v>30.649363039231201</v>
      </c>
      <c r="C822" s="14">
        <f t="shared" si="204"/>
        <v>-18.467011539095388</v>
      </c>
      <c r="D822" s="14">
        <f t="shared" si="205"/>
        <v>0</v>
      </c>
      <c r="E822" s="14">
        <f t="shared" si="195"/>
        <v>0</v>
      </c>
      <c r="F822" s="14">
        <f t="shared" si="206"/>
        <v>-8.1068690805263799</v>
      </c>
      <c r="G822" s="14">
        <f t="shared" si="196"/>
        <v>-1.2345698076972735</v>
      </c>
      <c r="H822" s="14">
        <f t="shared" si="197"/>
        <v>8.0123132539059494</v>
      </c>
      <c r="I822" s="14">
        <f t="shared" si="198"/>
        <v>2.4565085214231708</v>
      </c>
      <c r="J822" s="14">
        <f t="shared" si="207"/>
        <v>-15.991651166274112</v>
      </c>
      <c r="K822" s="14">
        <f t="shared" si="199"/>
        <v>-81.266947520036027</v>
      </c>
      <c r="L822" s="14">
        <f t="shared" si="200"/>
        <v>16.179225603829771</v>
      </c>
      <c r="M822" s="14">
        <f t="shared" si="209"/>
        <v>17.306585567480067</v>
      </c>
      <c r="N822" s="14">
        <f t="shared" si="201"/>
        <v>-20.153449816453989</v>
      </c>
      <c r="O822" s="14">
        <f t="shared" si="208"/>
        <v>0</v>
      </c>
      <c r="P822" s="14">
        <f t="shared" si="202"/>
        <v>0</v>
      </c>
    </row>
    <row r="823" spans="1:16" x14ac:dyDescent="0.25">
      <c r="A823" s="14">
        <f t="shared" si="194"/>
        <v>3.994999999999937</v>
      </c>
      <c r="B823" s="14">
        <f t="shared" si="203"/>
        <v>30.649363039231201</v>
      </c>
      <c r="C823" s="14">
        <f t="shared" si="204"/>
        <v>-18.588030657565426</v>
      </c>
      <c r="D823" s="14">
        <f t="shared" si="205"/>
        <v>0</v>
      </c>
      <c r="E823" s="14">
        <f t="shared" si="195"/>
        <v>0</v>
      </c>
      <c r="F823" s="14">
        <f t="shared" si="206"/>
        <v>-8.1147875753282452</v>
      </c>
      <c r="G823" s="14">
        <f t="shared" si="196"/>
        <v>-1.2320765725409093</v>
      </c>
      <c r="H823" s="14">
        <f t="shared" si="197"/>
        <v>8.0207084919037861</v>
      </c>
      <c r="I823" s="14">
        <f t="shared" si="198"/>
        <v>2.4503481385604662</v>
      </c>
      <c r="J823" s="14">
        <f t="shared" si="207"/>
        <v>-16.000547623814594</v>
      </c>
      <c r="K823" s="14">
        <f t="shared" si="199"/>
        <v>-81.293281143217143</v>
      </c>
      <c r="L823" s="14">
        <f t="shared" si="200"/>
        <v>16.187085292359015</v>
      </c>
      <c r="M823" s="14">
        <f t="shared" si="209"/>
        <v>17.306585567480067</v>
      </c>
      <c r="N823" s="14">
        <f t="shared" si="201"/>
        <v>-20.233452554573063</v>
      </c>
      <c r="O823" s="14">
        <f t="shared" si="208"/>
        <v>0</v>
      </c>
      <c r="P823" s="14">
        <f t="shared" si="202"/>
        <v>0</v>
      </c>
    </row>
    <row r="824" spans="1:16" x14ac:dyDescent="0.25">
      <c r="A824" s="14">
        <f t="shared" si="194"/>
        <v>3.9999999999999369</v>
      </c>
      <c r="B824" s="14">
        <f t="shared" si="203"/>
        <v>30.649363039231201</v>
      </c>
      <c r="C824" s="14">
        <f t="shared" si="204"/>
        <v>-18.709294776035463</v>
      </c>
      <c r="D824" s="14">
        <f t="shared" si="205"/>
        <v>0</v>
      </c>
      <c r="E824" s="14">
        <f t="shared" si="195"/>
        <v>0</v>
      </c>
      <c r="F824" s="14">
        <f t="shared" si="206"/>
        <v>-8.1226736381252724</v>
      </c>
      <c r="G824" s="14">
        <f t="shared" si="196"/>
        <v>-1.2295838237603944</v>
      </c>
      <c r="H824" s="14">
        <f t="shared" si="197"/>
        <v>8.029069102445316</v>
      </c>
      <c r="I824" s="14">
        <f t="shared" si="198"/>
        <v>2.4442002194416643</v>
      </c>
      <c r="J824" s="14">
        <f t="shared" si="207"/>
        <v>-16.009402278302368</v>
      </c>
      <c r="K824" s="14">
        <f t="shared" si="199"/>
        <v>-81.319523289605982</v>
      </c>
      <c r="L824" s="14">
        <f t="shared" si="200"/>
        <v>16.194908953780249</v>
      </c>
      <c r="M824" s="14">
        <f t="shared" si="209"/>
        <v>17.306585567480067</v>
      </c>
      <c r="N824" s="14">
        <f t="shared" si="201"/>
        <v>-20.313499565964573</v>
      </c>
      <c r="O824" s="14">
        <f t="shared" si="208"/>
        <v>0</v>
      </c>
      <c r="P824" s="14">
        <f t="shared" si="202"/>
        <v>0</v>
      </c>
    </row>
    <row r="825" spans="1:16" x14ac:dyDescent="0.25">
      <c r="A825" s="14">
        <f t="shared" si="194"/>
        <v>4.0049999999999368</v>
      </c>
      <c r="B825" s="14">
        <f t="shared" si="203"/>
        <v>30.649363039231201</v>
      </c>
      <c r="C825" s="14">
        <f t="shared" si="204"/>
        <v>-18.830803894505515</v>
      </c>
      <c r="D825" s="14">
        <f t="shared" si="205"/>
        <v>0</v>
      </c>
      <c r="E825" s="14">
        <f t="shared" si="195"/>
        <v>0</v>
      </c>
      <c r="F825" s="14">
        <f t="shared" si="206"/>
        <v>-8.1305273566581828</v>
      </c>
      <c r="G825" s="14">
        <f t="shared" si="196"/>
        <v>-1.2270916005786912</v>
      </c>
      <c r="H825" s="14">
        <f t="shared" si="197"/>
        <v>8.0373951813480176</v>
      </c>
      <c r="I825" s="14">
        <f t="shared" si="198"/>
        <v>2.4380647614387709</v>
      </c>
      <c r="J825" s="14">
        <f t="shared" si="207"/>
        <v>-16.018215302395628</v>
      </c>
      <c r="K825" s="14">
        <f t="shared" si="199"/>
        <v>-81.345674373398467</v>
      </c>
      <c r="L825" s="14">
        <f t="shared" si="200"/>
        <v>16.202696727855859</v>
      </c>
      <c r="M825" s="14">
        <f t="shared" si="209"/>
        <v>17.306585567480067</v>
      </c>
      <c r="N825" s="14">
        <f t="shared" si="201"/>
        <v>-20.39359064247655</v>
      </c>
      <c r="O825" s="14">
        <f t="shared" si="208"/>
        <v>0</v>
      </c>
      <c r="P825" s="14">
        <f t="shared" si="202"/>
        <v>0</v>
      </c>
    </row>
    <row r="826" spans="1:16" x14ac:dyDescent="0.25">
      <c r="A826" s="14">
        <f t="shared" si="194"/>
        <v>4.0099999999999367</v>
      </c>
      <c r="B826" s="14">
        <f t="shared" si="203"/>
        <v>30.649363039231201</v>
      </c>
      <c r="C826" s="14">
        <f t="shared" si="204"/>
        <v>-18.952558012975558</v>
      </c>
      <c r="D826" s="14">
        <f t="shared" si="205"/>
        <v>0</v>
      </c>
      <c r="E826" s="14">
        <f t="shared" si="195"/>
        <v>0</v>
      </c>
      <c r="F826" s="14">
        <f t="shared" si="206"/>
        <v>-8.1383488189009991</v>
      </c>
      <c r="G826" s="14">
        <f t="shared" si="196"/>
        <v>-1.2245999419064046</v>
      </c>
      <c r="H826" s="14">
        <f t="shared" si="197"/>
        <v>8.0456868246527051</v>
      </c>
      <c r="I826" s="14">
        <f t="shared" si="198"/>
        <v>2.4319417617292389</v>
      </c>
      <c r="J826" s="14">
        <f t="shared" si="207"/>
        <v>-16.026986868272363</v>
      </c>
      <c r="K826" s="14">
        <f t="shared" si="199"/>
        <v>-81.37173480620072</v>
      </c>
      <c r="L826" s="14">
        <f t="shared" si="200"/>
        <v>16.21044875406654</v>
      </c>
      <c r="M826" s="14">
        <f t="shared" si="209"/>
        <v>17.306585567480067</v>
      </c>
      <c r="N826" s="14">
        <f t="shared" si="201"/>
        <v>-20.473725576817912</v>
      </c>
      <c r="O826" s="14">
        <f t="shared" si="208"/>
        <v>0</v>
      </c>
      <c r="P826" s="14">
        <f t="shared" si="202"/>
        <v>0</v>
      </c>
    </row>
    <row r="827" spans="1:16" x14ac:dyDescent="0.25">
      <c r="A827" s="14">
        <f t="shared" si="194"/>
        <v>4.0149999999999366</v>
      </c>
      <c r="B827" s="14">
        <f t="shared" si="203"/>
        <v>30.649363039231201</v>
      </c>
      <c r="C827" s="14">
        <f t="shared" si="204"/>
        <v>-19.07455713144558</v>
      </c>
      <c r="D827" s="14">
        <f t="shared" si="205"/>
        <v>0</v>
      </c>
      <c r="E827" s="14">
        <f t="shared" si="195"/>
        <v>0</v>
      </c>
      <c r="F827" s="14">
        <f t="shared" si="206"/>
        <v>-8.1461381130547412</v>
      </c>
      <c r="G827" s="14">
        <f t="shared" si="196"/>
        <v>-1.2221088863429699</v>
      </c>
      <c r="H827" s="14">
        <f t="shared" si="197"/>
        <v>8.0539441286170224</v>
      </c>
      <c r="I827" s="14">
        <f t="shared" si="198"/>
        <v>2.425831217297524</v>
      </c>
      <c r="J827" s="14">
        <f t="shared" si="207"/>
        <v>-16.035717147629278</v>
      </c>
      <c r="K827" s="14">
        <f t="shared" si="199"/>
        <v>-81.397704997049786</v>
      </c>
      <c r="L827" s="14">
        <f t="shared" si="200"/>
        <v>16.218165171608863</v>
      </c>
      <c r="M827" s="14">
        <f t="shared" si="209"/>
        <v>17.306585567480067</v>
      </c>
      <c r="N827" s="14">
        <f t="shared" si="201"/>
        <v>-20.553904162556059</v>
      </c>
      <c r="O827" s="14">
        <f t="shared" si="208"/>
        <v>0</v>
      </c>
      <c r="P827" s="14">
        <f t="shared" si="202"/>
        <v>0</v>
      </c>
    </row>
    <row r="828" spans="1:16" x14ac:dyDescent="0.25">
      <c r="A828" s="14">
        <f t="shared" si="194"/>
        <v>4.0199999999999365</v>
      </c>
      <c r="B828" s="14">
        <f t="shared" si="203"/>
        <v>30.649363039231201</v>
      </c>
      <c r="C828" s="14">
        <f t="shared" si="204"/>
        <v>-19.19680124991563</v>
      </c>
      <c r="D828" s="14">
        <f t="shared" si="205"/>
        <v>0</v>
      </c>
      <c r="E828" s="14">
        <f t="shared" si="195"/>
        <v>0</v>
      </c>
      <c r="F828" s="14">
        <f t="shared" si="206"/>
        <v>-8.1538953275411892</v>
      </c>
      <c r="G828" s="14">
        <f t="shared" si="196"/>
        <v>-1.2196184721778633</v>
      </c>
      <c r="H828" s="14">
        <f t="shared" si="197"/>
        <v>8.0621671897090152</v>
      </c>
      <c r="I828" s="14">
        <f t="shared" si="198"/>
        <v>2.4197331249366347</v>
      </c>
      <c r="J828" s="14">
        <f t="shared" si="207"/>
        <v>-16.044406311680731</v>
      </c>
      <c r="K828" s="14">
        <f t="shared" si="199"/>
        <v>-81.423585352434372</v>
      </c>
      <c r="L828" s="14">
        <f t="shared" si="200"/>
        <v>16.225846119392852</v>
      </c>
      <c r="M828" s="14">
        <f t="shared" si="209"/>
        <v>17.306585567480067</v>
      </c>
      <c r="N828" s="14">
        <f t="shared" si="201"/>
        <v>-20.634126194114462</v>
      </c>
      <c r="O828" s="14">
        <f t="shared" si="208"/>
        <v>0</v>
      </c>
      <c r="P828" s="14">
        <f t="shared" si="202"/>
        <v>0</v>
      </c>
    </row>
    <row r="829" spans="1:16" x14ac:dyDescent="0.25">
      <c r="A829" s="14">
        <f t="shared" si="194"/>
        <v>4.0249999999999364</v>
      </c>
      <c r="B829" s="14">
        <f t="shared" si="203"/>
        <v>30.649363039231201</v>
      </c>
      <c r="C829" s="14">
        <f t="shared" si="204"/>
        <v>-19.319290368385666</v>
      </c>
      <c r="D829" s="14">
        <f t="shared" si="205"/>
        <v>0</v>
      </c>
      <c r="E829" s="14">
        <f t="shared" si="195"/>
        <v>0</v>
      </c>
      <c r="F829" s="14">
        <f t="shared" si="206"/>
        <v>-8.1616205509966981</v>
      </c>
      <c r="G829" s="14">
        <f t="shared" si="196"/>
        <v>-1.2171287373918029</v>
      </c>
      <c r="H829" s="14">
        <f t="shared" si="197"/>
        <v>8.070356104600755</v>
      </c>
      <c r="I829" s="14">
        <f t="shared" si="198"/>
        <v>2.4136474812496758</v>
      </c>
      <c r="J829" s="14">
        <f t="shared" si="207"/>
        <v>-16.053054531157727</v>
      </c>
      <c r="K829" s="14">
        <f t="shared" si="199"/>
        <v>-81.449376276315235</v>
      </c>
      <c r="L829" s="14">
        <f t="shared" si="200"/>
        <v>16.233491736039618</v>
      </c>
      <c r="M829" s="14">
        <f t="shared" si="209"/>
        <v>17.306585567480067</v>
      </c>
      <c r="N829" s="14">
        <f t="shared" si="201"/>
        <v>-20.714391466770252</v>
      </c>
      <c r="O829" s="14">
        <f t="shared" si="208"/>
        <v>0</v>
      </c>
      <c r="P829" s="14">
        <f t="shared" si="202"/>
        <v>0</v>
      </c>
    </row>
    <row r="830" spans="1:16" x14ac:dyDescent="0.25">
      <c r="A830" s="14">
        <f t="shared" si="194"/>
        <v>4.0299999999999363</v>
      </c>
      <c r="B830" s="14">
        <f t="shared" si="203"/>
        <v>30.649363039231201</v>
      </c>
      <c r="C830" s="14">
        <f t="shared" si="204"/>
        <v>-19.442024486855722</v>
      </c>
      <c r="D830" s="14">
        <f t="shared" si="205"/>
        <v>0</v>
      </c>
      <c r="E830" s="14">
        <f t="shared" si="195"/>
        <v>0</v>
      </c>
      <c r="F830" s="14">
        <f t="shared" si="206"/>
        <v>-8.1693138722660645</v>
      </c>
      <c r="G830" s="14">
        <f t="shared" si="196"/>
        <v>-1.2146397196579632</v>
      </c>
      <c r="H830" s="14">
        <f t="shared" si="197"/>
        <v>8.0785109701620126</v>
      </c>
      <c r="I830" s="14">
        <f t="shared" si="198"/>
        <v>2.4075742826513857</v>
      </c>
      <c r="J830" s="14">
        <f t="shared" si="207"/>
        <v>-16.061661976306915</v>
      </c>
      <c r="K830" s="14">
        <f t="shared" si="199"/>
        <v>-81.475078170145451</v>
      </c>
      <c r="L830" s="14">
        <f t="shared" si="200"/>
        <v>16.241102159879041</v>
      </c>
      <c r="M830" s="14">
        <f t="shared" si="209"/>
        <v>17.306585567480067</v>
      </c>
      <c r="N830" s="14">
        <f t="shared" si="201"/>
        <v>-20.794699776651786</v>
      </c>
      <c r="O830" s="14">
        <f t="shared" si="208"/>
        <v>0</v>
      </c>
      <c r="P830" s="14">
        <f t="shared" si="202"/>
        <v>0</v>
      </c>
    </row>
    <row r="831" spans="1:16" x14ac:dyDescent="0.25">
      <c r="A831" s="14">
        <f t="shared" si="194"/>
        <v>4.0349999999999362</v>
      </c>
      <c r="B831" s="14">
        <f t="shared" si="203"/>
        <v>30.649363039231201</v>
      </c>
      <c r="C831" s="14">
        <f t="shared" si="204"/>
        <v>-19.565003605325749</v>
      </c>
      <c r="D831" s="14">
        <f t="shared" si="205"/>
        <v>0</v>
      </c>
      <c r="E831" s="14">
        <f t="shared" si="195"/>
        <v>0</v>
      </c>
      <c r="F831" s="14">
        <f t="shared" si="206"/>
        <v>-8.1769753803964562</v>
      </c>
      <c r="G831" s="14">
        <f t="shared" si="196"/>
        <v>-1.2121514563431977</v>
      </c>
      <c r="H831" s="14">
        <f t="shared" si="197"/>
        <v>8.0866318834540039</v>
      </c>
      <c r="I831" s="14">
        <f t="shared" si="198"/>
        <v>2.4015135253696696</v>
      </c>
      <c r="J831" s="14">
        <f t="shared" si="207"/>
        <v>-16.070228816889646</v>
      </c>
      <c r="K831" s="14">
        <f t="shared" si="199"/>
        <v>-81.500691432890463</v>
      </c>
      <c r="L831" s="14">
        <f t="shared" si="200"/>
        <v>16.248677528947514</v>
      </c>
      <c r="M831" s="14">
        <f t="shared" si="209"/>
        <v>17.306585567480067</v>
      </c>
      <c r="N831" s="14">
        <f t="shared" si="201"/>
        <v>-20.875050920736236</v>
      </c>
      <c r="O831" s="14">
        <f t="shared" si="208"/>
        <v>0</v>
      </c>
      <c r="P831" s="14">
        <f t="shared" si="202"/>
        <v>0</v>
      </c>
    </row>
    <row r="832" spans="1:16" x14ac:dyDescent="0.25">
      <c r="A832" s="14">
        <f t="shared" si="194"/>
        <v>4.0399999999999361</v>
      </c>
      <c r="B832" s="14">
        <f t="shared" si="203"/>
        <v>30.649363039231201</v>
      </c>
      <c r="C832" s="14">
        <f t="shared" si="204"/>
        <v>-19.688227723795791</v>
      </c>
      <c r="D832" s="14">
        <f t="shared" si="205"/>
        <v>0</v>
      </c>
      <c r="E832" s="14">
        <f t="shared" si="195"/>
        <v>0</v>
      </c>
      <c r="F832" s="14">
        <f t="shared" si="206"/>
        <v>-8.1846051646314422</v>
      </c>
      <c r="G832" s="14">
        <f t="shared" si="196"/>
        <v>-1.2096639845092692</v>
      </c>
      <c r="H832" s="14">
        <f t="shared" si="197"/>
        <v>8.0947189417232295</v>
      </c>
      <c r="I832" s="14">
        <f t="shared" si="198"/>
        <v>2.395465205447123</v>
      </c>
      <c r="J832" s="14">
        <f t="shared" si="207"/>
        <v>-16.07875522218103</v>
      </c>
      <c r="K832" s="14">
        <f t="shared" si="199"/>
        <v>-81.526216461048051</v>
      </c>
      <c r="L832" s="14">
        <f t="shared" si="200"/>
        <v>16.256217980985664</v>
      </c>
      <c r="M832" s="14">
        <f t="shared" si="209"/>
        <v>17.306585567480067</v>
      </c>
      <c r="N832" s="14">
        <f t="shared" si="201"/>
        <v>-20.955444696847142</v>
      </c>
      <c r="O832" s="14">
        <f t="shared" si="208"/>
        <v>0</v>
      </c>
      <c r="P832" s="14">
        <f t="shared" si="202"/>
        <v>0</v>
      </c>
    </row>
    <row r="833" spans="1:16" x14ac:dyDescent="0.25">
      <c r="A833" s="14">
        <f t="shared" ref="A833:A896" si="210">A832+$A$22</f>
        <v>4.044999999999936</v>
      </c>
      <c r="B833" s="14">
        <f t="shared" si="203"/>
        <v>30.649363039231201</v>
      </c>
      <c r="C833" s="14">
        <f t="shared" si="204"/>
        <v>-19.811696842265825</v>
      </c>
      <c r="D833" s="14">
        <f t="shared" si="205"/>
        <v>0</v>
      </c>
      <c r="E833" s="14">
        <f t="shared" ref="E833:E896" si="211">IF(AND(C834-C833&lt;0,C833&lt;$B$18),0,1)</f>
        <v>0</v>
      </c>
      <c r="F833" s="14">
        <f t="shared" si="206"/>
        <v>-8.1922033144049706</v>
      </c>
      <c r="G833" s="14">
        <f t="shared" ref="G833:G896" si="212">$F833*COS(PI()/180*$K832)</f>
        <v>-1.2071773409140649</v>
      </c>
      <c r="H833" s="14">
        <f t="shared" ref="H833:H896" si="213">$F833*SIN(PI()/180*$K832)</f>
        <v>8.1027722423952806</v>
      </c>
      <c r="I833" s="14">
        <f t="shared" ref="I833:I896" si="214">I832+G833*$A$22</f>
        <v>2.3894293187425526</v>
      </c>
      <c r="J833" s="14">
        <f t="shared" si="207"/>
        <v>-16.087241360969053</v>
      </c>
      <c r="K833" s="14">
        <f t="shared" ref="K833:K896" si="215">180/PI()*ATAN(J833/I833)</f>
        <v>-81.551653648667866</v>
      </c>
      <c r="L833" s="14">
        <f t="shared" ref="L833:L896" si="216">SQRT(I833^2+J833^2)</f>
        <v>16.263723653436191</v>
      </c>
      <c r="M833" s="14">
        <f t="shared" si="209"/>
        <v>17.306585567480067</v>
      </c>
      <c r="N833" s="14">
        <f t="shared" ref="N833:N896" si="217">N832+J833*$A$22</f>
        <v>-21.035880903651986</v>
      </c>
      <c r="O833" s="14">
        <f t="shared" si="208"/>
        <v>0</v>
      </c>
      <c r="P833" s="14">
        <f t="shared" ref="P833:P896" si="218">IF(AND(N834-N833&lt;0,N833&lt;$B$18),0,1)</f>
        <v>0</v>
      </c>
    </row>
    <row r="834" spans="1:16" x14ac:dyDescent="0.25">
      <c r="A834" s="14">
        <f t="shared" si="210"/>
        <v>4.0499999999999359</v>
      </c>
      <c r="B834" s="14">
        <f t="shared" si="203"/>
        <v>30.649363039231201</v>
      </c>
      <c r="C834" s="14">
        <f t="shared" si="204"/>
        <v>-19.935410960735879</v>
      </c>
      <c r="D834" s="14">
        <f t="shared" si="205"/>
        <v>0</v>
      </c>
      <c r="E834" s="14">
        <f t="shared" si="211"/>
        <v>0</v>
      </c>
      <c r="F834" s="14">
        <f t="shared" si="206"/>
        <v>-8.1997699193355338</v>
      </c>
      <c r="G834" s="14">
        <f t="shared" si="212"/>
        <v>-1.2046915620128611</v>
      </c>
      <c r="H834" s="14">
        <f t="shared" si="213"/>
        <v>8.1107918830688099</v>
      </c>
      <c r="I834" s="14">
        <f t="shared" si="214"/>
        <v>2.3834058609324882</v>
      </c>
      <c r="J834" s="14">
        <f t="shared" si="207"/>
        <v>-16.095687401553707</v>
      </c>
      <c r="K834" s="14">
        <f t="shared" si="215"/>
        <v>-81.577003387371079</v>
      </c>
      <c r="L834" s="14">
        <f t="shared" si="216"/>
        <v>16.27119468344172</v>
      </c>
      <c r="M834" s="14">
        <f t="shared" si="209"/>
        <v>17.306585567480067</v>
      </c>
      <c r="N834" s="14">
        <f t="shared" si="217"/>
        <v>-21.116359340659756</v>
      </c>
      <c r="O834" s="14">
        <f t="shared" si="208"/>
        <v>0</v>
      </c>
      <c r="P834" s="14">
        <f t="shared" si="218"/>
        <v>0</v>
      </c>
    </row>
    <row r="835" spans="1:16" x14ac:dyDescent="0.25">
      <c r="A835" s="14">
        <f t="shared" si="210"/>
        <v>4.0549999999999358</v>
      </c>
      <c r="B835" s="14">
        <f t="shared" si="203"/>
        <v>30.649363039231201</v>
      </c>
      <c r="C835" s="14">
        <f t="shared" si="204"/>
        <v>-20.05937007920592</v>
      </c>
      <c r="D835" s="14">
        <f t="shared" si="205"/>
        <v>0</v>
      </c>
      <c r="E835" s="14">
        <f t="shared" si="211"/>
        <v>0</v>
      </c>
      <c r="F835" s="14">
        <f t="shared" si="206"/>
        <v>-8.2073050692203253</v>
      </c>
      <c r="G835" s="14">
        <f t="shared" si="212"/>
        <v>-1.2022066839595424</v>
      </c>
      <c r="H835" s="14">
        <f t="shared" si="213"/>
        <v>8.1187779615095188</v>
      </c>
      <c r="I835" s="14">
        <f t="shared" si="214"/>
        <v>2.3773948275126906</v>
      </c>
      <c r="J835" s="14">
        <f t="shared" si="207"/>
        <v>-16.104093511746161</v>
      </c>
      <c r="K835" s="14">
        <f t="shared" si="215"/>
        <v>-81.602266066369623</v>
      </c>
      <c r="L835" s="14">
        <f t="shared" si="216"/>
        <v>16.278631207842658</v>
      </c>
      <c r="M835" s="14">
        <f t="shared" si="209"/>
        <v>17.306585567480067</v>
      </c>
      <c r="N835" s="14">
        <f t="shared" si="217"/>
        <v>-21.196879808218487</v>
      </c>
      <c r="O835" s="14">
        <f t="shared" si="208"/>
        <v>0</v>
      </c>
      <c r="P835" s="14">
        <f t="shared" si="218"/>
        <v>0</v>
      </c>
    </row>
    <row r="836" spans="1:16" x14ac:dyDescent="0.25">
      <c r="A836" s="14">
        <f t="shared" si="210"/>
        <v>4.0599999999999357</v>
      </c>
      <c r="B836" s="14">
        <f t="shared" si="203"/>
        <v>30.649363039231201</v>
      </c>
      <c r="C836" s="14">
        <f t="shared" si="204"/>
        <v>-20.183574197675945</v>
      </c>
      <c r="D836" s="14">
        <f t="shared" si="205"/>
        <v>0</v>
      </c>
      <c r="E836" s="14">
        <f t="shared" si="211"/>
        <v>0</v>
      </c>
      <c r="F836" s="14">
        <f t="shared" si="206"/>
        <v>-8.2148088540294157</v>
      </c>
      <c r="G836" s="14">
        <f t="shared" si="212"/>
        <v>-1.1997227426078652</v>
      </c>
      <c r="H836" s="14">
        <f t="shared" si="213"/>
        <v>8.126730575644153</v>
      </c>
      <c r="I836" s="14">
        <f t="shared" si="214"/>
        <v>2.3713962137996512</v>
      </c>
      <c r="J836" s="14">
        <f t="shared" si="207"/>
        <v>-16.11245985886794</v>
      </c>
      <c r="K836" s="14">
        <f t="shared" si="215"/>
        <v>-81.627442072485366</v>
      </c>
      <c r="L836" s="14">
        <f t="shared" si="216"/>
        <v>16.286033363175147</v>
      </c>
      <c r="M836" s="14">
        <f t="shared" si="209"/>
        <v>17.306585567480067</v>
      </c>
      <c r="N836" s="14">
        <f t="shared" si="217"/>
        <v>-21.277442107512826</v>
      </c>
      <c r="O836" s="14">
        <f t="shared" si="208"/>
        <v>0</v>
      </c>
      <c r="P836" s="14">
        <f t="shared" si="218"/>
        <v>0</v>
      </c>
    </row>
    <row r="837" spans="1:16" x14ac:dyDescent="0.25">
      <c r="A837" s="14">
        <f t="shared" si="210"/>
        <v>4.0649999999999356</v>
      </c>
      <c r="B837" s="14">
        <f t="shared" si="203"/>
        <v>30.649363039231201</v>
      </c>
      <c r="C837" s="14">
        <f t="shared" si="204"/>
        <v>-20.308023316145992</v>
      </c>
      <c r="D837" s="14">
        <f t="shared" si="205"/>
        <v>0</v>
      </c>
      <c r="E837" s="14">
        <f t="shared" si="211"/>
        <v>0</v>
      </c>
      <c r="F837" s="14">
        <f t="shared" si="206"/>
        <v>-8.2222813639000734</v>
      </c>
      <c r="G837" s="14">
        <f t="shared" si="212"/>
        <v>-1.1972397735126985</v>
      </c>
      <c r="H837" s="14">
        <f t="shared" si="213"/>
        <v>8.1346498235546516</v>
      </c>
      <c r="I837" s="14">
        <f t="shared" si="214"/>
        <v>2.3654100149320878</v>
      </c>
      <c r="J837" s="14">
        <f t="shared" si="207"/>
        <v>-16.120786609750166</v>
      </c>
      <c r="K837" s="14">
        <f t="shared" si="215"/>
        <v>-81.652531790169078</v>
      </c>
      <c r="L837" s="14">
        <f t="shared" si="216"/>
        <v>16.293401285669034</v>
      </c>
      <c r="M837" s="14">
        <f t="shared" si="209"/>
        <v>17.306585567480067</v>
      </c>
      <c r="N837" s="14">
        <f t="shared" si="217"/>
        <v>-21.358046040561575</v>
      </c>
      <c r="O837" s="14">
        <f t="shared" si="208"/>
        <v>0</v>
      </c>
      <c r="P837" s="14">
        <f t="shared" si="218"/>
        <v>0</v>
      </c>
    </row>
    <row r="838" spans="1:16" x14ac:dyDescent="0.25">
      <c r="A838" s="14">
        <f t="shared" si="210"/>
        <v>4.0699999999999354</v>
      </c>
      <c r="B838" s="14">
        <f t="shared" si="203"/>
        <v>30.649363039231201</v>
      </c>
      <c r="C838" s="14">
        <f t="shared" si="204"/>
        <v>-20.432717434616038</v>
      </c>
      <c r="D838" s="14">
        <f t="shared" si="205"/>
        <v>0</v>
      </c>
      <c r="E838" s="14">
        <f t="shared" si="211"/>
        <v>0</v>
      </c>
      <c r="F838" s="14">
        <f t="shared" si="206"/>
        <v>-8.2297226891310817</v>
      </c>
      <c r="G838" s="14">
        <f t="shared" si="212"/>
        <v>-1.1947578119312938</v>
      </c>
      <c r="H838" s="14">
        <f t="shared" si="213"/>
        <v>8.1425358034722866</v>
      </c>
      <c r="I838" s="14">
        <f t="shared" si="214"/>
        <v>2.3594362258724315</v>
      </c>
      <c r="J838" s="14">
        <f t="shared" si="207"/>
        <v>-16.129073930732805</v>
      </c>
      <c r="K838" s="14">
        <f t="shared" si="215"/>
        <v>-81.677535601519196</v>
      </c>
      <c r="L838" s="14">
        <f t="shared" si="216"/>
        <v>16.300735111245864</v>
      </c>
      <c r="M838" s="14">
        <f t="shared" si="209"/>
        <v>17.306585567480067</v>
      </c>
      <c r="N838" s="14">
        <f t="shared" si="217"/>
        <v>-21.438691410215238</v>
      </c>
      <c r="O838" s="14">
        <f t="shared" si="208"/>
        <v>0</v>
      </c>
      <c r="P838" s="14">
        <f t="shared" si="218"/>
        <v>0</v>
      </c>
    </row>
    <row r="839" spans="1:16" x14ac:dyDescent="0.25">
      <c r="A839" s="14">
        <f t="shared" si="210"/>
        <v>4.0749999999999353</v>
      </c>
      <c r="B839" s="14">
        <f t="shared" si="203"/>
        <v>30.649363039231201</v>
      </c>
      <c r="C839" s="14">
        <f t="shared" si="204"/>
        <v>-20.557656553086083</v>
      </c>
      <c r="D839" s="14">
        <f t="shared" si="205"/>
        <v>0</v>
      </c>
      <c r="E839" s="14">
        <f t="shared" si="211"/>
        <v>0</v>
      </c>
      <c r="F839" s="14">
        <f t="shared" si="206"/>
        <v>-8.2371329201771157</v>
      </c>
      <c r="G839" s="14">
        <f t="shared" si="212"/>
        <v>-1.1922768928245493</v>
      </c>
      <c r="H839" s="14">
        <f t="shared" si="213"/>
        <v>8.1503886137718755</v>
      </c>
      <c r="I839" s="14">
        <f t="shared" si="214"/>
        <v>2.3534748414083086</v>
      </c>
      <c r="J839" s="14">
        <f t="shared" si="207"/>
        <v>-16.137321987663945</v>
      </c>
      <c r="K839" s="14">
        <f t="shared" si="215"/>
        <v>-81.702453886300447</v>
      </c>
      <c r="L839" s="14">
        <f t="shared" si="216"/>
        <v>16.308034975516946</v>
      </c>
      <c r="M839" s="14">
        <f t="shared" si="209"/>
        <v>17.306585567480067</v>
      </c>
      <c r="N839" s="14">
        <f t="shared" si="217"/>
        <v>-21.519378020153557</v>
      </c>
      <c r="O839" s="14">
        <f t="shared" si="208"/>
        <v>0</v>
      </c>
      <c r="P839" s="14">
        <f t="shared" si="218"/>
        <v>0</v>
      </c>
    </row>
    <row r="840" spans="1:16" x14ac:dyDescent="0.25">
      <c r="A840" s="14">
        <f t="shared" si="210"/>
        <v>4.0799999999999352</v>
      </c>
      <c r="B840" s="14">
        <f t="shared" si="203"/>
        <v>30.649363039231201</v>
      </c>
      <c r="C840" s="14">
        <f t="shared" si="204"/>
        <v>-20.682840671556107</v>
      </c>
      <c r="D840" s="14">
        <f t="shared" si="205"/>
        <v>0</v>
      </c>
      <c r="E840" s="14">
        <f t="shared" si="211"/>
        <v>0</v>
      </c>
      <c r="F840" s="14">
        <f t="shared" si="206"/>
        <v>-8.2445121476432046</v>
      </c>
      <c r="G840" s="14">
        <f t="shared" si="212"/>
        <v>-1.189797050858262</v>
      </c>
      <c r="H840" s="14">
        <f t="shared" si="213"/>
        <v>8.1582083529660689</v>
      </c>
      <c r="I840" s="14">
        <f t="shared" si="214"/>
        <v>2.3475258561540175</v>
      </c>
      <c r="J840" s="14">
        <f t="shared" si="207"/>
        <v>-16.145530945899115</v>
      </c>
      <c r="K840" s="14">
        <f t="shared" si="215"/>
        <v>-81.727287021962312</v>
      </c>
      <c r="L840" s="14">
        <f t="shared" si="216"/>
        <v>16.315301013781436</v>
      </c>
      <c r="M840" s="14">
        <f t="shared" si="209"/>
        <v>17.306585567480067</v>
      </c>
      <c r="N840" s="14">
        <f t="shared" si="217"/>
        <v>-21.600105674883054</v>
      </c>
      <c r="O840" s="14">
        <f t="shared" si="208"/>
        <v>0</v>
      </c>
      <c r="P840" s="14">
        <f t="shared" si="218"/>
        <v>0</v>
      </c>
    </row>
    <row r="841" spans="1:16" x14ac:dyDescent="0.25">
      <c r="A841" s="14">
        <f t="shared" si="210"/>
        <v>4.0849999999999351</v>
      </c>
      <c r="B841" s="14">
        <f t="shared" si="203"/>
        <v>30.649363039231201</v>
      </c>
      <c r="C841" s="14">
        <f t="shared" si="204"/>
        <v>-20.808269790026152</v>
      </c>
      <c r="D841" s="14">
        <f t="shared" si="205"/>
        <v>0</v>
      </c>
      <c r="E841" s="14">
        <f t="shared" si="211"/>
        <v>0</v>
      </c>
      <c r="F841" s="14">
        <f t="shared" si="206"/>
        <v>-8.2518604622792235</v>
      </c>
      <c r="G841" s="14">
        <f t="shared" si="212"/>
        <v>-1.1873183204044195</v>
      </c>
      <c r="H841" s="14">
        <f t="shared" si="213"/>
        <v>8.1659951196996872</v>
      </c>
      <c r="I841" s="14">
        <f t="shared" si="214"/>
        <v>2.3415892645519953</v>
      </c>
      <c r="J841" s="14">
        <f t="shared" si="207"/>
        <v>-16.153700970300616</v>
      </c>
      <c r="K841" s="14">
        <f t="shared" si="215"/>
        <v>-81.75203538365723</v>
      </c>
      <c r="L841" s="14">
        <f t="shared" si="216"/>
        <v>16.322533361024451</v>
      </c>
      <c r="M841" s="14">
        <f t="shared" si="209"/>
        <v>17.306585567480067</v>
      </c>
      <c r="N841" s="14">
        <f t="shared" si="217"/>
        <v>-21.680874179734555</v>
      </c>
      <c r="O841" s="14">
        <f t="shared" si="208"/>
        <v>0</v>
      </c>
      <c r="P841" s="14">
        <f t="shared" si="218"/>
        <v>0</v>
      </c>
    </row>
    <row r="842" spans="1:16" x14ac:dyDescent="0.25">
      <c r="A842" s="14">
        <f t="shared" si="210"/>
        <v>4.089999999999935</v>
      </c>
      <c r="B842" s="14">
        <f t="shared" si="203"/>
        <v>30.649363039231201</v>
      </c>
      <c r="C842" s="14">
        <f t="shared" si="204"/>
        <v>-20.933943908496197</v>
      </c>
      <c r="D842" s="14">
        <f t="shared" si="205"/>
        <v>0</v>
      </c>
      <c r="E842" s="14">
        <f t="shared" si="211"/>
        <v>0</v>
      </c>
      <c r="F842" s="14">
        <f t="shared" si="206"/>
        <v>-8.2591779549744402</v>
      </c>
      <c r="G842" s="14">
        <f t="shared" si="212"/>
        <v>-1.1848407355424657</v>
      </c>
      <c r="H842" s="14">
        <f t="shared" si="213"/>
        <v>8.1737490127440893</v>
      </c>
      <c r="I842" s="14">
        <f t="shared" si="214"/>
        <v>2.335665060874283</v>
      </c>
      <c r="J842" s="14">
        <f t="shared" si="207"/>
        <v>-16.161832225236896</v>
      </c>
      <c r="K842" s="14">
        <f t="shared" si="215"/>
        <v>-81.776699344258759</v>
      </c>
      <c r="L842" s="14">
        <f t="shared" si="216"/>
        <v>16.329732151915252</v>
      </c>
      <c r="M842" s="14">
        <f t="shared" si="209"/>
        <v>17.306585567480067</v>
      </c>
      <c r="N842" s="14">
        <f t="shared" si="217"/>
        <v>-21.761683340860738</v>
      </c>
      <c r="O842" s="14">
        <f t="shared" si="208"/>
        <v>0</v>
      </c>
      <c r="P842" s="14">
        <f t="shared" si="218"/>
        <v>0</v>
      </c>
    </row>
    <row r="843" spans="1:16" x14ac:dyDescent="0.25">
      <c r="A843" s="14">
        <f t="shared" si="210"/>
        <v>4.0949999999999349</v>
      </c>
      <c r="B843" s="14">
        <f t="shared" si="203"/>
        <v>30.649363039231201</v>
      </c>
      <c r="C843" s="14">
        <f t="shared" si="204"/>
        <v>-21.059863026966227</v>
      </c>
      <c r="D843" s="14">
        <f t="shared" si="205"/>
        <v>0</v>
      </c>
      <c r="E843" s="14">
        <f t="shared" si="211"/>
        <v>0</v>
      </c>
      <c r="F843" s="14">
        <f t="shared" si="206"/>
        <v>-8.2664647167521377</v>
      </c>
      <c r="G843" s="14">
        <f t="shared" si="212"/>
        <v>-1.1823643300605797</v>
      </c>
      <c r="H843" s="14">
        <f t="shared" si="213"/>
        <v>8.1814701309916416</v>
      </c>
      <c r="I843" s="14">
        <f t="shared" si="214"/>
        <v>2.3297532392239804</v>
      </c>
      <c r="J843" s="14">
        <f t="shared" si="207"/>
        <v>-16.169924874581938</v>
      </c>
      <c r="K843" s="14">
        <f t="shared" si="215"/>
        <v>-81.801279274379482</v>
      </c>
      <c r="L843" s="14">
        <f t="shared" si="216"/>
        <v>16.336897520805422</v>
      </c>
      <c r="M843" s="14">
        <f t="shared" si="209"/>
        <v>17.306585567480067</v>
      </c>
      <c r="N843" s="14">
        <f t="shared" si="217"/>
        <v>-21.842532965233648</v>
      </c>
      <c r="O843" s="14">
        <f t="shared" si="208"/>
        <v>0</v>
      </c>
      <c r="P843" s="14">
        <f t="shared" si="218"/>
        <v>0</v>
      </c>
    </row>
    <row r="844" spans="1:16" x14ac:dyDescent="0.25">
      <c r="A844" s="14">
        <f t="shared" si="210"/>
        <v>4.0999999999999348</v>
      </c>
      <c r="B844" s="14">
        <f t="shared" si="203"/>
        <v>30.649363039231201</v>
      </c>
      <c r="C844" s="14">
        <f t="shared" si="204"/>
        <v>-21.186027145436277</v>
      </c>
      <c r="D844" s="14">
        <f t="shared" si="205"/>
        <v>0</v>
      </c>
      <c r="E844" s="14">
        <f t="shared" si="211"/>
        <v>0</v>
      </c>
      <c r="F844" s="14">
        <f t="shared" si="206"/>
        <v>-8.2737208387642482</v>
      </c>
      <c r="G844" s="14">
        <f t="shared" si="212"/>
        <v>-1.1798891374569642</v>
      </c>
      <c r="H844" s="14">
        <f t="shared" si="213"/>
        <v>8.1891585734501948</v>
      </c>
      <c r="I844" s="14">
        <f t="shared" si="214"/>
        <v>2.3238537935366956</v>
      </c>
      <c r="J844" s="14">
        <f t="shared" si="207"/>
        <v>-16.177979081714685</v>
      </c>
      <c r="K844" s="14">
        <f t="shared" si="215"/>
        <v>-81.82577554238874</v>
      </c>
      <c r="L844" s="14">
        <f t="shared" si="216"/>
        <v>16.344029601727136</v>
      </c>
      <c r="M844" s="14">
        <f t="shared" si="209"/>
        <v>17.306585567480067</v>
      </c>
      <c r="N844" s="14">
        <f t="shared" si="217"/>
        <v>-21.923422860642223</v>
      </c>
      <c r="O844" s="14">
        <f t="shared" si="208"/>
        <v>0</v>
      </c>
      <c r="P844" s="14">
        <f t="shared" si="218"/>
        <v>0</v>
      </c>
    </row>
    <row r="845" spans="1:16" x14ac:dyDescent="0.25">
      <c r="A845" s="14">
        <f t="shared" si="210"/>
        <v>4.1049999999999347</v>
      </c>
      <c r="B845" s="14">
        <f t="shared" si="203"/>
        <v>30.649363039231201</v>
      </c>
      <c r="C845" s="14">
        <f t="shared" si="204"/>
        <v>-21.312436263906314</v>
      </c>
      <c r="D845" s="14">
        <f t="shared" si="205"/>
        <v>0</v>
      </c>
      <c r="E845" s="14">
        <f t="shared" si="211"/>
        <v>0</v>
      </c>
      <c r="F845" s="14">
        <f t="shared" si="206"/>
        <v>-8.2809464122861201</v>
      </c>
      <c r="G845" s="14">
        <f t="shared" si="212"/>
        <v>-1.177415190941139</v>
      </c>
      <c r="H845" s="14">
        <f t="shared" si="213"/>
        <v>8.196814439237686</v>
      </c>
      <c r="I845" s="14">
        <f t="shared" si="214"/>
        <v>2.31796671758199</v>
      </c>
      <c r="J845" s="14">
        <f t="shared" si="207"/>
        <v>-16.185995009518496</v>
      </c>
      <c r="K845" s="14">
        <f t="shared" si="215"/>
        <v>-81.850188514430286</v>
      </c>
      <c r="L845" s="14">
        <f t="shared" si="216"/>
        <v>16.351128528391413</v>
      </c>
      <c r="M845" s="14">
        <f t="shared" si="209"/>
        <v>17.306585567480067</v>
      </c>
      <c r="N845" s="14">
        <f t="shared" si="217"/>
        <v>-22.004352835689815</v>
      </c>
      <c r="O845" s="14">
        <f t="shared" si="208"/>
        <v>0</v>
      </c>
      <c r="P845" s="14">
        <f t="shared" si="218"/>
        <v>0</v>
      </c>
    </row>
    <row r="846" spans="1:16" x14ac:dyDescent="0.25">
      <c r="A846" s="14">
        <f t="shared" si="210"/>
        <v>4.1099999999999346</v>
      </c>
      <c r="B846" s="14">
        <f t="shared" si="203"/>
        <v>30.649363039231201</v>
      </c>
      <c r="C846" s="14">
        <f t="shared" si="204"/>
        <v>-21.439090382376364</v>
      </c>
      <c r="D846" s="14">
        <f t="shared" si="205"/>
        <v>0</v>
      </c>
      <c r="E846" s="14">
        <f t="shared" si="211"/>
        <v>0</v>
      </c>
      <c r="F846" s="14">
        <f t="shared" si="206"/>
        <v>-8.2881415287112414</v>
      </c>
      <c r="G846" s="14">
        <f t="shared" si="212"/>
        <v>-1.1749425234352175</v>
      </c>
      <c r="H846" s="14">
        <f t="shared" si="213"/>
        <v>8.204437827576708</v>
      </c>
      <c r="I846" s="14">
        <f t="shared" si="214"/>
        <v>2.3120920049648142</v>
      </c>
      <c r="J846" s="14">
        <f t="shared" si="207"/>
        <v>-16.193972820380612</v>
      </c>
      <c r="K846" s="14">
        <f t="shared" si="215"/>
        <v>-81.874518554439689</v>
      </c>
      <c r="L846" s="14">
        <f t="shared" si="216"/>
        <v>16.358194434186441</v>
      </c>
      <c r="M846" s="14">
        <f t="shared" si="209"/>
        <v>17.306585567480067</v>
      </c>
      <c r="N846" s="14">
        <f t="shared" si="217"/>
        <v>-22.085322699791718</v>
      </c>
      <c r="O846" s="14">
        <f t="shared" si="208"/>
        <v>0</v>
      </c>
      <c r="P846" s="14">
        <f t="shared" si="218"/>
        <v>0</v>
      </c>
    </row>
    <row r="847" spans="1:16" x14ac:dyDescent="0.25">
      <c r="A847" s="14">
        <f t="shared" si="210"/>
        <v>4.1149999999999345</v>
      </c>
      <c r="B847" s="14">
        <f t="shared" si="203"/>
        <v>30.649363039231201</v>
      </c>
      <c r="C847" s="14">
        <f t="shared" si="204"/>
        <v>-21.565989500846392</v>
      </c>
      <c r="D847" s="14">
        <f t="shared" si="205"/>
        <v>0</v>
      </c>
      <c r="E847" s="14">
        <f t="shared" si="211"/>
        <v>0</v>
      </c>
      <c r="F847" s="14">
        <f t="shared" si="206"/>
        <v>-8.2953062795460948</v>
      </c>
      <c r="G847" s="14">
        <f t="shared" si="212"/>
        <v>-1.1724711675752151</v>
      </c>
      <c r="H847" s="14">
        <f t="shared" si="213"/>
        <v>8.2120288377892141</v>
      </c>
      <c r="I847" s="14">
        <f t="shared" si="214"/>
        <v>2.3062296491269381</v>
      </c>
      <c r="J847" s="14">
        <f t="shared" si="207"/>
        <v>-16.201912676191665</v>
      </c>
      <c r="K847" s="14">
        <f t="shared" si="215"/>
        <v>-81.898766024161603</v>
      </c>
      <c r="L847" s="14">
        <f t="shared" si="216"/>
        <v>16.365227452175919</v>
      </c>
      <c r="M847" s="14">
        <f t="shared" si="209"/>
        <v>17.306585567480067</v>
      </c>
      <c r="N847" s="14">
        <f t="shared" si="217"/>
        <v>-22.166332263172677</v>
      </c>
      <c r="O847" s="14">
        <f t="shared" si="208"/>
        <v>0</v>
      </c>
      <c r="P847" s="14">
        <f t="shared" si="218"/>
        <v>0</v>
      </c>
    </row>
    <row r="848" spans="1:16" x14ac:dyDescent="0.25">
      <c r="A848" s="14">
        <f t="shared" si="210"/>
        <v>4.1199999999999344</v>
      </c>
      <c r="B848" s="14">
        <f t="shared" si="203"/>
        <v>30.649363039231201</v>
      </c>
      <c r="C848" s="14">
        <f t="shared" si="204"/>
        <v>-21.693133619316441</v>
      </c>
      <c r="D848" s="14">
        <f t="shared" si="205"/>
        <v>0</v>
      </c>
      <c r="E848" s="14">
        <f t="shared" si="211"/>
        <v>0</v>
      </c>
      <c r="F848" s="14">
        <f t="shared" si="206"/>
        <v>-8.3024407564050211</v>
      </c>
      <c r="G848" s="14">
        <f t="shared" si="212"/>
        <v>-1.1700011557123402</v>
      </c>
      <c r="H848" s="14">
        <f t="shared" si="213"/>
        <v>8.2195875692912335</v>
      </c>
      <c r="I848" s="14">
        <f t="shared" si="214"/>
        <v>2.3003796433483763</v>
      </c>
      <c r="J848" s="14">
        <f t="shared" si="207"/>
        <v>-16.209814738345209</v>
      </c>
      <c r="K848" s="14">
        <f t="shared" si="215"/>
        <v>-81.922931283166903</v>
      </c>
      <c r="L848" s="14">
        <f t="shared" si="216"/>
        <v>16.372227715097452</v>
      </c>
      <c r="M848" s="14">
        <f t="shared" si="209"/>
        <v>17.306585567480067</v>
      </c>
      <c r="N848" s="14">
        <f t="shared" si="217"/>
        <v>-22.247381336864404</v>
      </c>
      <c r="O848" s="14">
        <f t="shared" si="208"/>
        <v>0</v>
      </c>
      <c r="P848" s="14">
        <f t="shared" si="218"/>
        <v>0</v>
      </c>
    </row>
    <row r="849" spans="1:16" x14ac:dyDescent="0.25">
      <c r="A849" s="14">
        <f t="shared" si="210"/>
        <v>4.1249999999999343</v>
      </c>
      <c r="B849" s="14">
        <f t="shared" si="203"/>
        <v>30.649363039231201</v>
      </c>
      <c r="C849" s="14">
        <f t="shared" si="204"/>
        <v>-21.820522737786476</v>
      </c>
      <c r="D849" s="14">
        <f t="shared" si="205"/>
        <v>0</v>
      </c>
      <c r="E849" s="14">
        <f t="shared" si="211"/>
        <v>0</v>
      </c>
      <c r="F849" s="14">
        <f t="shared" si="206"/>
        <v>-8.3095450510051592</v>
      </c>
      <c r="G849" s="14">
        <f t="shared" si="212"/>
        <v>-1.1675325199143021</v>
      </c>
      <c r="H849" s="14">
        <f t="shared" si="213"/>
        <v>8.2271141215876487</v>
      </c>
      <c r="I849" s="14">
        <f t="shared" si="214"/>
        <v>2.294541980748805</v>
      </c>
      <c r="J849" s="14">
        <f t="shared" si="207"/>
        <v>-16.21767916773727</v>
      </c>
      <c r="K849" s="14">
        <f t="shared" si="215"/>
        <v>-81.947014688869601</v>
      </c>
      <c r="L849" s="14">
        <f t="shared" si="216"/>
        <v>16.379195355360959</v>
      </c>
      <c r="M849" s="14">
        <f t="shared" si="209"/>
        <v>17.306585567480067</v>
      </c>
      <c r="N849" s="14">
        <f t="shared" si="217"/>
        <v>-22.328469732703091</v>
      </c>
      <c r="O849" s="14">
        <f t="shared" si="208"/>
        <v>0</v>
      </c>
      <c r="P849" s="14">
        <f t="shared" si="218"/>
        <v>0</v>
      </c>
    </row>
    <row r="850" spans="1:16" x14ac:dyDescent="0.25">
      <c r="A850" s="14">
        <f t="shared" si="210"/>
        <v>4.1299999999999342</v>
      </c>
      <c r="B850" s="14">
        <f t="shared" si="203"/>
        <v>30.649363039231201</v>
      </c>
      <c r="C850" s="14">
        <f t="shared" si="204"/>
        <v>-21.94815685625651</v>
      </c>
      <c r="D850" s="14">
        <f t="shared" si="205"/>
        <v>0</v>
      </c>
      <c r="E850" s="14">
        <f t="shared" si="211"/>
        <v>0</v>
      </c>
      <c r="F850" s="14">
        <f t="shared" si="206"/>
        <v>-8.3166192551614184</v>
      </c>
      <c r="G850" s="14">
        <f t="shared" si="212"/>
        <v>-1.1650652919666082</v>
      </c>
      <c r="H850" s="14">
        <f t="shared" si="213"/>
        <v>8.23460859426703</v>
      </c>
      <c r="I850" s="14">
        <f t="shared" si="214"/>
        <v>2.2887166542889719</v>
      </c>
      <c r="J850" s="14">
        <f t="shared" si="207"/>
        <v>-16.225506124765936</v>
      </c>
      <c r="K850" s="14">
        <f t="shared" si="215"/>
        <v>-81.97101659654372</v>
      </c>
      <c r="L850" s="14">
        <f t="shared" si="216"/>
        <v>16.386130505047145</v>
      </c>
      <c r="M850" s="14">
        <f t="shared" si="209"/>
        <v>17.306585567480067</v>
      </c>
      <c r="N850" s="14">
        <f t="shared" si="217"/>
        <v>-22.409597263326919</v>
      </c>
      <c r="O850" s="14">
        <f t="shared" si="208"/>
        <v>0</v>
      </c>
      <c r="P850" s="14">
        <f t="shared" si="218"/>
        <v>0</v>
      </c>
    </row>
    <row r="851" spans="1:16" x14ac:dyDescent="0.25">
      <c r="A851" s="14">
        <f t="shared" si="210"/>
        <v>4.1349999999999341</v>
      </c>
      <c r="B851" s="14">
        <f t="shared" si="203"/>
        <v>30.649363039231201</v>
      </c>
      <c r="C851" s="14">
        <f t="shared" si="204"/>
        <v>-22.076035974726565</v>
      </c>
      <c r="D851" s="14">
        <f t="shared" si="205"/>
        <v>0</v>
      </c>
      <c r="E851" s="14">
        <f t="shared" si="211"/>
        <v>0</v>
      </c>
      <c r="F851" s="14">
        <f t="shared" si="206"/>
        <v>-8.3236634607815354</v>
      </c>
      <c r="G851" s="14">
        <f t="shared" si="212"/>
        <v>-1.1625995033738725</v>
      </c>
      <c r="H851" s="14">
        <f t="shared" si="213"/>
        <v>8.2420710869965479</v>
      </c>
      <c r="I851" s="14">
        <f t="shared" si="214"/>
        <v>2.2829036567721026</v>
      </c>
      <c r="J851" s="14">
        <f t="shared" si="207"/>
        <v>-16.233295769330955</v>
      </c>
      <c r="K851" s="14">
        <f t="shared" si="215"/>
        <v>-81.994937359339858</v>
      </c>
      <c r="L851" s="14">
        <f t="shared" si="216"/>
        <v>16.393033295905969</v>
      </c>
      <c r="M851" s="14">
        <f t="shared" si="209"/>
        <v>17.306585567480067</v>
      </c>
      <c r="N851" s="14">
        <f t="shared" si="217"/>
        <v>-22.490763742173574</v>
      </c>
      <c r="O851" s="14">
        <f t="shared" si="208"/>
        <v>0</v>
      </c>
      <c r="P851" s="14">
        <f t="shared" si="218"/>
        <v>0</v>
      </c>
    </row>
    <row r="852" spans="1:16" x14ac:dyDescent="0.25">
      <c r="A852" s="14">
        <f t="shared" si="210"/>
        <v>4.139999999999934</v>
      </c>
      <c r="B852" s="14">
        <f t="shared" si="203"/>
        <v>30.649363039231201</v>
      </c>
      <c r="C852" s="14">
        <f t="shared" si="204"/>
        <v>-22.204160093196606</v>
      </c>
      <c r="D852" s="14">
        <f t="shared" si="205"/>
        <v>0</v>
      </c>
      <c r="E852" s="14">
        <f t="shared" si="211"/>
        <v>0</v>
      </c>
      <c r="F852" s="14">
        <f t="shared" si="206"/>
        <v>-8.3306777598611337</v>
      </c>
      <c r="G852" s="14">
        <f t="shared" si="212"/>
        <v>-1.1601351853611268</v>
      </c>
      <c r="H852" s="14">
        <f t="shared" si="213"/>
        <v>8.2495016995168875</v>
      </c>
      <c r="I852" s="14">
        <f t="shared" si="214"/>
        <v>2.2771029808452972</v>
      </c>
      <c r="J852" s="14">
        <f t="shared" si="207"/>
        <v>-16.24104826083337</v>
      </c>
      <c r="K852" s="14">
        <f t="shared" si="215"/>
        <v>-82.018777328301752</v>
      </c>
      <c r="L852" s="14">
        <f t="shared" si="216"/>
        <v>16.399903859355188</v>
      </c>
      <c r="M852" s="14">
        <f t="shared" si="209"/>
        <v>17.306585567480067</v>
      </c>
      <c r="N852" s="14">
        <f t="shared" si="217"/>
        <v>-22.571968983477742</v>
      </c>
      <c r="O852" s="14">
        <f t="shared" si="208"/>
        <v>0</v>
      </c>
      <c r="P852" s="14">
        <f t="shared" si="218"/>
        <v>0</v>
      </c>
    </row>
    <row r="853" spans="1:16" x14ac:dyDescent="0.25">
      <c r="A853" s="14">
        <f t="shared" si="210"/>
        <v>4.1449999999999338</v>
      </c>
      <c r="B853" s="14">
        <f t="shared" si="203"/>
        <v>30.649363039231201</v>
      </c>
      <c r="C853" s="14">
        <f t="shared" si="204"/>
        <v>-22.332529211666632</v>
      </c>
      <c r="D853" s="14">
        <f t="shared" si="205"/>
        <v>0</v>
      </c>
      <c r="E853" s="14">
        <f t="shared" si="211"/>
        <v>0</v>
      </c>
      <c r="F853" s="14">
        <f t="shared" si="206"/>
        <v>-8.3376622444788904</v>
      </c>
      <c r="G853" s="14">
        <f t="shared" si="212"/>
        <v>-1.157672368875134</v>
      </c>
      <c r="H853" s="14">
        <f t="shared" si="213"/>
        <v>8.2569005316372674</v>
      </c>
      <c r="I853" s="14">
        <f t="shared" si="214"/>
        <v>2.2713146190009215</v>
      </c>
      <c r="J853" s="14">
        <f t="shared" si="207"/>
        <v>-16.248763758175183</v>
      </c>
      <c r="K853" s="14">
        <f t="shared" si="215"/>
        <v>-82.042536852382568</v>
      </c>
      <c r="L853" s="14">
        <f t="shared" si="216"/>
        <v>16.406742326478909</v>
      </c>
      <c r="M853" s="14">
        <f t="shared" si="209"/>
        <v>17.306585567480067</v>
      </c>
      <c r="N853" s="14">
        <f t="shared" si="217"/>
        <v>-22.653212802268619</v>
      </c>
      <c r="O853" s="14">
        <f t="shared" si="208"/>
        <v>0</v>
      </c>
      <c r="P853" s="14">
        <f t="shared" si="218"/>
        <v>0</v>
      </c>
    </row>
    <row r="854" spans="1:16" x14ac:dyDescent="0.25">
      <c r="A854" s="14">
        <f t="shared" si="210"/>
        <v>4.1499999999999337</v>
      </c>
      <c r="B854" s="14">
        <f t="shared" si="203"/>
        <v>30.649363039231201</v>
      </c>
      <c r="C854" s="14">
        <f t="shared" si="204"/>
        <v>-22.461143330136679</v>
      </c>
      <c r="D854" s="14">
        <f t="shared" si="205"/>
        <v>0</v>
      </c>
      <c r="E854" s="14">
        <f t="shared" si="211"/>
        <v>0</v>
      </c>
      <c r="F854" s="14">
        <f t="shared" si="206"/>
        <v>-8.3446170067917116</v>
      </c>
      <c r="G854" s="14">
        <f t="shared" si="212"/>
        <v>-1.155211084585694</v>
      </c>
      <c r="H854" s="14">
        <f t="shared" si="213"/>
        <v>8.2642676832304875</v>
      </c>
      <c r="I854" s="14">
        <f t="shared" si="214"/>
        <v>2.265538563577993</v>
      </c>
      <c r="J854" s="14">
        <f t="shared" si="207"/>
        <v>-16.256442419759033</v>
      </c>
      <c r="K854" s="14">
        <f t="shared" si="215"/>
        <v>-82.066216278461127</v>
      </c>
      <c r="L854" s="14">
        <f t="shared" si="216"/>
        <v>16.413548828026194</v>
      </c>
      <c r="M854" s="14">
        <f t="shared" si="209"/>
        <v>17.306585567480067</v>
      </c>
      <c r="N854" s="14">
        <f t="shared" si="217"/>
        <v>-22.734495014367415</v>
      </c>
      <c r="O854" s="14">
        <f t="shared" si="208"/>
        <v>0</v>
      </c>
      <c r="P854" s="14">
        <f t="shared" si="218"/>
        <v>0</v>
      </c>
    </row>
    <row r="855" spans="1:16" x14ac:dyDescent="0.25">
      <c r="A855" s="14">
        <f t="shared" si="210"/>
        <v>4.1549999999999336</v>
      </c>
      <c r="B855" s="14">
        <f t="shared" si="203"/>
        <v>30.649363039231201</v>
      </c>
      <c r="C855" s="14">
        <f t="shared" si="204"/>
        <v>-22.590002448606725</v>
      </c>
      <c r="D855" s="14">
        <f t="shared" si="205"/>
        <v>0</v>
      </c>
      <c r="E855" s="14">
        <f t="shared" si="211"/>
        <v>0</v>
      </c>
      <c r="F855" s="14">
        <f t="shared" si="206"/>
        <v>-8.351542139030002</v>
      </c>
      <c r="G855" s="14">
        <f t="shared" si="212"/>
        <v>-1.1527513628869752</v>
      </c>
      <c r="H855" s="14">
        <f t="shared" si="213"/>
        <v>8.2716032542280491</v>
      </c>
      <c r="I855" s="14">
        <f t="shared" si="214"/>
        <v>2.2597748067635579</v>
      </c>
      <c r="J855" s="14">
        <f t="shared" si="207"/>
        <v>-16.264084403487892</v>
      </c>
      <c r="K855" s="14">
        <f t="shared" si="215"/>
        <v>-82.089815951357934</v>
      </c>
      <c r="L855" s="14">
        <f t="shared" si="216"/>
        <v>16.420323494409644</v>
      </c>
      <c r="M855" s="14">
        <f t="shared" si="209"/>
        <v>17.306585567480067</v>
      </c>
      <c r="N855" s="14">
        <f t="shared" si="217"/>
        <v>-22.815815436384852</v>
      </c>
      <c r="O855" s="14">
        <f t="shared" si="208"/>
        <v>0</v>
      </c>
      <c r="P855" s="14">
        <f t="shared" si="218"/>
        <v>0</v>
      </c>
    </row>
    <row r="856" spans="1:16" x14ac:dyDescent="0.25">
      <c r="A856" s="14">
        <f t="shared" si="210"/>
        <v>4.1599999999999335</v>
      </c>
      <c r="B856" s="14">
        <f t="shared" ref="B856:B919" si="219">IF(E856=0,B855,$B$19*A856)</f>
        <v>30.649363039231201</v>
      </c>
      <c r="C856" s="14">
        <f t="shared" si="204"/>
        <v>-22.719106567076757</v>
      </c>
      <c r="D856" s="14">
        <f t="shared" si="205"/>
        <v>0</v>
      </c>
      <c r="E856" s="14">
        <f t="shared" si="211"/>
        <v>0</v>
      </c>
      <c r="F856" s="14">
        <f t="shared" si="206"/>
        <v>-8.3584377334929023</v>
      </c>
      <c r="G856" s="14">
        <f t="shared" si="212"/>
        <v>-1.150293233898815</v>
      </c>
      <c r="H856" s="14">
        <f t="shared" si="213"/>
        <v>8.2789073446152646</v>
      </c>
      <c r="I856" s="14">
        <f t="shared" si="214"/>
        <v>2.2540233405940637</v>
      </c>
      <c r="J856" s="14">
        <f t="shared" si="207"/>
        <v>-16.271689866764817</v>
      </c>
      <c r="K856" s="14">
        <f t="shared" si="215"/>
        <v>-82.113336213851085</v>
      </c>
      <c r="L856" s="14">
        <f t="shared" si="216"/>
        <v>16.427066455704125</v>
      </c>
      <c r="M856" s="14">
        <f t="shared" si="209"/>
        <v>17.306585567480067</v>
      </c>
      <c r="N856" s="14">
        <f t="shared" si="217"/>
        <v>-22.897173885718676</v>
      </c>
      <c r="O856" s="14">
        <f t="shared" si="208"/>
        <v>0</v>
      </c>
      <c r="P856" s="14">
        <f t="shared" si="218"/>
        <v>0</v>
      </c>
    </row>
    <row r="857" spans="1:16" x14ac:dyDescent="0.25">
      <c r="A857" s="14">
        <f t="shared" si="210"/>
        <v>4.1649999999999334</v>
      </c>
      <c r="B857" s="14">
        <f t="shared" si="219"/>
        <v>30.649363039231201</v>
      </c>
      <c r="C857" s="14">
        <f t="shared" ref="C857:C920" si="220">$B$20*A857+0.5*$B$16*A857^2+$B$17</f>
        <v>-22.848455685546796</v>
      </c>
      <c r="D857" s="14">
        <f t="shared" ref="D857:D920" si="221">IF(E857=1,C857,$B$18)</f>
        <v>0</v>
      </c>
      <c r="E857" s="14">
        <f t="shared" si="211"/>
        <v>0</v>
      </c>
      <c r="F857" s="14">
        <f t="shared" ref="F857:F920" si="222">-$E$13*L856^2</f>
        <v>-8.36530388254371</v>
      </c>
      <c r="G857" s="14">
        <f t="shared" si="212"/>
        <v>-1.1478367274680539</v>
      </c>
      <c r="H857" s="14">
        <f t="shared" si="213"/>
        <v>8.2861800544265449</v>
      </c>
      <c r="I857" s="14">
        <f t="shared" si="214"/>
        <v>2.2482841569567236</v>
      </c>
      <c r="J857" s="14">
        <f t="shared" ref="J857:J920" si="223">J856+(H857+$B$16)*$A$22</f>
        <v>-16.279258966492684</v>
      </c>
      <c r="K857" s="14">
        <f t="shared" si="215"/>
        <v>-82.136777406691991</v>
      </c>
      <c r="L857" s="14">
        <f t="shared" si="216"/>
        <v>16.433777841645391</v>
      </c>
      <c r="M857" s="14">
        <f t="shared" si="209"/>
        <v>17.306585567480067</v>
      </c>
      <c r="N857" s="14">
        <f t="shared" si="217"/>
        <v>-22.978570180551138</v>
      </c>
      <c r="O857" s="14">
        <f t="shared" ref="O857:O920" si="224">IF(P857=1,N857,$B$18)</f>
        <v>0</v>
      </c>
      <c r="P857" s="14">
        <f t="shared" si="218"/>
        <v>0</v>
      </c>
    </row>
    <row r="858" spans="1:16" x14ac:dyDescent="0.25">
      <c r="A858" s="14">
        <f t="shared" si="210"/>
        <v>4.1699999999999333</v>
      </c>
      <c r="B858" s="14">
        <f t="shared" si="219"/>
        <v>30.649363039231201</v>
      </c>
      <c r="C858" s="14">
        <f t="shared" si="220"/>
        <v>-22.978049804016855</v>
      </c>
      <c r="D858" s="14">
        <f t="shared" si="221"/>
        <v>0</v>
      </c>
      <c r="E858" s="14">
        <f t="shared" si="211"/>
        <v>0</v>
      </c>
      <c r="F858" s="14">
        <f t="shared" si="222"/>
        <v>-8.3721406786052057</v>
      </c>
      <c r="G858" s="14">
        <f t="shared" si="212"/>
        <v>-1.145381873169852</v>
      </c>
      <c r="H858" s="14">
        <f t="shared" si="213"/>
        <v>8.2934214837405893</v>
      </c>
      <c r="I858" s="14">
        <f t="shared" si="214"/>
        <v>2.2425572475908742</v>
      </c>
      <c r="J858" s="14">
        <f t="shared" si="223"/>
        <v>-16.286791859073979</v>
      </c>
      <c r="K858" s="14">
        <f t="shared" si="215"/>
        <v>-82.16013986862103</v>
      </c>
      <c r="L858" s="14">
        <f t="shared" si="216"/>
        <v>16.440457781628854</v>
      </c>
      <c r="M858" s="14">
        <f t="shared" ref="M858:M921" si="225">IF(P858=0,M857,M857+I858*$A$22)</f>
        <v>17.306585567480067</v>
      </c>
      <c r="N858" s="14">
        <f t="shared" si="217"/>
        <v>-23.060004139846509</v>
      </c>
      <c r="O858" s="14">
        <f t="shared" si="224"/>
        <v>0</v>
      </c>
      <c r="P858" s="14">
        <f t="shared" si="218"/>
        <v>0</v>
      </c>
    </row>
    <row r="859" spans="1:16" x14ac:dyDescent="0.25">
      <c r="A859" s="14">
        <f t="shared" si="210"/>
        <v>4.1749999999999332</v>
      </c>
      <c r="B859" s="14">
        <f t="shared" si="219"/>
        <v>30.649363039231201</v>
      </c>
      <c r="C859" s="14">
        <f t="shared" si="220"/>
        <v>-23.107888922486872</v>
      </c>
      <c r="D859" s="14">
        <f t="shared" si="221"/>
        <v>0</v>
      </c>
      <c r="E859" s="14">
        <f t="shared" si="211"/>
        <v>0</v>
      </c>
      <c r="F859" s="14">
        <f t="shared" si="222"/>
        <v>-8.3789482141551428</v>
      </c>
      <c r="G859" s="14">
        <f t="shared" si="212"/>
        <v>-1.1429287003090109</v>
      </c>
      <c r="H859" s="14">
        <f t="shared" si="213"/>
        <v>8.3006317326757504</v>
      </c>
      <c r="I859" s="14">
        <f t="shared" si="214"/>
        <v>2.236842604089329</v>
      </c>
      <c r="J859" s="14">
        <f t="shared" si="223"/>
        <v>-16.294288700410601</v>
      </c>
      <c r="K859" s="14">
        <f t="shared" si="215"/>
        <v>-82.183423936382979</v>
      </c>
      <c r="L859" s="14">
        <f t="shared" si="216"/>
        <v>16.447106404708329</v>
      </c>
      <c r="M859" s="14">
        <f t="shared" si="225"/>
        <v>17.306585567480067</v>
      </c>
      <c r="N859" s="14">
        <f t="shared" si="217"/>
        <v>-23.141475583348562</v>
      </c>
      <c r="O859" s="14">
        <f t="shared" si="224"/>
        <v>0</v>
      </c>
      <c r="P859" s="14">
        <f t="shared" si="218"/>
        <v>0</v>
      </c>
    </row>
    <row r="860" spans="1:16" x14ac:dyDescent="0.25">
      <c r="A860" s="14">
        <f t="shared" si="210"/>
        <v>4.1799999999999331</v>
      </c>
      <c r="B860" s="14">
        <f t="shared" si="219"/>
        <v>30.649363039231201</v>
      </c>
      <c r="C860" s="14">
        <f t="shared" si="220"/>
        <v>-23.237973040956916</v>
      </c>
      <c r="D860" s="14">
        <f t="shared" si="221"/>
        <v>0</v>
      </c>
      <c r="E860" s="14">
        <f t="shared" si="211"/>
        <v>0</v>
      </c>
      <c r="F860" s="14">
        <f t="shared" si="222"/>
        <v>-8.3857265817217304</v>
      </c>
      <c r="G860" s="14">
        <f t="shared" si="212"/>
        <v>-1.1404772379213044</v>
      </c>
      <c r="H860" s="14">
        <f t="shared" si="213"/>
        <v>8.3078109013853823</v>
      </c>
      <c r="I860" s="14">
        <f t="shared" si="214"/>
        <v>2.2311402178997226</v>
      </c>
      <c r="J860" s="14">
        <f t="shared" si="223"/>
        <v>-16.301749645903673</v>
      </c>
      <c r="K860" s="14">
        <f t="shared" si="215"/>
        <v>-82.206629944742375</v>
      </c>
      <c r="L860" s="14">
        <f t="shared" si="216"/>
        <v>16.453723839594797</v>
      </c>
      <c r="M860" s="14">
        <f t="shared" si="225"/>
        <v>17.306585567480067</v>
      </c>
      <c r="N860" s="14">
        <f t="shared" si="217"/>
        <v>-23.222984331578079</v>
      </c>
      <c r="O860" s="14">
        <f t="shared" si="224"/>
        <v>0</v>
      </c>
      <c r="P860" s="14">
        <f t="shared" si="218"/>
        <v>0</v>
      </c>
    </row>
    <row r="861" spans="1:16" x14ac:dyDescent="0.25">
      <c r="A861" s="14">
        <f t="shared" si="210"/>
        <v>4.184999999999933</v>
      </c>
      <c r="B861" s="14">
        <f t="shared" si="219"/>
        <v>30.649363039231201</v>
      </c>
      <c r="C861" s="14">
        <f t="shared" si="220"/>
        <v>-23.368302159426953</v>
      </c>
      <c r="D861" s="14">
        <f t="shared" si="221"/>
        <v>0</v>
      </c>
      <c r="E861" s="14">
        <f t="shared" si="211"/>
        <v>0</v>
      </c>
      <c r="F861" s="14">
        <f t="shared" si="222"/>
        <v>-8.3924758738791549</v>
      </c>
      <c r="G861" s="14">
        <f t="shared" si="212"/>
        <v>-1.1380275147747967</v>
      </c>
      <c r="H861" s="14">
        <f t="shared" si="213"/>
        <v>8.3149590900532502</v>
      </c>
      <c r="I861" s="14">
        <f t="shared" si="214"/>
        <v>2.2254500803258486</v>
      </c>
      <c r="J861" s="14">
        <f t="shared" si="223"/>
        <v>-16.309174850453406</v>
      </c>
      <c r="K861" s="14">
        <f t="shared" si="215"/>
        <v>-82.229758226498632</v>
      </c>
      <c r="L861" s="14">
        <f t="shared" si="216"/>
        <v>16.460310214655259</v>
      </c>
      <c r="M861" s="14">
        <f t="shared" si="225"/>
        <v>17.306585567480067</v>
      </c>
      <c r="N861" s="14">
        <f t="shared" si="217"/>
        <v>-23.304530205830346</v>
      </c>
      <c r="O861" s="14">
        <f t="shared" si="224"/>
        <v>0</v>
      </c>
      <c r="P861" s="14">
        <f t="shared" si="218"/>
        <v>0</v>
      </c>
    </row>
    <row r="862" spans="1:16" x14ac:dyDescent="0.25">
      <c r="A862" s="14">
        <f t="shared" si="210"/>
        <v>4.1899999999999329</v>
      </c>
      <c r="B862" s="14">
        <f t="shared" si="219"/>
        <v>30.649363039231201</v>
      </c>
      <c r="C862" s="14">
        <f t="shared" si="220"/>
        <v>-23.498876277897004</v>
      </c>
      <c r="D862" s="14">
        <f t="shared" si="221"/>
        <v>0</v>
      </c>
      <c r="E862" s="14">
        <f t="shared" si="211"/>
        <v>0</v>
      </c>
      <c r="F862" s="14">
        <f t="shared" si="222"/>
        <v>-8.3991961832432107</v>
      </c>
      <c r="G862" s="14">
        <f t="shared" si="212"/>
        <v>-1.1355795593711806</v>
      </c>
      <c r="H862" s="14">
        <f t="shared" si="213"/>
        <v>8.3220763988890223</v>
      </c>
      <c r="I862" s="14">
        <f t="shared" si="214"/>
        <v>2.2197721825289927</v>
      </c>
      <c r="J862" s="14">
        <f t="shared" si="223"/>
        <v>-16.31656446845896</v>
      </c>
      <c r="K862" s="14">
        <f t="shared" si="215"/>
        <v>-82.252809112501183</v>
      </c>
      <c r="L862" s="14">
        <f t="shared" si="216"/>
        <v>16.466865657911555</v>
      </c>
      <c r="M862" s="14">
        <f t="shared" si="225"/>
        <v>17.306585567480067</v>
      </c>
      <c r="N862" s="14">
        <f t="shared" si="217"/>
        <v>-23.386113028172641</v>
      </c>
      <c r="O862" s="14">
        <f t="shared" si="224"/>
        <v>0</v>
      </c>
      <c r="P862" s="14">
        <f t="shared" si="218"/>
        <v>0</v>
      </c>
    </row>
    <row r="863" spans="1:16" x14ac:dyDescent="0.25">
      <c r="A863" s="14">
        <f t="shared" si="210"/>
        <v>4.1949999999999328</v>
      </c>
      <c r="B863" s="14">
        <f t="shared" si="219"/>
        <v>30.649363039231201</v>
      </c>
      <c r="C863" s="14">
        <f t="shared" si="220"/>
        <v>-23.62969539636704</v>
      </c>
      <c r="D863" s="14">
        <f t="shared" si="221"/>
        <v>0</v>
      </c>
      <c r="E863" s="14">
        <f t="shared" si="211"/>
        <v>0</v>
      </c>
      <c r="F863" s="14">
        <f t="shared" si="222"/>
        <v>-8.4058876024669154</v>
      </c>
      <c r="G863" s="14">
        <f t="shared" si="212"/>
        <v>-1.1331333999470947</v>
      </c>
      <c r="H863" s="14">
        <f t="shared" si="213"/>
        <v>8.32916292812377</v>
      </c>
      <c r="I863" s="14">
        <f t="shared" si="214"/>
        <v>2.2141065155292572</v>
      </c>
      <c r="J863" s="14">
        <f t="shared" si="223"/>
        <v>-16.323918653818343</v>
      </c>
      <c r="K863" s="14">
        <f t="shared" si="215"/>
        <v>-82.275782931664295</v>
      </c>
      <c r="L863" s="14">
        <f t="shared" si="216"/>
        <v>16.47339029703927</v>
      </c>
      <c r="M863" s="14">
        <f t="shared" si="225"/>
        <v>17.306585567480067</v>
      </c>
      <c r="N863" s="14">
        <f t="shared" si="217"/>
        <v>-23.467732621441733</v>
      </c>
      <c r="O863" s="14">
        <f t="shared" si="224"/>
        <v>0</v>
      </c>
      <c r="P863" s="14">
        <f t="shared" si="218"/>
        <v>0</v>
      </c>
    </row>
    <row r="864" spans="1:16" x14ac:dyDescent="0.25">
      <c r="A864" s="14">
        <f t="shared" si="210"/>
        <v>4.1999999999999327</v>
      </c>
      <c r="B864" s="14">
        <f t="shared" si="219"/>
        <v>30.649363039231201</v>
      </c>
      <c r="C864" s="14">
        <f t="shared" si="220"/>
        <v>-23.760759514837083</v>
      </c>
      <c r="D864" s="14">
        <f t="shared" si="221"/>
        <v>0</v>
      </c>
      <c r="E864" s="14">
        <f t="shared" si="211"/>
        <v>0</v>
      </c>
      <c r="F864" s="14">
        <f t="shared" si="222"/>
        <v>-8.4125502242362149</v>
      </c>
      <c r="G864" s="14">
        <f t="shared" si="212"/>
        <v>-1.1306890644754644</v>
      </c>
      <c r="H864" s="14">
        <f t="shared" si="213"/>
        <v>8.3362187780055521</v>
      </c>
      <c r="I864" s="14">
        <f t="shared" si="214"/>
        <v>2.2084530702068799</v>
      </c>
      <c r="J864" s="14">
        <f t="shared" si="223"/>
        <v>-16.331237559928315</v>
      </c>
      <c r="K864" s="14">
        <f t="shared" si="215"/>
        <v>-82.298680010981954</v>
      </c>
      <c r="L864" s="14">
        <f t="shared" si="216"/>
        <v>16.479884259366614</v>
      </c>
      <c r="M864" s="14">
        <f t="shared" si="225"/>
        <v>17.306585567480067</v>
      </c>
      <c r="N864" s="14">
        <f t="shared" si="217"/>
        <v>-23.549388809241375</v>
      </c>
      <c r="O864" s="14">
        <f t="shared" si="224"/>
        <v>0</v>
      </c>
      <c r="P864" s="14">
        <f t="shared" si="218"/>
        <v>0</v>
      </c>
    </row>
    <row r="865" spans="1:16" x14ac:dyDescent="0.25">
      <c r="A865" s="14">
        <f t="shared" si="210"/>
        <v>4.2049999999999326</v>
      </c>
      <c r="B865" s="14">
        <f t="shared" si="219"/>
        <v>30.649363039231201</v>
      </c>
      <c r="C865" s="14">
        <f t="shared" si="220"/>
        <v>-23.892068633307133</v>
      </c>
      <c r="D865" s="14">
        <f t="shared" si="221"/>
        <v>0</v>
      </c>
      <c r="E865" s="14">
        <f t="shared" si="211"/>
        <v>0</v>
      </c>
      <c r="F865" s="14">
        <f t="shared" si="222"/>
        <v>-8.4191841412657027</v>
      </c>
      <c r="G865" s="14">
        <f t="shared" si="212"/>
        <v>-1.1282465806668189</v>
      </c>
      <c r="H865" s="14">
        <f t="shared" si="213"/>
        <v>8.3432440487950217</v>
      </c>
      <c r="I865" s="14">
        <f t="shared" si="214"/>
        <v>2.2028118373035457</v>
      </c>
      <c r="J865" s="14">
        <f t="shared" si="223"/>
        <v>-16.338521339684341</v>
      </c>
      <c r="K865" s="14">
        <f t="shared" si="215"/>
        <v>-82.321500675542381</v>
      </c>
      <c r="L865" s="14">
        <f t="shared" si="216"/>
        <v>16.486347671873393</v>
      </c>
      <c r="M865" s="14">
        <f t="shared" si="225"/>
        <v>17.306585567480067</v>
      </c>
      <c r="N865" s="14">
        <f t="shared" si="217"/>
        <v>-23.631081415939796</v>
      </c>
      <c r="O865" s="14">
        <f t="shared" si="224"/>
        <v>0</v>
      </c>
      <c r="P865" s="14">
        <f t="shared" si="218"/>
        <v>0</v>
      </c>
    </row>
    <row r="866" spans="1:16" x14ac:dyDescent="0.25">
      <c r="A866" s="14">
        <f t="shared" si="210"/>
        <v>4.2099999999999325</v>
      </c>
      <c r="B866" s="14">
        <f t="shared" si="219"/>
        <v>30.649363039231201</v>
      </c>
      <c r="C866" s="14">
        <f t="shared" si="220"/>
        <v>-24.023622751777154</v>
      </c>
      <c r="D866" s="14">
        <f t="shared" si="221"/>
        <v>0</v>
      </c>
      <c r="E866" s="14">
        <f t="shared" si="211"/>
        <v>0</v>
      </c>
      <c r="F866" s="14">
        <f t="shared" si="222"/>
        <v>-8.4257894462944432</v>
      </c>
      <c r="G866" s="14">
        <f t="shared" si="212"/>
        <v>-1.1258059759706387</v>
      </c>
      <c r="H866" s="14">
        <f t="shared" si="213"/>
        <v>8.3502388407611203</v>
      </c>
      <c r="I866" s="14">
        <f t="shared" si="214"/>
        <v>2.1971828074236925</v>
      </c>
      <c r="J866" s="14">
        <f t="shared" si="223"/>
        <v>-16.345770145480536</v>
      </c>
      <c r="K866" s="14">
        <f t="shared" si="215"/>
        <v>-82.344245248542663</v>
      </c>
      <c r="L866" s="14">
        <f t="shared" si="216"/>
        <v>16.492780661189943</v>
      </c>
      <c r="M866" s="14">
        <f t="shared" si="225"/>
        <v>17.306585567480067</v>
      </c>
      <c r="N866" s="14">
        <f t="shared" si="217"/>
        <v>-23.712810266667198</v>
      </c>
      <c r="O866" s="14">
        <f t="shared" si="224"/>
        <v>0</v>
      </c>
      <c r="P866" s="14">
        <f t="shared" si="218"/>
        <v>0</v>
      </c>
    </row>
    <row r="867" spans="1:16" x14ac:dyDescent="0.25">
      <c r="A867" s="14">
        <f t="shared" si="210"/>
        <v>4.2149999999999324</v>
      </c>
      <c r="B867" s="14">
        <f t="shared" si="219"/>
        <v>30.649363039231201</v>
      </c>
      <c r="C867" s="14">
        <f t="shared" si="220"/>
        <v>-24.155421870247203</v>
      </c>
      <c r="D867" s="14">
        <f t="shared" si="221"/>
        <v>0</v>
      </c>
      <c r="E867" s="14">
        <f t="shared" si="211"/>
        <v>0</v>
      </c>
      <c r="F867" s="14">
        <f t="shared" si="222"/>
        <v>-8.4323662320817512</v>
      </c>
      <c r="G867" s="14">
        <f t="shared" si="212"/>
        <v>-1.123367277576671</v>
      </c>
      <c r="H867" s="14">
        <f t="shared" si="213"/>
        <v>8.3572032541767562</v>
      </c>
      <c r="I867" s="14">
        <f t="shared" si="214"/>
        <v>2.1915659710358093</v>
      </c>
      <c r="J867" s="14">
        <f t="shared" si="223"/>
        <v>-16.352984129209652</v>
      </c>
      <c r="K867" s="14">
        <f t="shared" si="215"/>
        <v>-82.366914051303027</v>
      </c>
      <c r="L867" s="14">
        <f t="shared" si="216"/>
        <v>16.49918335359617</v>
      </c>
      <c r="M867" s="14">
        <f t="shared" si="225"/>
        <v>17.306585567480067</v>
      </c>
      <c r="N867" s="14">
        <f t="shared" si="217"/>
        <v>-23.794575187313246</v>
      </c>
      <c r="O867" s="14">
        <f t="shared" si="224"/>
        <v>0</v>
      </c>
      <c r="P867" s="14">
        <f t="shared" si="218"/>
        <v>0</v>
      </c>
    </row>
    <row r="868" spans="1:16" x14ac:dyDescent="0.25">
      <c r="A868" s="14">
        <f t="shared" si="210"/>
        <v>4.2199999999999322</v>
      </c>
      <c r="B868" s="14">
        <f t="shared" si="219"/>
        <v>30.649363039231201</v>
      </c>
      <c r="C868" s="14">
        <f t="shared" si="220"/>
        <v>-24.287465988717244</v>
      </c>
      <c r="D868" s="14">
        <f t="shared" si="221"/>
        <v>0</v>
      </c>
      <c r="E868" s="14">
        <f t="shared" si="211"/>
        <v>0</v>
      </c>
      <c r="F868" s="14">
        <f t="shared" si="222"/>
        <v>-8.4389145914031332</v>
      </c>
      <c r="G868" s="14">
        <f t="shared" si="212"/>
        <v>-1.1209305124162767</v>
      </c>
      <c r="H868" s="14">
        <f t="shared" si="213"/>
        <v>8.3641373893146262</v>
      </c>
      <c r="I868" s="14">
        <f t="shared" si="214"/>
        <v>2.1859613184737281</v>
      </c>
      <c r="J868" s="14">
        <f t="shared" si="223"/>
        <v>-16.36016344226308</v>
      </c>
      <c r="K868" s="14">
        <f t="shared" si="215"/>
        <v>-82.389507403281158</v>
      </c>
      <c r="L868" s="14">
        <f t="shared" si="216"/>
        <v>16.50555587502053</v>
      </c>
      <c r="M868" s="14">
        <f t="shared" si="225"/>
        <v>17.306585567480067</v>
      </c>
      <c r="N868" s="14">
        <f t="shared" si="217"/>
        <v>-23.876376004524563</v>
      </c>
      <c r="O868" s="14">
        <f t="shared" si="224"/>
        <v>0</v>
      </c>
      <c r="P868" s="14">
        <f t="shared" si="218"/>
        <v>0</v>
      </c>
    </row>
    <row r="869" spans="1:16" x14ac:dyDescent="0.25">
      <c r="A869" s="14">
        <f t="shared" si="210"/>
        <v>4.2249999999999321</v>
      </c>
      <c r="B869" s="14">
        <f t="shared" si="219"/>
        <v>30.649363039231201</v>
      </c>
      <c r="C869" s="14">
        <f t="shared" si="220"/>
        <v>-24.419755107187271</v>
      </c>
      <c r="D869" s="14">
        <f t="shared" si="221"/>
        <v>0</v>
      </c>
      <c r="E869" s="14">
        <f t="shared" si="211"/>
        <v>0</v>
      </c>
      <c r="F869" s="14">
        <f t="shared" si="222"/>
        <v>-8.4454346170461676</v>
      </c>
      <c r="G869" s="14">
        <f t="shared" si="212"/>
        <v>-1.1184957071637505</v>
      </c>
      <c r="H869" s="14">
        <f t="shared" si="213"/>
        <v>8.3710413464429863</v>
      </c>
      <c r="I869" s="14">
        <f t="shared" si="214"/>
        <v>2.1803688399379095</v>
      </c>
      <c r="J869" s="14">
        <f t="shared" si="223"/>
        <v>-16.367308235530864</v>
      </c>
      <c r="K869" s="14">
        <f t="shared" si="215"/>
        <v>-82.412025622086318</v>
      </c>
      <c r="L869" s="14">
        <f t="shared" si="216"/>
        <v>16.511898351039125</v>
      </c>
      <c r="M869" s="14">
        <f t="shared" si="225"/>
        <v>17.306585567480067</v>
      </c>
      <c r="N869" s="14">
        <f t="shared" si="217"/>
        <v>-23.958212545702217</v>
      </c>
      <c r="O869" s="14">
        <f t="shared" si="224"/>
        <v>0</v>
      </c>
      <c r="P869" s="14">
        <f t="shared" si="218"/>
        <v>0</v>
      </c>
    </row>
    <row r="870" spans="1:16" x14ac:dyDescent="0.25">
      <c r="A870" s="14">
        <f t="shared" si="210"/>
        <v>4.229999999999932</v>
      </c>
      <c r="B870" s="14">
        <f t="shared" si="219"/>
        <v>30.649363039231201</v>
      </c>
      <c r="C870" s="14">
        <f t="shared" si="220"/>
        <v>-24.552289225657326</v>
      </c>
      <c r="D870" s="14">
        <f t="shared" si="221"/>
        <v>0</v>
      </c>
      <c r="E870" s="14">
        <f t="shared" si="211"/>
        <v>0</v>
      </c>
      <c r="F870" s="14">
        <f t="shared" si="222"/>
        <v>-8.4519264018065066</v>
      </c>
      <c r="G870" s="14">
        <f t="shared" si="212"/>
        <v>-1.1160628882376626</v>
      </c>
      <c r="H870" s="14">
        <f t="shared" si="213"/>
        <v>8.3779152258215461</v>
      </c>
      <c r="I870" s="14">
        <f t="shared" si="214"/>
        <v>2.1747885254967212</v>
      </c>
      <c r="J870" s="14">
        <f t="shared" si="223"/>
        <v>-16.374418659401755</v>
      </c>
      <c r="K870" s="14">
        <f t="shared" si="215"/>
        <v>-82.434469023493293</v>
      </c>
      <c r="L870" s="14">
        <f t="shared" si="216"/>
        <v>16.518210906874771</v>
      </c>
      <c r="M870" s="14">
        <f t="shared" si="225"/>
        <v>17.306585567480067</v>
      </c>
      <c r="N870" s="14">
        <f t="shared" si="217"/>
        <v>-24.040084638999225</v>
      </c>
      <c r="O870" s="14">
        <f t="shared" si="224"/>
        <v>0</v>
      </c>
      <c r="P870" s="14">
        <f t="shared" si="218"/>
        <v>0</v>
      </c>
    </row>
    <row r="871" spans="1:16" x14ac:dyDescent="0.25">
      <c r="A871" s="14">
        <f t="shared" si="210"/>
        <v>4.2349999999999319</v>
      </c>
      <c r="B871" s="14">
        <f t="shared" si="219"/>
        <v>30.649363039231201</v>
      </c>
      <c r="C871" s="14">
        <f t="shared" si="220"/>
        <v>-24.685068344127359</v>
      </c>
      <c r="D871" s="14">
        <f t="shared" si="221"/>
        <v>0</v>
      </c>
      <c r="E871" s="14">
        <f t="shared" si="211"/>
        <v>0</v>
      </c>
      <c r="F871" s="14">
        <f t="shared" si="222"/>
        <v>-8.4583900384838966</v>
      </c>
      <c r="G871" s="14">
        <f t="shared" si="212"/>
        <v>-1.1136320818021885</v>
      </c>
      <c r="H871" s="14">
        <f t="shared" si="213"/>
        <v>8.3847591276973805</v>
      </c>
      <c r="I871" s="14">
        <f t="shared" si="214"/>
        <v>2.1692203650877104</v>
      </c>
      <c r="J871" s="14">
        <f t="shared" si="223"/>
        <v>-16.381494863763269</v>
      </c>
      <c r="K871" s="14">
        <f t="shared" si="215"/>
        <v>-82.456837921456312</v>
      </c>
      <c r="L871" s="14">
        <f t="shared" si="216"/>
        <v>16.524493667396094</v>
      </c>
      <c r="M871" s="14">
        <f t="shared" si="225"/>
        <v>17.306585567480067</v>
      </c>
      <c r="N871" s="14">
        <f t="shared" si="217"/>
        <v>-24.12199211331804</v>
      </c>
      <c r="O871" s="14">
        <f t="shared" si="224"/>
        <v>0</v>
      </c>
      <c r="P871" s="14">
        <f t="shared" si="218"/>
        <v>0</v>
      </c>
    </row>
    <row r="872" spans="1:16" x14ac:dyDescent="0.25">
      <c r="A872" s="14">
        <f t="shared" si="210"/>
        <v>4.2399999999999318</v>
      </c>
      <c r="B872" s="14">
        <f t="shared" si="219"/>
        <v>30.649363039231201</v>
      </c>
      <c r="C872" s="14">
        <f t="shared" si="220"/>
        <v>-24.818092462597413</v>
      </c>
      <c r="D872" s="14">
        <f t="shared" si="221"/>
        <v>0</v>
      </c>
      <c r="E872" s="14">
        <f t="shared" si="211"/>
        <v>0</v>
      </c>
      <c r="F872" s="14">
        <f t="shared" si="222"/>
        <v>-8.464825619878221</v>
      </c>
      <c r="G872" s="14">
        <f t="shared" si="212"/>
        <v>-1.1112033137684334</v>
      </c>
      <c r="H872" s="14">
        <f t="shared" si="213"/>
        <v>8.3915731523008699</v>
      </c>
      <c r="I872" s="14">
        <f t="shared" si="214"/>
        <v>2.1636643485188682</v>
      </c>
      <c r="J872" s="14">
        <f t="shared" si="223"/>
        <v>-16.388536998001765</v>
      </c>
      <c r="K872" s="14">
        <f t="shared" si="215"/>
        <v>-82.479132628122741</v>
      </c>
      <c r="L872" s="14">
        <f t="shared" si="216"/>
        <v>16.530746757116699</v>
      </c>
      <c r="M872" s="14">
        <f t="shared" si="225"/>
        <v>17.306585567480067</v>
      </c>
      <c r="N872" s="14">
        <f t="shared" si="217"/>
        <v>-24.203934798308048</v>
      </c>
      <c r="O872" s="14">
        <f t="shared" si="224"/>
        <v>0</v>
      </c>
      <c r="P872" s="14">
        <f t="shared" si="218"/>
        <v>0</v>
      </c>
    </row>
    <row r="873" spans="1:16" x14ac:dyDescent="0.25">
      <c r="A873" s="14">
        <f t="shared" si="210"/>
        <v>4.2449999999999317</v>
      </c>
      <c r="B873" s="14">
        <f t="shared" si="219"/>
        <v>30.649363039231201</v>
      </c>
      <c r="C873" s="14">
        <f t="shared" si="220"/>
        <v>-24.951361581067452</v>
      </c>
      <c r="D873" s="14">
        <f t="shared" si="221"/>
        <v>0</v>
      </c>
      <c r="E873" s="14">
        <f t="shared" si="211"/>
        <v>0</v>
      </c>
      <c r="F873" s="14">
        <f t="shared" si="222"/>
        <v>-8.4712332387856524</v>
      </c>
      <c r="G873" s="14">
        <f t="shared" si="212"/>
        <v>-1.1087766097957867</v>
      </c>
      <c r="H873" s="14">
        <f t="shared" si="213"/>
        <v>8.3983573998417462</v>
      </c>
      <c r="I873" s="14">
        <f t="shared" si="214"/>
        <v>2.1581204654698891</v>
      </c>
      <c r="J873" s="14">
        <f t="shared" si="223"/>
        <v>-16.395545211002556</v>
      </c>
      <c r="K873" s="14">
        <f t="shared" si="215"/>
        <v>-82.501353453846747</v>
      </c>
      <c r="L873" s="14">
        <f t="shared" si="216"/>
        <v>16.536970300194312</v>
      </c>
      <c r="M873" s="14">
        <f t="shared" si="225"/>
        <v>17.306585567480067</v>
      </c>
      <c r="N873" s="14">
        <f t="shared" si="217"/>
        <v>-24.285912524363059</v>
      </c>
      <c r="O873" s="14">
        <f t="shared" si="224"/>
        <v>0</v>
      </c>
      <c r="P873" s="14">
        <f t="shared" si="218"/>
        <v>0</v>
      </c>
    </row>
    <row r="874" spans="1:16" x14ac:dyDescent="0.25">
      <c r="A874" s="14">
        <f t="shared" si="210"/>
        <v>4.2499999999999316</v>
      </c>
      <c r="B874" s="14">
        <f t="shared" si="219"/>
        <v>30.649363039231201</v>
      </c>
      <c r="C874" s="14">
        <f t="shared" si="220"/>
        <v>-25.084875699537477</v>
      </c>
      <c r="D874" s="14">
        <f t="shared" si="221"/>
        <v>0</v>
      </c>
      <c r="E874" s="14">
        <f t="shared" si="211"/>
        <v>0</v>
      </c>
      <c r="F874" s="14">
        <f t="shared" si="222"/>
        <v>-8.477612987994771</v>
      </c>
      <c r="G874" s="14">
        <f t="shared" si="212"/>
        <v>-1.1063519952932299</v>
      </c>
      <c r="H874" s="14">
        <f t="shared" si="213"/>
        <v>8.4051119705051125</v>
      </c>
      <c r="I874" s="14">
        <f t="shared" si="214"/>
        <v>2.152588705493423</v>
      </c>
      <c r="J874" s="14">
        <f t="shared" si="223"/>
        <v>-16.40251965115003</v>
      </c>
      <c r="K874" s="14">
        <f t="shared" si="215"/>
        <v>-82.523500707202757</v>
      </c>
      <c r="L874" s="14">
        <f t="shared" si="216"/>
        <v>16.543164420429992</v>
      </c>
      <c r="M874" s="14">
        <f t="shared" si="225"/>
        <v>17.306585567480067</v>
      </c>
      <c r="N874" s="14">
        <f t="shared" si="217"/>
        <v>-24.367925122618811</v>
      </c>
      <c r="O874" s="14">
        <f t="shared" si="224"/>
        <v>0</v>
      </c>
      <c r="P874" s="14">
        <f t="shared" si="218"/>
        <v>0</v>
      </c>
    </row>
    <row r="875" spans="1:16" x14ac:dyDescent="0.25">
      <c r="A875" s="14">
        <f t="shared" si="210"/>
        <v>4.2549999999999315</v>
      </c>
      <c r="B875" s="14">
        <f t="shared" si="219"/>
        <v>30.649363039231201</v>
      </c>
      <c r="C875" s="14">
        <f t="shared" si="220"/>
        <v>-25.218634818007537</v>
      </c>
      <c r="D875" s="14">
        <f t="shared" si="221"/>
        <v>0</v>
      </c>
      <c r="E875" s="14">
        <f t="shared" si="211"/>
        <v>0</v>
      </c>
      <c r="F875" s="14">
        <f t="shared" si="222"/>
        <v>-8.4839649602828047</v>
      </c>
      <c r="G875" s="14">
        <f t="shared" si="212"/>
        <v>-1.1039294954206862</v>
      </c>
      <c r="H875" s="14">
        <f t="shared" si="213"/>
        <v>8.411836964447577</v>
      </c>
      <c r="I875" s="14">
        <f t="shared" si="214"/>
        <v>2.1470690580163194</v>
      </c>
      <c r="J875" s="14">
        <f t="shared" si="223"/>
        <v>-16.409460466327793</v>
      </c>
      <c r="K875" s="14">
        <f t="shared" si="215"/>
        <v>-82.545574694998891</v>
      </c>
      <c r="L875" s="14">
        <f t="shared" si="216"/>
        <v>16.54932924126733</v>
      </c>
      <c r="M875" s="14">
        <f t="shared" si="225"/>
        <v>17.306585567480067</v>
      </c>
      <c r="N875" s="14">
        <f t="shared" si="217"/>
        <v>-24.449972424950449</v>
      </c>
      <c r="O875" s="14">
        <f t="shared" si="224"/>
        <v>0</v>
      </c>
      <c r="P875" s="14">
        <f t="shared" si="218"/>
        <v>0</v>
      </c>
    </row>
    <row r="876" spans="1:16" x14ac:dyDescent="0.25">
      <c r="A876" s="14">
        <f t="shared" si="210"/>
        <v>4.2599999999999314</v>
      </c>
      <c r="B876" s="14">
        <f t="shared" si="219"/>
        <v>30.649363039231201</v>
      </c>
      <c r="C876" s="14">
        <f t="shared" si="220"/>
        <v>-25.352638936477554</v>
      </c>
      <c r="D876" s="14">
        <f t="shared" si="221"/>
        <v>0</v>
      </c>
      <c r="E876" s="14">
        <f t="shared" si="211"/>
        <v>0</v>
      </c>
      <c r="F876" s="14">
        <f t="shared" si="222"/>
        <v>-8.4902892484118428</v>
      </c>
      <c r="G876" s="14">
        <f t="shared" si="212"/>
        <v>-1.1015091350903423</v>
      </c>
      <c r="H876" s="14">
        <f t="shared" si="213"/>
        <v>8.4185324817933829</v>
      </c>
      <c r="I876" s="14">
        <f t="shared" si="214"/>
        <v>2.1415615123408678</v>
      </c>
      <c r="J876" s="14">
        <f t="shared" si="223"/>
        <v>-16.416367803918828</v>
      </c>
      <c r="K876" s="14">
        <f t="shared" si="215"/>
        <v>-82.567575722290115</v>
      </c>
      <c r="L876" s="14">
        <f t="shared" si="216"/>
        <v>16.555464885791711</v>
      </c>
      <c r="M876" s="14">
        <f t="shared" si="225"/>
        <v>17.306585567480067</v>
      </c>
      <c r="N876" s="14">
        <f t="shared" si="217"/>
        <v>-24.532054263970043</v>
      </c>
      <c r="O876" s="14">
        <f t="shared" si="224"/>
        <v>0</v>
      </c>
      <c r="P876" s="14">
        <f t="shared" si="218"/>
        <v>0</v>
      </c>
    </row>
    <row r="877" spans="1:16" x14ac:dyDescent="0.25">
      <c r="A877" s="14">
        <f t="shared" si="210"/>
        <v>4.2649999999999313</v>
      </c>
      <c r="B877" s="14">
        <f t="shared" si="219"/>
        <v>30.649363039231201</v>
      </c>
      <c r="C877" s="14">
        <f t="shared" si="220"/>
        <v>-25.486888054947613</v>
      </c>
      <c r="D877" s="14">
        <f t="shared" si="221"/>
        <v>0</v>
      </c>
      <c r="E877" s="14">
        <f t="shared" si="211"/>
        <v>0</v>
      </c>
      <c r="F877" s="14">
        <f t="shared" si="222"/>
        <v>-8.4965859451251529</v>
      </c>
      <c r="G877" s="14">
        <f t="shared" si="212"/>
        <v>-1.0990909389679884</v>
      </c>
      <c r="H877" s="14">
        <f t="shared" si="213"/>
        <v>8.4251986226306119</v>
      </c>
      <c r="I877" s="14">
        <f t="shared" si="214"/>
        <v>2.136066057646028</v>
      </c>
      <c r="J877" s="14">
        <f t="shared" si="223"/>
        <v>-16.423241810805674</v>
      </c>
      <c r="K877" s="14">
        <f t="shared" si="215"/>
        <v>-82.589504092391508</v>
      </c>
      <c r="L877" s="14">
        <f t="shared" si="216"/>
        <v>16.56157147672959</v>
      </c>
      <c r="M877" s="14">
        <f t="shared" si="225"/>
        <v>17.306585567480067</v>
      </c>
      <c r="N877" s="14">
        <f t="shared" si="217"/>
        <v>-24.614170473024071</v>
      </c>
      <c r="O877" s="14">
        <f t="shared" si="224"/>
        <v>0</v>
      </c>
      <c r="P877" s="14">
        <f t="shared" si="218"/>
        <v>0</v>
      </c>
    </row>
    <row r="878" spans="1:16" x14ac:dyDescent="0.25">
      <c r="A878" s="14">
        <f t="shared" si="210"/>
        <v>4.2699999999999312</v>
      </c>
      <c r="B878" s="14">
        <f t="shared" si="219"/>
        <v>30.649363039231201</v>
      </c>
      <c r="C878" s="14">
        <f t="shared" si="220"/>
        <v>-25.621382173417636</v>
      </c>
      <c r="D878" s="14">
        <f t="shared" si="221"/>
        <v>0</v>
      </c>
      <c r="E878" s="14">
        <f t="shared" si="211"/>
        <v>0</v>
      </c>
      <c r="F878" s="14">
        <f t="shared" si="222"/>
        <v>-8.5028551431435169</v>
      </c>
      <c r="G878" s="14">
        <f t="shared" si="212"/>
        <v>-1.0966749314743418</v>
      </c>
      <c r="H878" s="14">
        <f t="shared" si="213"/>
        <v>8.4318354870074348</v>
      </c>
      <c r="I878" s="14">
        <f t="shared" si="214"/>
        <v>2.1305826829886563</v>
      </c>
      <c r="J878" s="14">
        <f t="shared" si="223"/>
        <v>-16.430082633370638</v>
      </c>
      <c r="K878" s="14">
        <f t="shared" si="215"/>
        <v>-82.611360106891212</v>
      </c>
      <c r="L878" s="14">
        <f t="shared" si="216"/>
        <v>16.56764913644777</v>
      </c>
      <c r="M878" s="14">
        <f t="shared" si="225"/>
        <v>17.306585567480067</v>
      </c>
      <c r="N878" s="14">
        <f t="shared" si="217"/>
        <v>-24.696320886190925</v>
      </c>
      <c r="O878" s="14">
        <f t="shared" si="224"/>
        <v>0</v>
      </c>
      <c r="P878" s="14">
        <f t="shared" si="218"/>
        <v>0</v>
      </c>
    </row>
    <row r="879" spans="1:16" x14ac:dyDescent="0.25">
      <c r="A879" s="14">
        <f t="shared" si="210"/>
        <v>4.2749999999999311</v>
      </c>
      <c r="B879" s="14">
        <f t="shared" si="219"/>
        <v>30.649363039231201</v>
      </c>
      <c r="C879" s="14">
        <f t="shared" si="220"/>
        <v>-25.756121291887695</v>
      </c>
      <c r="D879" s="14">
        <f t="shared" si="221"/>
        <v>0</v>
      </c>
      <c r="E879" s="14">
        <f t="shared" si="211"/>
        <v>0</v>
      </c>
      <c r="F879" s="14">
        <f t="shared" si="222"/>
        <v>-8.5090969351615939</v>
      </c>
      <c r="G879" s="14">
        <f t="shared" si="212"/>
        <v>-1.0942611367863753</v>
      </c>
      <c r="H879" s="14">
        <f t="shared" si="213"/>
        <v>8.4384431749283841</v>
      </c>
      <c r="I879" s="14">
        <f t="shared" si="214"/>
        <v>2.1251113773047243</v>
      </c>
      <c r="J879" s="14">
        <f t="shared" si="223"/>
        <v>-16.436890417495995</v>
      </c>
      <c r="K879" s="14">
        <f t="shared" si="215"/>
        <v>-82.633144065663316</v>
      </c>
      <c r="L879" s="14">
        <f t="shared" si="216"/>
        <v>16.573697986952752</v>
      </c>
      <c r="M879" s="14">
        <f t="shared" si="225"/>
        <v>17.306585567480067</v>
      </c>
      <c r="N879" s="14">
        <f t="shared" si="217"/>
        <v>-24.778505338278404</v>
      </c>
      <c r="O879" s="14">
        <f t="shared" si="224"/>
        <v>0</v>
      </c>
      <c r="P879" s="14">
        <f t="shared" si="218"/>
        <v>0</v>
      </c>
    </row>
    <row r="880" spans="1:16" x14ac:dyDescent="0.25">
      <c r="A880" s="14">
        <f t="shared" si="210"/>
        <v>4.279999999999931</v>
      </c>
      <c r="B880" s="14">
        <f t="shared" si="219"/>
        <v>30.649363039231201</v>
      </c>
      <c r="C880" s="14">
        <f t="shared" si="220"/>
        <v>-25.891105410357724</v>
      </c>
      <c r="D880" s="14">
        <f t="shared" si="221"/>
        <v>0</v>
      </c>
      <c r="E880" s="14">
        <f t="shared" si="211"/>
        <v>0</v>
      </c>
      <c r="F880" s="14">
        <f t="shared" si="222"/>
        <v>-8.5153114138443726</v>
      </c>
      <c r="G880" s="14">
        <f t="shared" si="212"/>
        <v>-1.0918495788386575</v>
      </c>
      <c r="H880" s="14">
        <f t="shared" si="213"/>
        <v>8.4450217863507078</v>
      </c>
      <c r="I880" s="14">
        <f t="shared" si="214"/>
        <v>2.119652129410531</v>
      </c>
      <c r="J880" s="14">
        <f t="shared" si="223"/>
        <v>-16.443665308564242</v>
      </c>
      <c r="K880" s="14">
        <f t="shared" si="215"/>
        <v>-82.654856266880699</v>
      </c>
      <c r="L880" s="14">
        <f t="shared" si="216"/>
        <v>16.579718149890056</v>
      </c>
      <c r="M880" s="14">
        <f t="shared" si="225"/>
        <v>17.306585567480067</v>
      </c>
      <c r="N880" s="14">
        <f t="shared" si="217"/>
        <v>-24.860723664821226</v>
      </c>
      <c r="O880" s="14">
        <f t="shared" si="224"/>
        <v>0</v>
      </c>
      <c r="P880" s="14">
        <f t="shared" si="218"/>
        <v>0</v>
      </c>
    </row>
    <row r="881" spans="1:16" x14ac:dyDescent="0.25">
      <c r="A881" s="14">
        <f t="shared" si="210"/>
        <v>4.2849999999999309</v>
      </c>
      <c r="B881" s="14">
        <f t="shared" si="219"/>
        <v>30.649363039231201</v>
      </c>
      <c r="C881" s="14">
        <f t="shared" si="220"/>
        <v>-26.026334528827768</v>
      </c>
      <c r="D881" s="14">
        <f t="shared" si="221"/>
        <v>0</v>
      </c>
      <c r="E881" s="14">
        <f t="shared" si="211"/>
        <v>0</v>
      </c>
      <c r="F881" s="14">
        <f t="shared" si="222"/>
        <v>-8.5214986718236059</v>
      </c>
      <c r="G881" s="14">
        <f t="shared" si="212"/>
        <v>-1.0894402813246677</v>
      </c>
      <c r="H881" s="14">
        <f t="shared" si="213"/>
        <v>8.45157142118072</v>
      </c>
      <c r="I881" s="14">
        <f t="shared" si="214"/>
        <v>2.1142049280039079</v>
      </c>
      <c r="J881" s="14">
        <f t="shared" si="223"/>
        <v>-16.450407451458339</v>
      </c>
      <c r="K881" s="14">
        <f t="shared" si="215"/>
        <v>-82.676497007027677</v>
      </c>
      <c r="L881" s="14">
        <f t="shared" si="216"/>
        <v>16.585709746543621</v>
      </c>
      <c r="M881" s="14">
        <f t="shared" si="225"/>
        <v>17.306585567480067</v>
      </c>
      <c r="N881" s="14">
        <f t="shared" si="217"/>
        <v>-24.942975702078517</v>
      </c>
      <c r="O881" s="14">
        <f t="shared" si="224"/>
        <v>0</v>
      </c>
      <c r="P881" s="14">
        <f t="shared" si="218"/>
        <v>0</v>
      </c>
    </row>
    <row r="882" spans="1:16" x14ac:dyDescent="0.25">
      <c r="A882" s="14">
        <f t="shared" si="210"/>
        <v>4.2899999999999308</v>
      </c>
      <c r="B882" s="14">
        <f t="shared" si="219"/>
        <v>30.649363039231201</v>
      </c>
      <c r="C882" s="14">
        <f t="shared" si="220"/>
        <v>-26.161808647297804</v>
      </c>
      <c r="D882" s="14">
        <f t="shared" si="221"/>
        <v>0</v>
      </c>
      <c r="E882" s="14">
        <f t="shared" si="211"/>
        <v>0</v>
      </c>
      <c r="F882" s="14">
        <f t="shared" si="222"/>
        <v>-8.5276588016943542</v>
      </c>
      <c r="G882" s="14">
        <f t="shared" si="212"/>
        <v>-1.0870332676981345</v>
      </c>
      <c r="H882" s="14">
        <f t="shared" si="213"/>
        <v>8.4580921792702579</v>
      </c>
      <c r="I882" s="14">
        <f t="shared" si="214"/>
        <v>2.1087697616654171</v>
      </c>
      <c r="J882" s="14">
        <f t="shared" si="223"/>
        <v>-16.457116990561989</v>
      </c>
      <c r="K882" s="14">
        <f t="shared" si="215"/>
        <v>-82.698066580912581</v>
      </c>
      <c r="L882" s="14">
        <f t="shared" si="216"/>
        <v>16.591672897835181</v>
      </c>
      <c r="M882" s="14">
        <f t="shared" si="225"/>
        <v>17.306585567480067</v>
      </c>
      <c r="N882" s="14">
        <f t="shared" si="217"/>
        <v>-25.025261287031327</v>
      </c>
      <c r="O882" s="14">
        <f t="shared" si="224"/>
        <v>0</v>
      </c>
      <c r="P882" s="14">
        <f t="shared" si="218"/>
        <v>0</v>
      </c>
    </row>
    <row r="883" spans="1:16" x14ac:dyDescent="0.25">
      <c r="A883" s="14">
        <f t="shared" si="210"/>
        <v>4.2949999999999307</v>
      </c>
      <c r="B883" s="14">
        <f t="shared" si="219"/>
        <v>30.649363039231201</v>
      </c>
      <c r="C883" s="14">
        <f t="shared" si="220"/>
        <v>-26.297527765767839</v>
      </c>
      <c r="D883" s="14">
        <f t="shared" si="221"/>
        <v>0</v>
      </c>
      <c r="E883" s="14">
        <f t="shared" si="211"/>
        <v>0</v>
      </c>
      <c r="F883" s="14">
        <f t="shared" si="222"/>
        <v>-8.5337918960115129</v>
      </c>
      <c r="G883" s="14">
        <f t="shared" si="212"/>
        <v>-1.0846285611743518</v>
      </c>
      <c r="H883" s="14">
        <f t="shared" si="213"/>
        <v>8.4645841604131178</v>
      </c>
      <c r="I883" s="14">
        <f t="shared" si="214"/>
        <v>2.1033466188595451</v>
      </c>
      <c r="J883" s="14">
        <f t="shared" si="223"/>
        <v>-16.463794069759924</v>
      </c>
      <c r="K883" s="14">
        <f t="shared" si="215"/>
        <v>-82.719565281680175</v>
      </c>
      <c r="L883" s="14">
        <f t="shared" si="216"/>
        <v>16.597607724323705</v>
      </c>
      <c r="M883" s="14">
        <f t="shared" si="225"/>
        <v>17.306585567480067</v>
      </c>
      <c r="N883" s="14">
        <f t="shared" si="217"/>
        <v>-25.107580257380128</v>
      </c>
      <c r="O883" s="14">
        <f t="shared" si="224"/>
        <v>0</v>
      </c>
      <c r="P883" s="14">
        <f t="shared" si="218"/>
        <v>0</v>
      </c>
    </row>
    <row r="884" spans="1:16" x14ac:dyDescent="0.25">
      <c r="A884" s="14">
        <f t="shared" si="210"/>
        <v>4.2999999999999305</v>
      </c>
      <c r="B884" s="14">
        <f t="shared" si="219"/>
        <v>30.649363039231201</v>
      </c>
      <c r="C884" s="14">
        <f t="shared" si="220"/>
        <v>-26.433491884237881</v>
      </c>
      <c r="D884" s="14">
        <f t="shared" si="221"/>
        <v>0</v>
      </c>
      <c r="E884" s="14">
        <f t="shared" si="211"/>
        <v>0</v>
      </c>
      <c r="F884" s="14">
        <f t="shared" si="222"/>
        <v>-8.5398980472864281</v>
      </c>
      <c r="G884" s="14">
        <f t="shared" si="212"/>
        <v>-1.0822261847315144</v>
      </c>
      <c r="H884" s="14">
        <f t="shared" si="213"/>
        <v>8.4710474643415861</v>
      </c>
      <c r="I884" s="14">
        <f t="shared" si="214"/>
        <v>2.0979354879358874</v>
      </c>
      <c r="J884" s="14">
        <f t="shared" si="223"/>
        <v>-16.470438832438216</v>
      </c>
      <c r="K884" s="14">
        <f t="shared" si="215"/>
        <v>-82.740993400824081</v>
      </c>
      <c r="L884" s="14">
        <f t="shared" si="216"/>
        <v>16.603514346204825</v>
      </c>
      <c r="M884" s="14">
        <f t="shared" si="225"/>
        <v>17.306585567480067</v>
      </c>
      <c r="N884" s="14">
        <f t="shared" si="217"/>
        <v>-25.189932451542319</v>
      </c>
      <c r="O884" s="14">
        <f t="shared" si="224"/>
        <v>0</v>
      </c>
      <c r="P884" s="14">
        <f t="shared" si="218"/>
        <v>0</v>
      </c>
    </row>
    <row r="885" spans="1:16" x14ac:dyDescent="0.25">
      <c r="A885" s="14">
        <f t="shared" si="210"/>
        <v>4.3049999999999304</v>
      </c>
      <c r="B885" s="14">
        <f t="shared" si="219"/>
        <v>30.649363039231201</v>
      </c>
      <c r="C885" s="14">
        <f t="shared" si="220"/>
        <v>-26.56970100270793</v>
      </c>
      <c r="D885" s="14">
        <f t="shared" si="221"/>
        <v>0</v>
      </c>
      <c r="E885" s="14">
        <f t="shared" si="211"/>
        <v>0</v>
      </c>
      <c r="F885" s="14">
        <f t="shared" si="222"/>
        <v>-8.5459773479835128</v>
      </c>
      <c r="G885" s="14">
        <f t="shared" si="212"/>
        <v>-1.0798261611120272</v>
      </c>
      <c r="H885" s="14">
        <f t="shared" si="213"/>
        <v>8.4774821907229843</v>
      </c>
      <c r="I885" s="14">
        <f t="shared" si="214"/>
        <v>2.092536357130327</v>
      </c>
      <c r="J885" s="14">
        <f t="shared" si="223"/>
        <v>-16.4770514214846</v>
      </c>
      <c r="K885" s="14">
        <f t="shared" si="215"/>
        <v>-82.762351228198895</v>
      </c>
      <c r="L885" s="14">
        <f t="shared" si="216"/>
        <v>16.609392883310335</v>
      </c>
      <c r="M885" s="14">
        <f t="shared" si="225"/>
        <v>17.306585567480067</v>
      </c>
      <c r="N885" s="14">
        <f t="shared" si="217"/>
        <v>-25.272317708649741</v>
      </c>
      <c r="O885" s="14">
        <f t="shared" si="224"/>
        <v>0</v>
      </c>
      <c r="P885" s="14">
        <f t="shared" si="218"/>
        <v>0</v>
      </c>
    </row>
    <row r="886" spans="1:16" x14ac:dyDescent="0.25">
      <c r="A886" s="14">
        <f t="shared" si="210"/>
        <v>4.3099999999999303</v>
      </c>
      <c r="B886" s="14">
        <f t="shared" si="219"/>
        <v>30.649363039231201</v>
      </c>
      <c r="C886" s="14">
        <f t="shared" si="220"/>
        <v>-26.706155121177957</v>
      </c>
      <c r="D886" s="14">
        <f t="shared" si="221"/>
        <v>0</v>
      </c>
      <c r="E886" s="14">
        <f t="shared" si="211"/>
        <v>0</v>
      </c>
      <c r="F886" s="14">
        <f t="shared" si="222"/>
        <v>-8.5520298905169607</v>
      </c>
      <c r="G886" s="14">
        <f t="shared" si="212"/>
        <v>-1.0774285128238466</v>
      </c>
      <c r="H886" s="14">
        <f t="shared" si="213"/>
        <v>8.4838884391562903</v>
      </c>
      <c r="I886" s="14">
        <f t="shared" si="214"/>
        <v>2.0871492145662076</v>
      </c>
      <c r="J886" s="14">
        <f t="shared" si="223"/>
        <v>-16.48363197928882</v>
      </c>
      <c r="K886" s="14">
        <f t="shared" si="215"/>
        <v>-82.783639052032399</v>
      </c>
      <c r="L886" s="14">
        <f t="shared" si="216"/>
        <v>16.615243455107645</v>
      </c>
      <c r="M886" s="14">
        <f t="shared" si="225"/>
        <v>17.306585567480067</v>
      </c>
      <c r="N886" s="14">
        <f t="shared" si="217"/>
        <v>-25.354735868546186</v>
      </c>
      <c r="O886" s="14">
        <f t="shared" si="224"/>
        <v>0</v>
      </c>
      <c r="P886" s="14">
        <f t="shared" si="218"/>
        <v>0</v>
      </c>
    </row>
    <row r="887" spans="1:16" x14ac:dyDescent="0.25">
      <c r="A887" s="14">
        <f t="shared" si="210"/>
        <v>4.3149999999999302</v>
      </c>
      <c r="B887" s="14">
        <f t="shared" si="219"/>
        <v>30.649363039231201</v>
      </c>
      <c r="C887" s="14">
        <f t="shared" si="220"/>
        <v>-26.842854239648005</v>
      </c>
      <c r="D887" s="14">
        <f t="shared" si="221"/>
        <v>0</v>
      </c>
      <c r="E887" s="14">
        <f t="shared" si="211"/>
        <v>0</v>
      </c>
      <c r="F887" s="14">
        <f t="shared" si="222"/>
        <v>-8.5580557672474207</v>
      </c>
      <c r="G887" s="14">
        <f t="shared" si="212"/>
        <v>-1.0750332621417815</v>
      </c>
      <c r="H887" s="14">
        <f t="shared" si="213"/>
        <v>8.4902663091687316</v>
      </c>
      <c r="I887" s="14">
        <f t="shared" si="214"/>
        <v>2.0817740482554985</v>
      </c>
      <c r="J887" s="14">
        <f t="shared" si="223"/>
        <v>-16.490180647742974</v>
      </c>
      <c r="K887" s="14">
        <f t="shared" si="215"/>
        <v>-82.804857158937551</v>
      </c>
      <c r="L887" s="14">
        <f t="shared" si="216"/>
        <v>16.62106618069933</v>
      </c>
      <c r="M887" s="14">
        <f t="shared" si="225"/>
        <v>17.306585567480067</v>
      </c>
      <c r="N887" s="14">
        <f t="shared" si="217"/>
        <v>-25.437186771784901</v>
      </c>
      <c r="O887" s="14">
        <f t="shared" si="224"/>
        <v>0</v>
      </c>
      <c r="P887" s="14">
        <f t="shared" si="218"/>
        <v>0</v>
      </c>
    </row>
    <row r="888" spans="1:16" x14ac:dyDescent="0.25">
      <c r="A888" s="14">
        <f t="shared" si="210"/>
        <v>4.3199999999999301</v>
      </c>
      <c r="B888" s="14">
        <f t="shared" si="219"/>
        <v>30.649363039231201</v>
      </c>
      <c r="C888" s="14">
        <f t="shared" si="220"/>
        <v>-26.979798358118046</v>
      </c>
      <c r="D888" s="14">
        <f t="shared" si="221"/>
        <v>0</v>
      </c>
      <c r="E888" s="14">
        <f t="shared" si="211"/>
        <v>0</v>
      </c>
      <c r="F888" s="14">
        <f t="shared" si="222"/>
        <v>-8.5640550704787977</v>
      </c>
      <c r="G888" s="14">
        <f t="shared" si="212"/>
        <v>-1.0726404311088265</v>
      </c>
      <c r="H888" s="14">
        <f t="shared" si="213"/>
        <v>8.4966159002125234</v>
      </c>
      <c r="I888" s="14">
        <f t="shared" si="214"/>
        <v>2.0764108460999542</v>
      </c>
      <c r="J888" s="14">
        <f t="shared" si="223"/>
        <v>-16.496697568241913</v>
      </c>
      <c r="K888" s="14">
        <f t="shared" si="215"/>
        <v>-82.826005833924398</v>
      </c>
      <c r="L888" s="14">
        <f t="shared" si="216"/>
        <v>16.626861178822665</v>
      </c>
      <c r="M888" s="14">
        <f t="shared" si="225"/>
        <v>17.306585567480067</v>
      </c>
      <c r="N888" s="14">
        <f t="shared" si="217"/>
        <v>-25.51967025962611</v>
      </c>
      <c r="O888" s="14">
        <f t="shared" si="224"/>
        <v>0</v>
      </c>
      <c r="P888" s="14">
        <f t="shared" si="218"/>
        <v>0</v>
      </c>
    </row>
    <row r="889" spans="1:16" x14ac:dyDescent="0.25">
      <c r="A889" s="14">
        <f t="shared" si="210"/>
        <v>4.32499999999993</v>
      </c>
      <c r="B889" s="14">
        <f t="shared" si="219"/>
        <v>30.649363039231201</v>
      </c>
      <c r="C889" s="14">
        <f t="shared" si="220"/>
        <v>-27.116987476588079</v>
      </c>
      <c r="D889" s="14">
        <f t="shared" si="221"/>
        <v>0</v>
      </c>
      <c r="E889" s="14">
        <f t="shared" si="211"/>
        <v>0</v>
      </c>
      <c r="F889" s="14">
        <f t="shared" si="222"/>
        <v>-8.5700278924550481</v>
      </c>
      <c r="G889" s="14">
        <f t="shared" si="212"/>
        <v>-1.0702500415374747</v>
      </c>
      <c r="H889" s="14">
        <f t="shared" si="213"/>
        <v>8.5029373116615741</v>
      </c>
      <c r="I889" s="14">
        <f t="shared" si="214"/>
        <v>2.0710595958922666</v>
      </c>
      <c r="J889" s="14">
        <f t="shared" si="223"/>
        <v>-16.503182881683607</v>
      </c>
      <c r="K889" s="14">
        <f t="shared" si="215"/>
        <v>-82.847085360411853</v>
      </c>
      <c r="L889" s="14">
        <f t="shared" si="216"/>
        <v>16.632628567849167</v>
      </c>
      <c r="M889" s="14">
        <f t="shared" si="225"/>
        <v>17.306585567480067</v>
      </c>
      <c r="N889" s="14">
        <f t="shared" si="217"/>
        <v>-25.602186174034529</v>
      </c>
      <c r="O889" s="14">
        <f t="shared" si="224"/>
        <v>0</v>
      </c>
      <c r="P889" s="14">
        <f t="shared" si="218"/>
        <v>0</v>
      </c>
    </row>
    <row r="890" spans="1:16" x14ac:dyDescent="0.25">
      <c r="A890" s="14">
        <f t="shared" si="210"/>
        <v>4.3299999999999299</v>
      </c>
      <c r="B890" s="14">
        <f t="shared" si="219"/>
        <v>30.649363039231201</v>
      </c>
      <c r="C890" s="14">
        <f t="shared" si="220"/>
        <v>-27.254421595058119</v>
      </c>
      <c r="D890" s="14">
        <f t="shared" si="221"/>
        <v>0</v>
      </c>
      <c r="E890" s="14">
        <f t="shared" si="211"/>
        <v>0</v>
      </c>
      <c r="F890" s="14">
        <f t="shared" si="222"/>
        <v>-8.5759743253569987</v>
      </c>
      <c r="G890" s="14">
        <f t="shared" si="212"/>
        <v>-1.0678621150110312</v>
      </c>
      <c r="H890" s="14">
        <f t="shared" si="213"/>
        <v>8.509230642808232</v>
      </c>
      <c r="I890" s="14">
        <f t="shared" si="214"/>
        <v>2.0657202853172114</v>
      </c>
      <c r="J890" s="14">
        <f t="shared" si="223"/>
        <v>-16.509636728469566</v>
      </c>
      <c r="K890" s="14">
        <f t="shared" si="215"/>
        <v>-82.868096020239477</v>
      </c>
      <c r="L890" s="14">
        <f t="shared" si="216"/>
        <v>16.638368465784207</v>
      </c>
      <c r="M890" s="14">
        <f t="shared" si="225"/>
        <v>17.306585567480067</v>
      </c>
      <c r="N890" s="14">
        <f t="shared" si="217"/>
        <v>-25.684734357676877</v>
      </c>
      <c r="O890" s="14">
        <f t="shared" si="224"/>
        <v>0</v>
      </c>
      <c r="P890" s="14">
        <f t="shared" si="218"/>
        <v>0</v>
      </c>
    </row>
    <row r="891" spans="1:16" x14ac:dyDescent="0.25">
      <c r="A891" s="14">
        <f t="shared" si="210"/>
        <v>4.3349999999999298</v>
      </c>
      <c r="B891" s="14">
        <f t="shared" si="219"/>
        <v>30.649363039231201</v>
      </c>
      <c r="C891" s="14">
        <f t="shared" si="220"/>
        <v>-27.392100713528166</v>
      </c>
      <c r="D891" s="14">
        <f t="shared" si="221"/>
        <v>0</v>
      </c>
      <c r="E891" s="14">
        <f t="shared" si="211"/>
        <v>0</v>
      </c>
      <c r="F891" s="14">
        <f t="shared" si="222"/>
        <v>-8.5818944612992727</v>
      </c>
      <c r="G891" s="14">
        <f t="shared" si="212"/>
        <v>-1.0654766728849314</v>
      </c>
      <c r="H891" s="14">
        <f t="shared" si="213"/>
        <v>8.5154959928601457</v>
      </c>
      <c r="I891" s="14">
        <f t="shared" si="214"/>
        <v>2.0603929019527869</v>
      </c>
      <c r="J891" s="14">
        <f t="shared" si="223"/>
        <v>-16.516059248505265</v>
      </c>
      <c r="K891" s="14">
        <f t="shared" si="215"/>
        <v>-82.889038093678963</v>
      </c>
      <c r="L891" s="14">
        <f t="shared" si="216"/>
        <v>16.644080990266591</v>
      </c>
      <c r="M891" s="14">
        <f t="shared" si="225"/>
        <v>17.306585567480067</v>
      </c>
      <c r="N891" s="14">
        <f t="shared" si="217"/>
        <v>-25.767314653919403</v>
      </c>
      <c r="O891" s="14">
        <f t="shared" si="224"/>
        <v>0</v>
      </c>
      <c r="P891" s="14">
        <f t="shared" si="218"/>
        <v>0</v>
      </c>
    </row>
    <row r="892" spans="1:16" x14ac:dyDescent="0.25">
      <c r="A892" s="14">
        <f t="shared" si="210"/>
        <v>4.3399999999999297</v>
      </c>
      <c r="B892" s="14">
        <f t="shared" si="219"/>
        <v>30.649363039231201</v>
      </c>
      <c r="C892" s="14">
        <f t="shared" si="220"/>
        <v>-27.53002483199819</v>
      </c>
      <c r="D892" s="14">
        <f t="shared" si="221"/>
        <v>0</v>
      </c>
      <c r="E892" s="14">
        <f t="shared" si="211"/>
        <v>0</v>
      </c>
      <c r="F892" s="14">
        <f t="shared" si="222"/>
        <v>-8.5877883923271643</v>
      </c>
      <c r="G892" s="14">
        <f t="shared" si="212"/>
        <v>-1.0630937362880504</v>
      </c>
      <c r="H892" s="14">
        <f t="shared" si="213"/>
        <v>8.5217334609370585</v>
      </c>
      <c r="I892" s="14">
        <f t="shared" si="214"/>
        <v>2.0550774332713466</v>
      </c>
      <c r="J892" s="14">
        <f t="shared" si="223"/>
        <v>-16.52245058120058</v>
      </c>
      <c r="K892" s="14">
        <f t="shared" si="215"/>
        <v>-82.909911859445742</v>
      </c>
      <c r="L892" s="14">
        <f t="shared" si="216"/>
        <v>16.649766258568214</v>
      </c>
      <c r="M892" s="14">
        <f t="shared" si="225"/>
        <v>17.306585567480067</v>
      </c>
      <c r="N892" s="14">
        <f t="shared" si="217"/>
        <v>-25.849926906825406</v>
      </c>
      <c r="O892" s="14">
        <f t="shared" si="224"/>
        <v>0</v>
      </c>
      <c r="P892" s="14">
        <f t="shared" si="218"/>
        <v>0</v>
      </c>
    </row>
    <row r="893" spans="1:16" x14ac:dyDescent="0.25">
      <c r="A893" s="14">
        <f t="shared" si="210"/>
        <v>4.3449999999999296</v>
      </c>
      <c r="B893" s="14">
        <f t="shared" si="219"/>
        <v>30.649363039231201</v>
      </c>
      <c r="C893" s="14">
        <f t="shared" si="220"/>
        <v>-27.668193950468236</v>
      </c>
      <c r="D893" s="14">
        <f t="shared" si="221"/>
        <v>0</v>
      </c>
      <c r="E893" s="14">
        <f t="shared" si="211"/>
        <v>0</v>
      </c>
      <c r="F893" s="14">
        <f t="shared" si="222"/>
        <v>-8.5936562104136538</v>
      </c>
      <c r="G893" s="14">
        <f t="shared" si="212"/>
        <v>-1.0607133261240138</v>
      </c>
      <c r="H893" s="14">
        <f t="shared" si="213"/>
        <v>8.527943146067761</v>
      </c>
      <c r="I893" s="14">
        <f t="shared" si="214"/>
        <v>2.0497738666407264</v>
      </c>
      <c r="J893" s="14">
        <f t="shared" si="223"/>
        <v>-16.528810865470241</v>
      </c>
      <c r="K893" s="14">
        <f t="shared" si="215"/>
        <v>-82.93071759471033</v>
      </c>
      <c r="L893" s="14">
        <f t="shared" si="216"/>
        <v>16.65542438759368</v>
      </c>
      <c r="M893" s="14">
        <f t="shared" si="225"/>
        <v>17.306585567480067</v>
      </c>
      <c r="N893" s="14">
        <f t="shared" si="217"/>
        <v>-25.932570961152756</v>
      </c>
      <c r="O893" s="14">
        <f t="shared" si="224"/>
        <v>0</v>
      </c>
      <c r="P893" s="14">
        <f t="shared" si="218"/>
        <v>0</v>
      </c>
    </row>
    <row r="894" spans="1:16" x14ac:dyDescent="0.25">
      <c r="A894" s="14">
        <f t="shared" si="210"/>
        <v>4.3499999999999295</v>
      </c>
      <c r="B894" s="14">
        <f t="shared" si="219"/>
        <v>30.649363039231201</v>
      </c>
      <c r="C894" s="14">
        <f t="shared" si="220"/>
        <v>-27.806608068938274</v>
      </c>
      <c r="D894" s="14">
        <f t="shared" si="221"/>
        <v>0</v>
      </c>
      <c r="E894" s="14">
        <f t="shared" si="211"/>
        <v>0</v>
      </c>
      <c r="F894" s="14">
        <f t="shared" si="222"/>
        <v>-8.5994980074563596</v>
      </c>
      <c r="G894" s="14">
        <f t="shared" si="212"/>
        <v>-1.0583354630725041</v>
      </c>
      <c r="H894" s="14">
        <f t="shared" si="213"/>
        <v>8.5341251471869697</v>
      </c>
      <c r="I894" s="14">
        <f t="shared" si="214"/>
        <v>2.0444821893253637</v>
      </c>
      <c r="J894" s="14">
        <f t="shared" si="223"/>
        <v>-16.535140239734307</v>
      </c>
      <c r="K894" s="14">
        <f t="shared" si="215"/>
        <v>-82.951455575109605</v>
      </c>
      <c r="L894" s="14">
        <f t="shared" si="216"/>
        <v>16.661055493880014</v>
      </c>
      <c r="M894" s="14">
        <f t="shared" si="225"/>
        <v>17.306585567480067</v>
      </c>
      <c r="N894" s="14">
        <f t="shared" si="217"/>
        <v>-26.015246662351426</v>
      </c>
      <c r="O894" s="14">
        <f t="shared" si="224"/>
        <v>0</v>
      </c>
      <c r="P894" s="14">
        <f t="shared" si="218"/>
        <v>0</v>
      </c>
    </row>
    <row r="895" spans="1:16" x14ac:dyDescent="0.25">
      <c r="A895" s="14">
        <f t="shared" si="210"/>
        <v>4.3549999999999294</v>
      </c>
      <c r="B895" s="14">
        <f t="shared" si="219"/>
        <v>30.649363039231201</v>
      </c>
      <c r="C895" s="14">
        <f t="shared" si="220"/>
        <v>-27.945267187408305</v>
      </c>
      <c r="D895" s="14">
        <f t="shared" si="221"/>
        <v>0</v>
      </c>
      <c r="E895" s="14">
        <f t="shared" si="211"/>
        <v>0</v>
      </c>
      <c r="F895" s="14">
        <f t="shared" si="222"/>
        <v>-8.6053138752746303</v>
      </c>
      <c r="G895" s="14">
        <f t="shared" si="212"/>
        <v>-1.0559601675905741</v>
      </c>
      <c r="H895" s="14">
        <f t="shared" si="213"/>
        <v>8.5402795631323549</v>
      </c>
      <c r="I895" s="14">
        <f t="shared" si="214"/>
        <v>2.0392023884874111</v>
      </c>
      <c r="J895" s="14">
        <f t="shared" si="223"/>
        <v>-16.541438841918644</v>
      </c>
      <c r="K895" s="14">
        <f t="shared" si="215"/>
        <v>-82.972126074758037</v>
      </c>
      <c r="L895" s="14">
        <f t="shared" si="216"/>
        <v>16.666659693596305</v>
      </c>
      <c r="M895" s="14">
        <f t="shared" si="225"/>
        <v>17.306585567480067</v>
      </c>
      <c r="N895" s="14">
        <f t="shared" si="217"/>
        <v>-26.09795385656102</v>
      </c>
      <c r="O895" s="14">
        <f t="shared" si="224"/>
        <v>0</v>
      </c>
      <c r="P895" s="14">
        <f t="shared" si="218"/>
        <v>0</v>
      </c>
    </row>
    <row r="896" spans="1:16" x14ac:dyDescent="0.25">
      <c r="A896" s="14">
        <f t="shared" si="210"/>
        <v>4.3599999999999293</v>
      </c>
      <c r="B896" s="14">
        <f t="shared" si="219"/>
        <v>30.649363039231201</v>
      </c>
      <c r="C896" s="14">
        <f t="shared" si="220"/>
        <v>-28.084171305878371</v>
      </c>
      <c r="D896" s="14">
        <f t="shared" si="221"/>
        <v>0</v>
      </c>
      <c r="E896" s="14">
        <f t="shared" si="211"/>
        <v>0</v>
      </c>
      <c r="F896" s="14">
        <f t="shared" si="222"/>
        <v>-8.6111039056065781</v>
      </c>
      <c r="G896" s="14">
        <f t="shared" si="212"/>
        <v>-1.0535874599139419</v>
      </c>
      <c r="H896" s="14">
        <f t="shared" si="213"/>
        <v>8.5464064926415109</v>
      </c>
      <c r="I896" s="14">
        <f t="shared" si="214"/>
        <v>2.0339344511878412</v>
      </c>
      <c r="J896" s="14">
        <f t="shared" si="223"/>
        <v>-16.547706809455438</v>
      </c>
      <c r="K896" s="14">
        <f t="shared" si="215"/>
        <v>-82.992729366258772</v>
      </c>
      <c r="L896" s="14">
        <f t="shared" si="216"/>
        <v>16.672237102543455</v>
      </c>
      <c r="M896" s="14">
        <f t="shared" si="225"/>
        <v>17.306585567480067</v>
      </c>
      <c r="N896" s="14">
        <f t="shared" si="217"/>
        <v>-26.180692390608296</v>
      </c>
      <c r="O896" s="14">
        <f t="shared" si="224"/>
        <v>0</v>
      </c>
      <c r="P896" s="14">
        <f t="shared" si="218"/>
        <v>0</v>
      </c>
    </row>
    <row r="897" spans="1:16" x14ac:dyDescent="0.25">
      <c r="A897" s="14">
        <f t="shared" ref="A897:A960" si="226">A896+$A$22</f>
        <v>4.3649999999999292</v>
      </c>
      <c r="B897" s="14">
        <f t="shared" si="219"/>
        <v>30.649363039231201</v>
      </c>
      <c r="C897" s="14">
        <f t="shared" si="220"/>
        <v>-28.223320424348401</v>
      </c>
      <c r="D897" s="14">
        <f t="shared" si="221"/>
        <v>0</v>
      </c>
      <c r="E897" s="14">
        <f t="shared" ref="E897:E960" si="227">IF(AND(C898-C897&lt;0,C897&lt;$B$18),0,1)</f>
        <v>0</v>
      </c>
      <c r="F897" s="14">
        <f t="shared" si="222"/>
        <v>-8.6168681901062243</v>
      </c>
      <c r="G897" s="14">
        <f t="shared" ref="G897:G960" si="228">$F897*COS(PI()/180*$K896)</f>
        <v>-1.0512173600582939</v>
      </c>
      <c r="H897" s="14">
        <f t="shared" ref="H897:H960" si="229">$F897*SIN(PI()/180*$K896)</f>
        <v>8.5525060343490313</v>
      </c>
      <c r="I897" s="14">
        <f t="shared" ref="I897:I960" si="230">I896+G897*$A$22</f>
        <v>2.0286783643875497</v>
      </c>
      <c r="J897" s="14">
        <f t="shared" si="223"/>
        <v>-16.553944279283691</v>
      </c>
      <c r="K897" s="14">
        <f t="shared" ref="K897:K960" si="231">180/PI()*ATAN(J897/I897)</f>
        <v>-83.013265720714671</v>
      </c>
      <c r="L897" s="14">
        <f t="shared" ref="L897:L960" si="232">SQRT(I897^2+J897^2)</f>
        <v>16.677787836153911</v>
      </c>
      <c r="M897" s="14">
        <f t="shared" si="225"/>
        <v>17.306585567480067</v>
      </c>
      <c r="N897" s="14">
        <f t="shared" ref="N897:N960" si="233">N896+J897*$A$22</f>
        <v>-26.263462112004714</v>
      </c>
      <c r="O897" s="14">
        <f t="shared" si="224"/>
        <v>0</v>
      </c>
      <c r="P897" s="14">
        <f t="shared" ref="P897:P960" si="234">IF(AND(N898-N897&lt;0,N897&lt;$B$18),0,1)</f>
        <v>0</v>
      </c>
    </row>
    <row r="898" spans="1:16" x14ac:dyDescent="0.25">
      <c r="A898" s="14">
        <f t="shared" si="226"/>
        <v>4.3699999999999291</v>
      </c>
      <c r="B898" s="14">
        <f t="shared" si="219"/>
        <v>30.649363039231201</v>
      </c>
      <c r="C898" s="14">
        <f t="shared" si="220"/>
        <v>-28.362714542818452</v>
      </c>
      <c r="D898" s="14">
        <f t="shared" si="221"/>
        <v>0</v>
      </c>
      <c r="E898" s="14">
        <f t="shared" si="227"/>
        <v>0</v>
      </c>
      <c r="F898" s="14">
        <f t="shared" si="222"/>
        <v>-8.6226068203406623</v>
      </c>
      <c r="G898" s="14">
        <f t="shared" si="228"/>
        <v>-1.0488498878205894</v>
      </c>
      <c r="H898" s="14">
        <f t="shared" si="229"/>
        <v>8.5585782867836198</v>
      </c>
      <c r="I898" s="14">
        <f t="shared" si="230"/>
        <v>2.0234341149484467</v>
      </c>
      <c r="J898" s="14">
        <f t="shared" si="223"/>
        <v>-16.560151387849771</v>
      </c>
      <c r="K898" s="14">
        <f t="shared" si="231"/>
        <v>-83.03373540773913</v>
      </c>
      <c r="L898" s="14">
        <f t="shared" si="232"/>
        <v>16.683312009491399</v>
      </c>
      <c r="M898" s="14">
        <f t="shared" si="225"/>
        <v>17.306585567480067</v>
      </c>
      <c r="N898" s="14">
        <f t="shared" si="233"/>
        <v>-26.346262868943963</v>
      </c>
      <c r="O898" s="14">
        <f t="shared" si="224"/>
        <v>0</v>
      </c>
      <c r="P898" s="14">
        <f t="shared" si="234"/>
        <v>0</v>
      </c>
    </row>
    <row r="899" spans="1:16" x14ac:dyDescent="0.25">
      <c r="A899" s="14">
        <f t="shared" si="226"/>
        <v>4.3749999999999289</v>
      </c>
      <c r="B899" s="14">
        <f t="shared" si="219"/>
        <v>30.649363039231201</v>
      </c>
      <c r="C899" s="14">
        <f t="shared" si="220"/>
        <v>-28.502353661288481</v>
      </c>
      <c r="D899" s="14">
        <f t="shared" si="221"/>
        <v>0</v>
      </c>
      <c r="E899" s="14">
        <f t="shared" si="227"/>
        <v>0</v>
      </c>
      <c r="F899" s="14">
        <f t="shared" si="222"/>
        <v>-8.6283198877872369</v>
      </c>
      <c r="G899" s="14">
        <f t="shared" si="228"/>
        <v>-1.0464850627803548</v>
      </c>
      <c r="H899" s="14">
        <f t="shared" si="229"/>
        <v>8.5646233483652008</v>
      </c>
      <c r="I899" s="14">
        <f t="shared" si="230"/>
        <v>2.0182016896345449</v>
      </c>
      <c r="J899" s="14">
        <f t="shared" si="223"/>
        <v>-16.566328271107945</v>
      </c>
      <c r="K899" s="14">
        <f t="shared" si="231"/>
        <v>-83.054138695467003</v>
      </c>
      <c r="L899" s="14">
        <f t="shared" si="232"/>
        <v>16.688809737250711</v>
      </c>
      <c r="M899" s="14">
        <f t="shared" si="225"/>
        <v>17.306585567480067</v>
      </c>
      <c r="N899" s="14">
        <f t="shared" si="233"/>
        <v>-26.429094510299503</v>
      </c>
      <c r="O899" s="14">
        <f t="shared" si="224"/>
        <v>0</v>
      </c>
      <c r="P899" s="14">
        <f t="shared" si="234"/>
        <v>0</v>
      </c>
    </row>
    <row r="900" spans="1:16" x14ac:dyDescent="0.25">
      <c r="A900" s="14">
        <f t="shared" si="226"/>
        <v>4.3799999999999288</v>
      </c>
      <c r="B900" s="14">
        <f t="shared" si="219"/>
        <v>30.649363039231201</v>
      </c>
      <c r="C900" s="14">
        <f t="shared" si="220"/>
        <v>-28.642237779758531</v>
      </c>
      <c r="D900" s="14">
        <f t="shared" si="221"/>
        <v>0</v>
      </c>
      <c r="E900" s="14">
        <f t="shared" si="227"/>
        <v>0</v>
      </c>
      <c r="F900" s="14">
        <f t="shared" si="222"/>
        <v>-8.6340074838307785</v>
      </c>
      <c r="G900" s="14">
        <f t="shared" si="228"/>
        <v>-1.0441229043009739</v>
      </c>
      <c r="H900" s="14">
        <f t="shared" si="229"/>
        <v>8.5706413174020994</v>
      </c>
      <c r="I900" s="14">
        <f t="shared" si="230"/>
        <v>2.0129810751130401</v>
      </c>
      <c r="J900" s="14">
        <f t="shared" si="223"/>
        <v>-16.572475064520933</v>
      </c>
      <c r="K900" s="14">
        <f t="shared" si="231"/>
        <v>-83.074475850565236</v>
      </c>
      <c r="L900" s="14">
        <f t="shared" si="232"/>
        <v>16.694281133757492</v>
      </c>
      <c r="M900" s="14">
        <f t="shared" si="225"/>
        <v>17.306585567480067</v>
      </c>
      <c r="N900" s="14">
        <f t="shared" si="233"/>
        <v>-26.511956885622109</v>
      </c>
      <c r="O900" s="14">
        <f t="shared" si="224"/>
        <v>0</v>
      </c>
      <c r="P900" s="14">
        <f t="shared" si="234"/>
        <v>0</v>
      </c>
    </row>
    <row r="901" spans="1:16" x14ac:dyDescent="0.25">
      <c r="A901" s="14">
        <f t="shared" si="226"/>
        <v>4.3849999999999287</v>
      </c>
      <c r="B901" s="14">
        <f t="shared" si="219"/>
        <v>30.649363039231201</v>
      </c>
      <c r="C901" s="14">
        <f t="shared" si="220"/>
        <v>-28.782366898228574</v>
      </c>
      <c r="D901" s="14">
        <f t="shared" si="221"/>
        <v>0</v>
      </c>
      <c r="E901" s="14">
        <f t="shared" si="227"/>
        <v>0</v>
      </c>
      <c r="F901" s="14">
        <f t="shared" si="222"/>
        <v>-8.6396696997608728</v>
      </c>
      <c r="G901" s="14">
        <f t="shared" si="228"/>
        <v>-1.0417634315309856</v>
      </c>
      <c r="H901" s="14">
        <f t="shared" si="229"/>
        <v>8.5766322920882487</v>
      </c>
      <c r="I901" s="14">
        <f t="shared" si="230"/>
        <v>2.0077722579553852</v>
      </c>
      <c r="J901" s="14">
        <f t="shared" si="223"/>
        <v>-16.578591903060492</v>
      </c>
      <c r="K901" s="14">
        <f t="shared" si="231"/>
        <v>-83.09474713824352</v>
      </c>
      <c r="L901" s="14">
        <f t="shared" si="232"/>
        <v>16.699726312968071</v>
      </c>
      <c r="M901" s="14">
        <f t="shared" si="225"/>
        <v>17.306585567480067</v>
      </c>
      <c r="N901" s="14">
        <f t="shared" si="233"/>
        <v>-26.594849845137411</v>
      </c>
      <c r="O901" s="14">
        <f t="shared" si="224"/>
        <v>0</v>
      </c>
      <c r="P901" s="14">
        <f t="shared" si="234"/>
        <v>0</v>
      </c>
    </row>
    <row r="902" spans="1:16" x14ac:dyDescent="0.25">
      <c r="A902" s="14">
        <f t="shared" si="226"/>
        <v>4.3899999999999286</v>
      </c>
      <c r="B902" s="14">
        <f t="shared" si="219"/>
        <v>30.649363039231201</v>
      </c>
      <c r="C902" s="14">
        <f t="shared" si="220"/>
        <v>-28.922741016698595</v>
      </c>
      <c r="D902" s="14">
        <f t="shared" si="221"/>
        <v>0</v>
      </c>
      <c r="E902" s="14">
        <f t="shared" si="227"/>
        <v>0</v>
      </c>
      <c r="F902" s="14">
        <f t="shared" si="222"/>
        <v>-8.645306626769182</v>
      </c>
      <c r="G902" s="14">
        <f t="shared" si="228"/>
        <v>-1.0394066634053707</v>
      </c>
      <c r="H902" s="14">
        <f t="shared" si="229"/>
        <v>8.5825963705004593</v>
      </c>
      <c r="I902" s="14">
        <f t="shared" si="230"/>
        <v>2.0025752246383584</v>
      </c>
      <c r="J902" s="14">
        <f t="shared" si="223"/>
        <v>-16.584678921207988</v>
      </c>
      <c r="K902" s="14">
        <f t="shared" si="231"/>
        <v>-83.114952822264826</v>
      </c>
      <c r="L902" s="14">
        <f t="shared" si="232"/>
        <v>16.705145388469262</v>
      </c>
      <c r="M902" s="14">
        <f t="shared" si="225"/>
        <v>17.306585567480067</v>
      </c>
      <c r="N902" s="14">
        <f t="shared" si="233"/>
        <v>-26.677773239743452</v>
      </c>
      <c r="O902" s="14">
        <f t="shared" si="224"/>
        <v>0</v>
      </c>
      <c r="P902" s="14">
        <f t="shared" si="234"/>
        <v>0</v>
      </c>
    </row>
    <row r="903" spans="1:16" x14ac:dyDescent="0.25">
      <c r="A903" s="14">
        <f t="shared" si="226"/>
        <v>4.3949999999999285</v>
      </c>
      <c r="B903" s="14">
        <f t="shared" si="219"/>
        <v>30.649363039231201</v>
      </c>
      <c r="C903" s="14">
        <f t="shared" si="220"/>
        <v>-29.063360135168637</v>
      </c>
      <c r="D903" s="14">
        <f t="shared" si="221"/>
        <v>0</v>
      </c>
      <c r="E903" s="14">
        <f t="shared" si="227"/>
        <v>0</v>
      </c>
      <c r="F903" s="14">
        <f t="shared" si="222"/>
        <v>-8.6509183559467715</v>
      </c>
      <c r="G903" s="14">
        <f t="shared" si="228"/>
        <v>-1.0370526186468385</v>
      </c>
      <c r="H903" s="14">
        <f t="shared" si="229"/>
        <v>8.5885336505956893</v>
      </c>
      <c r="I903" s="14">
        <f t="shared" si="230"/>
        <v>1.9973899615451243</v>
      </c>
      <c r="J903" s="14">
        <f t="shared" si="223"/>
        <v>-16.590736252955011</v>
      </c>
      <c r="K903" s="14">
        <f t="shared" si="231"/>
        <v>-83.135093164955848</v>
      </c>
      <c r="L903" s="14">
        <f t="shared" si="232"/>
        <v>16.710538473478255</v>
      </c>
      <c r="M903" s="14">
        <f t="shared" si="225"/>
        <v>17.306585567480067</v>
      </c>
      <c r="N903" s="14">
        <f t="shared" si="233"/>
        <v>-26.760726921008228</v>
      </c>
      <c r="O903" s="14">
        <f t="shared" si="224"/>
        <v>0</v>
      </c>
      <c r="P903" s="14">
        <f t="shared" si="234"/>
        <v>0</v>
      </c>
    </row>
    <row r="904" spans="1:16" x14ac:dyDescent="0.25">
      <c r="A904" s="14">
        <f t="shared" si="226"/>
        <v>4.3999999999999284</v>
      </c>
      <c r="B904" s="14">
        <f t="shared" si="219"/>
        <v>30.649363039231201</v>
      </c>
      <c r="C904" s="14">
        <f t="shared" si="220"/>
        <v>-29.204224253638685</v>
      </c>
      <c r="D904" s="14">
        <f t="shared" si="221"/>
        <v>0</v>
      </c>
      <c r="E904" s="14">
        <f t="shared" si="227"/>
        <v>0</v>
      </c>
      <c r="F904" s="14">
        <f t="shared" si="222"/>
        <v>-8.6565049782815073</v>
      </c>
      <c r="G904" s="14">
        <f t="shared" si="228"/>
        <v>-1.0347013157671106</v>
      </c>
      <c r="H904" s="14">
        <f t="shared" si="229"/>
        <v>8.5944442302083921</v>
      </c>
      <c r="I904" s="14">
        <f t="shared" si="230"/>
        <v>1.9922164549662886</v>
      </c>
      <c r="J904" s="14">
        <f t="shared" si="223"/>
        <v>-16.596764031803968</v>
      </c>
      <c r="K904" s="14">
        <f t="shared" si="231"/>
        <v>-83.155168427217333</v>
      </c>
      <c r="L904" s="14">
        <f t="shared" si="232"/>
        <v>16.715905680842432</v>
      </c>
      <c r="M904" s="14">
        <f t="shared" si="225"/>
        <v>17.306585567480067</v>
      </c>
      <c r="N904" s="14">
        <f t="shared" si="233"/>
        <v>-26.843710741167246</v>
      </c>
      <c r="O904" s="14">
        <f t="shared" si="224"/>
        <v>0</v>
      </c>
      <c r="P904" s="14">
        <f t="shared" si="234"/>
        <v>0</v>
      </c>
    </row>
    <row r="905" spans="1:16" x14ac:dyDescent="0.25">
      <c r="A905" s="14">
        <f t="shared" si="226"/>
        <v>4.4049999999999283</v>
      </c>
      <c r="B905" s="14">
        <f t="shared" si="219"/>
        <v>30.649363039231201</v>
      </c>
      <c r="C905" s="14">
        <f t="shared" si="220"/>
        <v>-29.345333372108726</v>
      </c>
      <c r="D905" s="14">
        <f t="shared" si="221"/>
        <v>0</v>
      </c>
      <c r="E905" s="14">
        <f t="shared" si="227"/>
        <v>0</v>
      </c>
      <c r="F905" s="14">
        <f t="shared" si="222"/>
        <v>-8.6620665846554292</v>
      </c>
      <c r="G905" s="14">
        <f t="shared" si="228"/>
        <v>-1.0323527730682005</v>
      </c>
      <c r="H905" s="14">
        <f t="shared" si="229"/>
        <v>8.6003282070478324</v>
      </c>
      <c r="I905" s="14">
        <f t="shared" si="230"/>
        <v>1.9870546911009477</v>
      </c>
      <c r="J905" s="14">
        <f t="shared" si="223"/>
        <v>-16.602762390768728</v>
      </c>
      <c r="K905" s="14">
        <f t="shared" si="231"/>
        <v>-83.175178868534346</v>
      </c>
      <c r="L905" s="14">
        <f t="shared" si="232"/>
        <v>16.721247123039323</v>
      </c>
      <c r="M905" s="14">
        <f t="shared" si="225"/>
        <v>17.306585567480067</v>
      </c>
      <c r="N905" s="14">
        <f t="shared" si="233"/>
        <v>-26.92672455312109</v>
      </c>
      <c r="O905" s="14">
        <f t="shared" si="224"/>
        <v>0</v>
      </c>
      <c r="P905" s="14">
        <f t="shared" si="234"/>
        <v>0</v>
      </c>
    </row>
    <row r="906" spans="1:16" x14ac:dyDescent="0.25">
      <c r="A906" s="14">
        <f t="shared" si="226"/>
        <v>4.4099999999999282</v>
      </c>
      <c r="B906" s="14">
        <f t="shared" si="219"/>
        <v>30.649363039231201</v>
      </c>
      <c r="C906" s="14">
        <f t="shared" si="220"/>
        <v>-29.48668749057876</v>
      </c>
      <c r="D906" s="14">
        <f t="shared" si="221"/>
        <v>0</v>
      </c>
      <c r="E906" s="14">
        <f t="shared" si="227"/>
        <v>0</v>
      </c>
      <c r="F906" s="14">
        <f t="shared" si="222"/>
        <v>-8.6676032658422759</v>
      </c>
      <c r="G906" s="14">
        <f t="shared" si="228"/>
        <v>-1.0300070086436985</v>
      </c>
      <c r="H906" s="14">
        <f t="shared" si="229"/>
        <v>8.6061856786955584</v>
      </c>
      <c r="I906" s="14">
        <f t="shared" si="230"/>
        <v>1.9819046560577291</v>
      </c>
      <c r="J906" s="14">
        <f t="shared" si="223"/>
        <v>-16.60873146237525</v>
      </c>
      <c r="K906" s="14">
        <f t="shared" si="231"/>
        <v>-83.195124746986465</v>
      </c>
      <c r="L906" s="14">
        <f t="shared" si="232"/>
        <v>16.726562912176451</v>
      </c>
      <c r="M906" s="14">
        <f t="shared" si="225"/>
        <v>17.306585567480067</v>
      </c>
      <c r="N906" s="14">
        <f t="shared" si="233"/>
        <v>-27.009768210432966</v>
      </c>
      <c r="O906" s="14">
        <f t="shared" si="224"/>
        <v>0</v>
      </c>
      <c r="P906" s="14">
        <f t="shared" si="234"/>
        <v>0</v>
      </c>
    </row>
    <row r="907" spans="1:16" x14ac:dyDescent="0.25">
      <c r="A907" s="14">
        <f t="shared" si="226"/>
        <v>4.4149999999999281</v>
      </c>
      <c r="B907" s="14">
        <f t="shared" si="219"/>
        <v>30.649363039231201</v>
      </c>
      <c r="C907" s="14">
        <f t="shared" si="220"/>
        <v>-29.6282866090488</v>
      </c>
      <c r="D907" s="14">
        <f t="shared" si="221"/>
        <v>0</v>
      </c>
      <c r="E907" s="14">
        <f t="shared" si="227"/>
        <v>0</v>
      </c>
      <c r="F907" s="14">
        <f t="shared" si="222"/>
        <v>-8.6731151125049006</v>
      </c>
      <c r="G907" s="14">
        <f t="shared" si="228"/>
        <v>-1.0276640403800363</v>
      </c>
      <c r="H907" s="14">
        <f t="shared" si="229"/>
        <v>8.6120167426027834</v>
      </c>
      <c r="I907" s="14">
        <f t="shared" si="230"/>
        <v>1.9767663358558289</v>
      </c>
      <c r="J907" s="14">
        <f t="shared" si="223"/>
        <v>-16.614671378662237</v>
      </c>
      <c r="K907" s="14">
        <f t="shared" si="231"/>
        <v>-83.215006319257867</v>
      </c>
      <c r="L907" s="14">
        <f t="shared" si="232"/>
        <v>16.731853159991303</v>
      </c>
      <c r="M907" s="14">
        <f t="shared" si="225"/>
        <v>17.306585567480067</v>
      </c>
      <c r="N907" s="14">
        <f t="shared" si="233"/>
        <v>-27.092841567326278</v>
      </c>
      <c r="O907" s="14">
        <f t="shared" si="224"/>
        <v>0</v>
      </c>
      <c r="P907" s="14">
        <f t="shared" si="234"/>
        <v>0</v>
      </c>
    </row>
    <row r="908" spans="1:16" x14ac:dyDescent="0.25">
      <c r="A908" s="14">
        <f t="shared" si="226"/>
        <v>4.419999999999928</v>
      </c>
      <c r="B908" s="14">
        <f t="shared" si="219"/>
        <v>30.649363039231201</v>
      </c>
      <c r="C908" s="14">
        <f t="shared" si="220"/>
        <v>-29.770130727518847</v>
      </c>
      <c r="D908" s="14">
        <f t="shared" si="221"/>
        <v>0</v>
      </c>
      <c r="E908" s="14">
        <f t="shared" si="227"/>
        <v>0</v>
      </c>
      <c r="F908" s="14">
        <f t="shared" si="222"/>
        <v>-8.6786022151928393</v>
      </c>
      <c r="G908" s="14">
        <f t="shared" si="228"/>
        <v>-1.0253238859577676</v>
      </c>
      <c r="H908" s="14">
        <f t="shared" si="229"/>
        <v>8.6178214960878901</v>
      </c>
      <c r="I908" s="14">
        <f t="shared" si="230"/>
        <v>1.9716397164260402</v>
      </c>
      <c r="J908" s="14">
        <f t="shared" si="223"/>
        <v>-16.620582271181796</v>
      </c>
      <c r="K908" s="14">
        <f t="shared" si="231"/>
        <v>-83.23482384064728</v>
      </c>
      <c r="L908" s="14">
        <f t="shared" si="232"/>
        <v>16.737117977851238</v>
      </c>
      <c r="M908" s="14">
        <f t="shared" si="225"/>
        <v>17.306585567480067</v>
      </c>
      <c r="N908" s="14">
        <f t="shared" si="233"/>
        <v>-27.175944478682187</v>
      </c>
      <c r="O908" s="14">
        <f t="shared" si="224"/>
        <v>0</v>
      </c>
      <c r="P908" s="14">
        <f t="shared" si="234"/>
        <v>0</v>
      </c>
    </row>
    <row r="909" spans="1:16" x14ac:dyDescent="0.25">
      <c r="A909" s="14">
        <f t="shared" si="226"/>
        <v>4.4249999999999279</v>
      </c>
      <c r="B909" s="14">
        <f t="shared" si="219"/>
        <v>30.649363039231201</v>
      </c>
      <c r="C909" s="14">
        <f t="shared" si="220"/>
        <v>-29.912219845988872</v>
      </c>
      <c r="D909" s="14">
        <f t="shared" si="221"/>
        <v>0</v>
      </c>
      <c r="E909" s="14">
        <f t="shared" si="227"/>
        <v>0</v>
      </c>
      <c r="F909" s="14">
        <f t="shared" si="222"/>
        <v>-8.6840646643398447</v>
      </c>
      <c r="G909" s="14">
        <f t="shared" si="228"/>
        <v>-1.0229865628528338</v>
      </c>
      <c r="H909" s="14">
        <f t="shared" si="229"/>
        <v>8.6236000363339222</v>
      </c>
      <c r="I909" s="14">
        <f t="shared" si="230"/>
        <v>1.9665247836117761</v>
      </c>
      <c r="J909" s="14">
        <f t="shared" si="223"/>
        <v>-16.626464271000128</v>
      </c>
      <c r="K909" s="14">
        <f t="shared" si="231"/>
        <v>-83.254577565077923</v>
      </c>
      <c r="L909" s="14">
        <f t="shared" si="232"/>
        <v>16.74235747675348</v>
      </c>
      <c r="M909" s="14">
        <f t="shared" si="225"/>
        <v>17.306585567480067</v>
      </c>
      <c r="N909" s="14">
        <f t="shared" si="233"/>
        <v>-27.259076800037189</v>
      </c>
      <c r="O909" s="14">
        <f t="shared" si="224"/>
        <v>0</v>
      </c>
      <c r="P909" s="14">
        <f t="shared" si="234"/>
        <v>0</v>
      </c>
    </row>
    <row r="910" spans="1:16" x14ac:dyDescent="0.25">
      <c r="A910" s="14">
        <f t="shared" si="226"/>
        <v>4.4299999999999278</v>
      </c>
      <c r="B910" s="14">
        <f t="shared" si="219"/>
        <v>30.649363039231201</v>
      </c>
      <c r="C910" s="14">
        <f t="shared" si="220"/>
        <v>-30.054553964458918</v>
      </c>
      <c r="D910" s="14">
        <f t="shared" si="221"/>
        <v>0</v>
      </c>
      <c r="E910" s="14">
        <f t="shared" si="227"/>
        <v>0</v>
      </c>
      <c r="F910" s="14">
        <f t="shared" si="222"/>
        <v>-8.6895025502614978</v>
      </c>
      <c r="G910" s="14">
        <f t="shared" si="228"/>
        <v>-1.0206520883378332</v>
      </c>
      <c r="H910" s="14">
        <f t="shared" si="229"/>
        <v>8.6293524603861602</v>
      </c>
      <c r="I910" s="14">
        <f t="shared" si="230"/>
        <v>1.9614215231700869</v>
      </c>
      <c r="J910" s="14">
        <f t="shared" si="223"/>
        <v>-16.632317508698197</v>
      </c>
      <c r="K910" s="14">
        <f t="shared" si="231"/>
        <v>-83.274267745107338</v>
      </c>
      <c r="L910" s="14">
        <f t="shared" si="232"/>
        <v>16.747571767325059</v>
      </c>
      <c r="M910" s="14">
        <f t="shared" si="225"/>
        <v>17.306585567480067</v>
      </c>
      <c r="N910" s="14">
        <f t="shared" si="233"/>
        <v>-27.342238387580679</v>
      </c>
      <c r="O910" s="14">
        <f t="shared" si="224"/>
        <v>0</v>
      </c>
      <c r="P910" s="14">
        <f t="shared" si="234"/>
        <v>0</v>
      </c>
    </row>
    <row r="911" spans="1:16" x14ac:dyDescent="0.25">
      <c r="A911" s="14">
        <f t="shared" si="226"/>
        <v>4.4349999999999277</v>
      </c>
      <c r="B911" s="14">
        <f t="shared" si="219"/>
        <v>30.649363039231201</v>
      </c>
      <c r="C911" s="14">
        <f t="shared" si="220"/>
        <v>-30.197133082928957</v>
      </c>
      <c r="D911" s="14">
        <f t="shared" si="221"/>
        <v>0</v>
      </c>
      <c r="E911" s="14">
        <f t="shared" si="227"/>
        <v>0</v>
      </c>
      <c r="F911" s="14">
        <f t="shared" si="222"/>
        <v>-8.6949159631528055</v>
      </c>
      <c r="G911" s="14">
        <f t="shared" si="228"/>
        <v>-1.0183204794832781</v>
      </c>
      <c r="H911" s="14">
        <f t="shared" si="229"/>
        <v>8.6350788651496639</v>
      </c>
      <c r="I911" s="14">
        <f t="shared" si="230"/>
        <v>1.9563299207726705</v>
      </c>
      <c r="J911" s="14">
        <f t="shared" si="223"/>
        <v>-16.638142114372449</v>
      </c>
      <c r="K911" s="14">
        <f t="shared" si="231"/>
        <v>-83.293894631937093</v>
      </c>
      <c r="L911" s="14">
        <f t="shared" si="232"/>
        <v>16.752760959822847</v>
      </c>
      <c r="M911" s="14">
        <f t="shared" si="225"/>
        <v>17.306585567480067</v>
      </c>
      <c r="N911" s="14">
        <f t="shared" si="233"/>
        <v>-27.425429098152541</v>
      </c>
      <c r="O911" s="14">
        <f t="shared" si="224"/>
        <v>0</v>
      </c>
      <c r="P911" s="14">
        <f t="shared" si="234"/>
        <v>0</v>
      </c>
    </row>
    <row r="912" spans="1:16" x14ac:dyDescent="0.25">
      <c r="A912" s="14">
        <f t="shared" si="226"/>
        <v>4.4399999999999276</v>
      </c>
      <c r="B912" s="14">
        <f t="shared" si="219"/>
        <v>30.649363039231201</v>
      </c>
      <c r="C912" s="14">
        <f t="shared" si="220"/>
        <v>-30.339957201399002</v>
      </c>
      <c r="D912" s="14">
        <f t="shared" si="221"/>
        <v>0</v>
      </c>
      <c r="E912" s="14">
        <f t="shared" si="227"/>
        <v>0</v>
      </c>
      <c r="F912" s="14">
        <f t="shared" si="222"/>
        <v>-8.7003049930859007</v>
      </c>
      <c r="G912" s="14">
        <f t="shared" si="228"/>
        <v>-1.0159917531588656</v>
      </c>
      <c r="H912" s="14">
        <f t="shared" si="229"/>
        <v>8.6407793473869372</v>
      </c>
      <c r="I912" s="14">
        <f t="shared" si="230"/>
        <v>1.9512499620068762</v>
      </c>
      <c r="J912" s="14">
        <f t="shared" si="223"/>
        <v>-16.643938217635515</v>
      </c>
      <c r="K912" s="14">
        <f t="shared" si="231"/>
        <v>-83.313458475422507</v>
      </c>
      <c r="L912" s="14">
        <f t="shared" si="232"/>
        <v>16.757925164133535</v>
      </c>
      <c r="M912" s="14">
        <f t="shared" si="225"/>
        <v>17.306585567480067</v>
      </c>
      <c r="N912" s="14">
        <f t="shared" si="233"/>
        <v>-27.50864878924072</v>
      </c>
      <c r="O912" s="14">
        <f t="shared" si="224"/>
        <v>0</v>
      </c>
      <c r="P912" s="14">
        <f t="shared" si="234"/>
        <v>0</v>
      </c>
    </row>
    <row r="913" spans="1:16" x14ac:dyDescent="0.25">
      <c r="A913" s="14">
        <f t="shared" si="226"/>
        <v>4.4449999999999275</v>
      </c>
      <c r="B913" s="14">
        <f t="shared" si="219"/>
        <v>30.649363039231201</v>
      </c>
      <c r="C913" s="14">
        <f t="shared" si="220"/>
        <v>-30.483026319869026</v>
      </c>
      <c r="D913" s="14">
        <f t="shared" si="221"/>
        <v>0</v>
      </c>
      <c r="E913" s="14">
        <f t="shared" si="227"/>
        <v>0</v>
      </c>
      <c r="F913" s="14">
        <f t="shared" si="222"/>
        <v>-8.7056697300076991</v>
      </c>
      <c r="G913" s="14">
        <f t="shared" si="228"/>
        <v>-1.0136659260347192</v>
      </c>
      <c r="H913" s="14">
        <f t="shared" si="229"/>
        <v>8.6464540037155402</v>
      </c>
      <c r="I913" s="14">
        <f t="shared" si="230"/>
        <v>1.9461816323767025</v>
      </c>
      <c r="J913" s="14">
        <f t="shared" si="223"/>
        <v>-16.649705947616937</v>
      </c>
      <c r="K913" s="14">
        <f t="shared" si="231"/>
        <v>-83.33295952408217</v>
      </c>
      <c r="L913" s="14">
        <f t="shared" si="232"/>
        <v>16.763064489773676</v>
      </c>
      <c r="M913" s="14">
        <f t="shared" si="225"/>
        <v>17.306585567480067</v>
      </c>
      <c r="N913" s="14">
        <f t="shared" si="233"/>
        <v>-27.591897318978805</v>
      </c>
      <c r="O913" s="14">
        <f t="shared" si="224"/>
        <v>0</v>
      </c>
      <c r="P913" s="14">
        <f t="shared" si="234"/>
        <v>0</v>
      </c>
    </row>
    <row r="914" spans="1:16" x14ac:dyDescent="0.25">
      <c r="A914" s="14">
        <f t="shared" si="226"/>
        <v>4.4499999999999273</v>
      </c>
      <c r="B914" s="14">
        <f t="shared" si="219"/>
        <v>30.649363039231201</v>
      </c>
      <c r="C914" s="14">
        <f t="shared" si="220"/>
        <v>-30.626340438339071</v>
      </c>
      <c r="D914" s="14">
        <f t="shared" si="221"/>
        <v>0</v>
      </c>
      <c r="E914" s="14">
        <f t="shared" si="227"/>
        <v>0</v>
      </c>
      <c r="F914" s="14">
        <f t="shared" si="222"/>
        <v>-8.7110102637376468</v>
      </c>
      <c r="G914" s="14">
        <f t="shared" si="228"/>
        <v>-1.0113430145826543</v>
      </c>
      <c r="H914" s="14">
        <f t="shared" si="229"/>
        <v>8.6521029306058015</v>
      </c>
      <c r="I914" s="14">
        <f t="shared" si="230"/>
        <v>1.9411249173037892</v>
      </c>
      <c r="J914" s="14">
        <f t="shared" si="223"/>
        <v>-16.655445432963909</v>
      </c>
      <c r="K914" s="14">
        <f t="shared" si="231"/>
        <v>-83.352398025107433</v>
      </c>
      <c r="L914" s="14">
        <f t="shared" si="232"/>
        <v>16.768179045889749</v>
      </c>
      <c r="M914" s="14">
        <f t="shared" si="225"/>
        <v>17.306585567480067</v>
      </c>
      <c r="N914" s="14">
        <f t="shared" si="233"/>
        <v>-27.675174546143626</v>
      </c>
      <c r="O914" s="14">
        <f t="shared" si="224"/>
        <v>0</v>
      </c>
      <c r="P914" s="14">
        <f t="shared" si="234"/>
        <v>0</v>
      </c>
    </row>
    <row r="915" spans="1:16" x14ac:dyDescent="0.25">
      <c r="A915" s="14">
        <f t="shared" si="226"/>
        <v>4.4549999999999272</v>
      </c>
      <c r="B915" s="14">
        <f t="shared" si="219"/>
        <v>30.649363039231201</v>
      </c>
      <c r="C915" s="14">
        <f t="shared" si="220"/>
        <v>-30.769899556809122</v>
      </c>
      <c r="D915" s="14">
        <f t="shared" si="221"/>
        <v>0</v>
      </c>
      <c r="E915" s="14">
        <f t="shared" si="227"/>
        <v>0</v>
      </c>
      <c r="F915" s="14">
        <f t="shared" si="222"/>
        <v>-8.716326683965498</v>
      </c>
      <c r="G915" s="14">
        <f t="shared" si="228"/>
        <v>-1.009023035077425</v>
      </c>
      <c r="H915" s="14">
        <f t="shared" si="229"/>
        <v>8.6577262243785533</v>
      </c>
      <c r="I915" s="14">
        <f t="shared" si="230"/>
        <v>1.936079802128402</v>
      </c>
      <c r="J915" s="14">
        <f t="shared" si="223"/>
        <v>-16.661156801842015</v>
      </c>
      <c r="K915" s="14">
        <f t="shared" si="231"/>
        <v>-83.371774224371862</v>
      </c>
      <c r="L915" s="14">
        <f t="shared" si="232"/>
        <v>16.77326894125817</v>
      </c>
      <c r="M915" s="14">
        <f t="shared" si="225"/>
        <v>17.306585567480067</v>
      </c>
      <c r="N915" s="14">
        <f t="shared" si="233"/>
        <v>-27.758480330152835</v>
      </c>
      <c r="O915" s="14">
        <f t="shared" si="224"/>
        <v>0</v>
      </c>
      <c r="P915" s="14">
        <f t="shared" si="234"/>
        <v>0</v>
      </c>
    </row>
    <row r="916" spans="1:16" x14ac:dyDescent="0.25">
      <c r="A916" s="14">
        <f t="shared" si="226"/>
        <v>4.4599999999999271</v>
      </c>
      <c r="B916" s="14">
        <f t="shared" si="219"/>
        <v>30.649363039231201</v>
      </c>
      <c r="C916" s="14">
        <f t="shared" si="220"/>
        <v>-30.913703675279152</v>
      </c>
      <c r="D916" s="14">
        <f t="shared" si="221"/>
        <v>0</v>
      </c>
      <c r="E916" s="14">
        <f t="shared" si="227"/>
        <v>0</v>
      </c>
      <c r="F916" s="14">
        <f t="shared" si="222"/>
        <v>-8.7216190802490541</v>
      </c>
      <c r="G916" s="14">
        <f t="shared" si="228"/>
        <v>-1.0067060035979645</v>
      </c>
      <c r="H916" s="14">
        <f t="shared" si="229"/>
        <v>8.6633239812028364</v>
      </c>
      <c r="I916" s="14">
        <f t="shared" si="230"/>
        <v>1.9310462721104122</v>
      </c>
      <c r="J916" s="14">
        <f t="shared" si="223"/>
        <v>-16.666840181935999</v>
      </c>
      <c r="K916" s="14">
        <f t="shared" si="231"/>
        <v>-83.391088366440471</v>
      </c>
      <c r="L916" s="14">
        <f t="shared" si="232"/>
        <v>16.778334284285432</v>
      </c>
      <c r="M916" s="14">
        <f t="shared" si="225"/>
        <v>17.306585567480067</v>
      </c>
      <c r="N916" s="14">
        <f t="shared" si="233"/>
        <v>-27.841814531062514</v>
      </c>
      <c r="O916" s="14">
        <f t="shared" si="224"/>
        <v>0</v>
      </c>
      <c r="P916" s="14">
        <f t="shared" si="234"/>
        <v>0</v>
      </c>
    </row>
    <row r="917" spans="1:16" x14ac:dyDescent="0.25">
      <c r="A917" s="14">
        <f t="shared" si="226"/>
        <v>4.464999999999927</v>
      </c>
      <c r="B917" s="14">
        <f t="shared" si="219"/>
        <v>30.649363039231201</v>
      </c>
      <c r="C917" s="14">
        <f t="shared" si="220"/>
        <v>-31.057752793749188</v>
      </c>
      <c r="D917" s="14">
        <f t="shared" si="221"/>
        <v>0</v>
      </c>
      <c r="E917" s="14">
        <f t="shared" si="227"/>
        <v>0</v>
      </c>
      <c r="F917" s="14">
        <f t="shared" si="222"/>
        <v>-8.7268875420120651</v>
      </c>
      <c r="G917" s="14">
        <f t="shared" si="228"/>
        <v>-1.0043919360286433</v>
      </c>
      <c r="H917" s="14">
        <f t="shared" si="229"/>
        <v>8.6688962970937666</v>
      </c>
      <c r="I917" s="14">
        <f t="shared" si="230"/>
        <v>1.9260243124302689</v>
      </c>
      <c r="J917" s="14">
        <f t="shared" si="223"/>
        <v>-16.672495700450529</v>
      </c>
      <c r="K917" s="14">
        <f t="shared" si="231"/>
        <v>-83.410340694579148</v>
      </c>
      <c r="L917" s="14">
        <f t="shared" si="232"/>
        <v>16.78337518300815</v>
      </c>
      <c r="M917" s="14">
        <f t="shared" si="225"/>
        <v>17.306585567480067</v>
      </c>
      <c r="N917" s="14">
        <f t="shared" si="233"/>
        <v>-27.925177009564766</v>
      </c>
      <c r="O917" s="14">
        <f t="shared" si="224"/>
        <v>0</v>
      </c>
      <c r="P917" s="14">
        <f t="shared" si="234"/>
        <v>0</v>
      </c>
    </row>
    <row r="918" spans="1:16" x14ac:dyDescent="0.25">
      <c r="A918" s="14">
        <f t="shared" si="226"/>
        <v>4.4699999999999269</v>
      </c>
      <c r="B918" s="14">
        <f t="shared" si="219"/>
        <v>30.649363039231201</v>
      </c>
      <c r="C918" s="14">
        <f t="shared" si="220"/>
        <v>-31.202046912219245</v>
      </c>
      <c r="D918" s="14">
        <f t="shared" si="221"/>
        <v>0</v>
      </c>
      <c r="E918" s="14">
        <f t="shared" si="227"/>
        <v>0</v>
      </c>
      <c r="F918" s="14">
        <f t="shared" si="222"/>
        <v>-8.7321321585420293</v>
      </c>
      <c r="G918" s="14">
        <f t="shared" si="228"/>
        <v>-1.0020808480604884</v>
      </c>
      <c r="H918" s="14">
        <f t="shared" si="229"/>
        <v>8.674443267910295</v>
      </c>
      <c r="I918" s="14">
        <f t="shared" si="230"/>
        <v>1.9210139081899664</v>
      </c>
      <c r="J918" s="14">
        <f t="shared" si="223"/>
        <v>-16.678123484110976</v>
      </c>
      <c r="K918" s="14">
        <f t="shared" si="231"/>
        <v>-83.429531450763633</v>
      </c>
      <c r="L918" s="14">
        <f t="shared" si="232"/>
        <v>16.788391745093197</v>
      </c>
      <c r="M918" s="14">
        <f t="shared" si="225"/>
        <v>17.306585567480067</v>
      </c>
      <c r="N918" s="14">
        <f t="shared" si="233"/>
        <v>-28.008567626985322</v>
      </c>
      <c r="O918" s="14">
        <f t="shared" si="224"/>
        <v>0</v>
      </c>
      <c r="P918" s="14">
        <f t="shared" si="234"/>
        <v>0</v>
      </c>
    </row>
    <row r="919" spans="1:16" x14ac:dyDescent="0.25">
      <c r="A919" s="14">
        <f t="shared" si="226"/>
        <v>4.4749999999999268</v>
      </c>
      <c r="B919" s="14">
        <f t="shared" si="219"/>
        <v>30.649363039231201</v>
      </c>
      <c r="C919" s="14">
        <f t="shared" si="220"/>
        <v>-31.346586030689267</v>
      </c>
      <c r="D919" s="14">
        <f t="shared" si="221"/>
        <v>0</v>
      </c>
      <c r="E919" s="14">
        <f t="shared" si="227"/>
        <v>0</v>
      </c>
      <c r="F919" s="14">
        <f t="shared" si="222"/>
        <v>-8.7373530189881148</v>
      </c>
      <c r="G919" s="14">
        <f t="shared" si="228"/>
        <v>-0.99977275519243602</v>
      </c>
      <c r="H919" s="14">
        <f t="shared" si="229"/>
        <v>8.6799649893531043</v>
      </c>
      <c r="I919" s="14">
        <f t="shared" si="230"/>
        <v>1.9160150444140043</v>
      </c>
      <c r="J919" s="14">
        <f t="shared" si="223"/>
        <v>-16.683723659164212</v>
      </c>
      <c r="K919" s="14">
        <f t="shared" si="231"/>
        <v>-83.448660875688745</v>
      </c>
      <c r="L919" s="14">
        <f t="shared" si="232"/>
        <v>16.793384077837811</v>
      </c>
      <c r="M919" s="14">
        <f t="shared" si="225"/>
        <v>17.306585567480067</v>
      </c>
      <c r="N919" s="14">
        <f t="shared" si="233"/>
        <v>-28.091986245281142</v>
      </c>
      <c r="O919" s="14">
        <f t="shared" si="224"/>
        <v>0</v>
      </c>
      <c r="P919" s="14">
        <f t="shared" si="234"/>
        <v>0</v>
      </c>
    </row>
    <row r="920" spans="1:16" x14ac:dyDescent="0.25">
      <c r="A920" s="14">
        <f t="shared" si="226"/>
        <v>4.4799999999999267</v>
      </c>
      <c r="B920" s="14">
        <f t="shared" ref="B920:B983" si="235">IF(E920=0,B919,$B$19*A920)</f>
        <v>30.649363039231201</v>
      </c>
      <c r="C920" s="14">
        <f t="shared" si="220"/>
        <v>-31.491370149159309</v>
      </c>
      <c r="D920" s="14">
        <f t="shared" si="221"/>
        <v>0</v>
      </c>
      <c r="E920" s="14">
        <f t="shared" si="227"/>
        <v>0</v>
      </c>
      <c r="F920" s="14">
        <f t="shared" si="222"/>
        <v>-8.7425502123590704</v>
      </c>
      <c r="G920" s="14">
        <f t="shared" si="228"/>
        <v>-0.99746767273255488</v>
      </c>
      <c r="H920" s="14">
        <f t="shared" si="229"/>
        <v>8.6854615569624816</v>
      </c>
      <c r="I920" s="14">
        <f t="shared" si="230"/>
        <v>1.9110277060503416</v>
      </c>
      <c r="J920" s="14">
        <f t="shared" si="223"/>
        <v>-16.689296351379401</v>
      </c>
      <c r="K920" s="14">
        <f t="shared" si="231"/>
        <v>-83.467729208777314</v>
      </c>
      <c r="L920" s="14">
        <f t="shared" si="232"/>
        <v>16.798352288169749</v>
      </c>
      <c r="M920" s="14">
        <f t="shared" si="225"/>
        <v>17.306585567480067</v>
      </c>
      <c r="N920" s="14">
        <f t="shared" si="233"/>
        <v>-28.175432727038039</v>
      </c>
      <c r="O920" s="14">
        <f t="shared" si="224"/>
        <v>0</v>
      </c>
      <c r="P920" s="14">
        <f t="shared" si="234"/>
        <v>0</v>
      </c>
    </row>
    <row r="921" spans="1:16" x14ac:dyDescent="0.25">
      <c r="A921" s="14">
        <f t="shared" si="226"/>
        <v>4.4849999999999266</v>
      </c>
      <c r="B921" s="14">
        <f t="shared" si="235"/>
        <v>30.649363039231201</v>
      </c>
      <c r="C921" s="14">
        <f t="shared" ref="C921:C984" si="236">$B$20*A921+0.5*$B$16*A921^2+$B$17</f>
        <v>-31.636399267629358</v>
      </c>
      <c r="D921" s="14">
        <f t="shared" ref="D921:D984" si="237">IF(E921=1,C921,$B$18)</f>
        <v>0</v>
      </c>
      <c r="E921" s="14">
        <f t="shared" si="227"/>
        <v>0</v>
      </c>
      <c r="F921" s="14">
        <f t="shared" ref="F921:F984" si="238">-$E$13*L920^2</f>
        <v>-8.7477238275211917</v>
      </c>
      <c r="G921" s="14">
        <f t="shared" si="228"/>
        <v>-0.99516561579928264</v>
      </c>
      <c r="H921" s="14">
        <f t="shared" si="229"/>
        <v>8.6909330661162514</v>
      </c>
      <c r="I921" s="14">
        <f t="shared" si="230"/>
        <v>1.9060518779713451</v>
      </c>
      <c r="J921" s="14">
        <f t="shared" ref="J921:J984" si="239">J920+(H921+$B$16)*$A$22</f>
        <v>-16.694841686048818</v>
      </c>
      <c r="K921" s="14">
        <f t="shared" si="231"/>
        <v>-83.486736688189183</v>
      </c>
      <c r="L921" s="14">
        <f t="shared" si="232"/>
        <v>16.803296482647429</v>
      </c>
      <c r="M921" s="14">
        <f t="shared" si="225"/>
        <v>17.306585567480067</v>
      </c>
      <c r="N921" s="14">
        <f t="shared" si="233"/>
        <v>-28.258906935468282</v>
      </c>
      <c r="O921" s="14">
        <f t="shared" ref="O921:O984" si="240">IF(P921=1,N921,$B$18)</f>
        <v>0</v>
      </c>
      <c r="P921" s="14">
        <f t="shared" si="234"/>
        <v>0</v>
      </c>
    </row>
    <row r="922" spans="1:16" x14ac:dyDescent="0.25">
      <c r="A922" s="14">
        <f t="shared" si="226"/>
        <v>4.4899999999999265</v>
      </c>
      <c r="B922" s="14">
        <f t="shared" si="235"/>
        <v>30.649363039231201</v>
      </c>
      <c r="C922" s="14">
        <f t="shared" si="236"/>
        <v>-31.781673386099385</v>
      </c>
      <c r="D922" s="14">
        <f t="shared" si="237"/>
        <v>0</v>
      </c>
      <c r="E922" s="14">
        <f t="shared" si="227"/>
        <v>0</v>
      </c>
      <c r="F922" s="14">
        <f t="shared" si="238"/>
        <v>-8.7528739531962962</v>
      </c>
      <c r="G922" s="14">
        <f t="shared" si="228"/>
        <v>-0.99286659932264221</v>
      </c>
      <c r="H922" s="14">
        <f t="shared" si="229"/>
        <v>8.6963796120277337</v>
      </c>
      <c r="I922" s="14">
        <f t="shared" si="230"/>
        <v>1.901087544974732</v>
      </c>
      <c r="J922" s="14">
        <f t="shared" si="239"/>
        <v>-16.700359787988678</v>
      </c>
      <c r="K922" s="14">
        <f t="shared" si="231"/>
        <v>-83.505683550830028</v>
      </c>
      <c r="L922" s="14">
        <f t="shared" si="232"/>
        <v>16.808216767460113</v>
      </c>
      <c r="M922" s="14">
        <f t="shared" ref="M922:M985" si="241">IF(P922=0,M921,M921+I922*$A$22)</f>
        <v>17.306585567480067</v>
      </c>
      <c r="N922" s="14">
        <f t="shared" si="233"/>
        <v>-28.342408734408224</v>
      </c>
      <c r="O922" s="14">
        <f t="shared" si="240"/>
        <v>0</v>
      </c>
      <c r="P922" s="14">
        <f t="shared" si="234"/>
        <v>0</v>
      </c>
    </row>
    <row r="923" spans="1:16" x14ac:dyDescent="0.25">
      <c r="A923" s="14">
        <f t="shared" si="226"/>
        <v>4.4949999999999264</v>
      </c>
      <c r="B923" s="14">
        <f t="shared" si="235"/>
        <v>30.649363039231201</v>
      </c>
      <c r="C923" s="14">
        <f t="shared" si="236"/>
        <v>-31.927192504569433</v>
      </c>
      <c r="D923" s="14">
        <f t="shared" si="237"/>
        <v>0</v>
      </c>
      <c r="E923" s="14">
        <f t="shared" si="227"/>
        <v>0</v>
      </c>
      <c r="F923" s="14">
        <f t="shared" si="238"/>
        <v>-8.7580006779597461</v>
      </c>
      <c r="G923" s="14">
        <f t="shared" si="228"/>
        <v>-0.99057063804547052</v>
      </c>
      <c r="H923" s="14">
        <f t="shared" si="229"/>
        <v>8.7018012897437256</v>
      </c>
      <c r="I923" s="14">
        <f t="shared" si="230"/>
        <v>1.8961346917845046</v>
      </c>
      <c r="J923" s="14">
        <f t="shared" si="239"/>
        <v>-16.705850781539958</v>
      </c>
      <c r="K923" s="14">
        <f t="shared" si="231"/>
        <v>-83.524570032360188</v>
      </c>
      <c r="L923" s="14">
        <f t="shared" si="232"/>
        <v>16.813113248428081</v>
      </c>
      <c r="M923" s="14">
        <f t="shared" si="241"/>
        <v>17.306585567480067</v>
      </c>
      <c r="N923" s="14">
        <f t="shared" si="233"/>
        <v>-28.425937988315923</v>
      </c>
      <c r="O923" s="14">
        <f t="shared" si="240"/>
        <v>0</v>
      </c>
      <c r="P923" s="14">
        <f t="shared" si="234"/>
        <v>0</v>
      </c>
    </row>
    <row r="924" spans="1:16" x14ac:dyDescent="0.25">
      <c r="A924" s="14">
        <f t="shared" si="226"/>
        <v>4.4999999999999263</v>
      </c>
      <c r="B924" s="14">
        <f t="shared" si="235"/>
        <v>30.649363039231201</v>
      </c>
      <c r="C924" s="14">
        <f t="shared" si="236"/>
        <v>-32.072956623039474</v>
      </c>
      <c r="D924" s="14">
        <f t="shared" si="237"/>
        <v>0</v>
      </c>
      <c r="E924" s="14">
        <f t="shared" si="227"/>
        <v>0</v>
      </c>
      <c r="F924" s="14">
        <f t="shared" si="238"/>
        <v>-8.7631040902385049</v>
      </c>
      <c r="G924" s="14">
        <f t="shared" si="228"/>
        <v>-0.98827774652463063</v>
      </c>
      <c r="H924" s="14">
        <f t="shared" si="229"/>
        <v>8.7071981941425349</v>
      </c>
      <c r="I924" s="14">
        <f t="shared" si="230"/>
        <v>1.8911933030518815</v>
      </c>
      <c r="J924" s="14">
        <f t="shared" si="239"/>
        <v>-16.711314790569244</v>
      </c>
      <c r="K924" s="14">
        <f t="shared" si="231"/>
        <v>-83.543396367203314</v>
      </c>
      <c r="L924" s="14">
        <f t="shared" si="232"/>
        <v>16.817986031002839</v>
      </c>
      <c r="M924" s="14">
        <f t="shared" si="241"/>
        <v>17.306585567480067</v>
      </c>
      <c r="N924" s="14">
        <f t="shared" si="233"/>
        <v>-28.50949456226877</v>
      </c>
      <c r="O924" s="14">
        <f t="shared" si="240"/>
        <v>0</v>
      </c>
      <c r="P924" s="14">
        <f t="shared" si="234"/>
        <v>0</v>
      </c>
    </row>
    <row r="925" spans="1:16" x14ac:dyDescent="0.25">
      <c r="A925" s="14">
        <f t="shared" si="226"/>
        <v>4.5049999999999262</v>
      </c>
      <c r="B925" s="14">
        <f t="shared" si="235"/>
        <v>30.649363039231201</v>
      </c>
      <c r="C925" s="14">
        <f t="shared" si="236"/>
        <v>-32.218965741509507</v>
      </c>
      <c r="D925" s="14">
        <f t="shared" si="237"/>
        <v>0</v>
      </c>
      <c r="E925" s="14">
        <f t="shared" si="227"/>
        <v>0</v>
      </c>
      <c r="F925" s="14">
        <f t="shared" si="238"/>
        <v>-8.7681842783092048</v>
      </c>
      <c r="G925" s="14">
        <f t="shared" si="228"/>
        <v>-0.98598793913223193</v>
      </c>
      <c r="H925" s="14">
        <f t="shared" si="229"/>
        <v>8.7125704199320246</v>
      </c>
      <c r="I925" s="14">
        <f t="shared" si="230"/>
        <v>1.8862633633562202</v>
      </c>
      <c r="J925" s="14">
        <f t="shared" si="239"/>
        <v>-16.716751938469585</v>
      </c>
      <c r="K925" s="14">
        <f t="shared" si="231"/>
        <v>-83.562162788555099</v>
      </c>
      <c r="L925" s="14">
        <f t="shared" si="232"/>
        <v>16.822835220267319</v>
      </c>
      <c r="M925" s="14">
        <f t="shared" si="241"/>
        <v>17.306585567480067</v>
      </c>
      <c r="N925" s="14">
        <f t="shared" si="233"/>
        <v>-28.593078321961119</v>
      </c>
      <c r="O925" s="14">
        <f t="shared" si="240"/>
        <v>0</v>
      </c>
      <c r="P925" s="14">
        <f t="shared" si="234"/>
        <v>0</v>
      </c>
    </row>
    <row r="926" spans="1:16" x14ac:dyDescent="0.25">
      <c r="A926" s="14">
        <f t="shared" si="226"/>
        <v>4.5099999999999261</v>
      </c>
      <c r="B926" s="14">
        <f t="shared" si="235"/>
        <v>30.649363039231201</v>
      </c>
      <c r="C926" s="14">
        <f t="shared" si="236"/>
        <v>-32.365219859979533</v>
      </c>
      <c r="D926" s="14">
        <f t="shared" si="237"/>
        <v>0</v>
      </c>
      <c r="E926" s="14">
        <f t="shared" si="227"/>
        <v>0</v>
      </c>
      <c r="F926" s="14">
        <f t="shared" si="238"/>
        <v>-8.7732413302962637</v>
      </c>
      <c r="G926" s="14">
        <f t="shared" si="228"/>
        <v>-0.98370123005683452</v>
      </c>
      <c r="H926" s="14">
        <f t="shared" si="229"/>
        <v>8.717918061647703</v>
      </c>
      <c r="I926" s="14">
        <f t="shared" si="230"/>
        <v>1.8813448572059361</v>
      </c>
      <c r="J926" s="14">
        <f t="shared" si="239"/>
        <v>-16.722162348161348</v>
      </c>
      <c r="K926" s="14">
        <f t="shared" si="231"/>
        <v>-83.58086952839173</v>
      </c>
      <c r="L926" s="14">
        <f t="shared" si="232"/>
        <v>16.827660920936108</v>
      </c>
      <c r="M926" s="14">
        <f t="shared" si="241"/>
        <v>17.306585567480067</v>
      </c>
      <c r="N926" s="14">
        <f t="shared" si="233"/>
        <v>-28.676689133701927</v>
      </c>
      <c r="O926" s="14">
        <f t="shared" si="240"/>
        <v>0</v>
      </c>
      <c r="P926" s="14">
        <f t="shared" si="234"/>
        <v>0</v>
      </c>
    </row>
    <row r="927" spans="1:16" x14ac:dyDescent="0.25">
      <c r="A927" s="14">
        <f t="shared" si="226"/>
        <v>4.514999999999926</v>
      </c>
      <c r="B927" s="14">
        <f t="shared" si="235"/>
        <v>30.649363039231201</v>
      </c>
      <c r="C927" s="14">
        <f t="shared" si="236"/>
        <v>-32.511718978449593</v>
      </c>
      <c r="D927" s="14">
        <f t="shared" si="237"/>
        <v>0</v>
      </c>
      <c r="E927" s="14">
        <f t="shared" si="227"/>
        <v>0</v>
      </c>
      <c r="F927" s="14">
        <f t="shared" si="238"/>
        <v>-8.7782753341700079</v>
      </c>
      <c r="G927" s="14">
        <f t="shared" si="228"/>
        <v>-0.98141763330466047</v>
      </c>
      <c r="H927" s="14">
        <f t="shared" si="229"/>
        <v>8.7232412136508213</v>
      </c>
      <c r="I927" s="14">
        <f t="shared" si="230"/>
        <v>1.8764377690394127</v>
      </c>
      <c r="J927" s="14">
        <f t="shared" si="239"/>
        <v>-16.727546142093093</v>
      </c>
      <c r="K927" s="14">
        <f t="shared" si="231"/>
        <v>-83.599516817478488</v>
      </c>
      <c r="L927" s="14">
        <f t="shared" si="232"/>
        <v>16.8324632373557</v>
      </c>
      <c r="M927" s="14">
        <f t="shared" si="241"/>
        <v>17.306585567480067</v>
      </c>
      <c r="N927" s="14">
        <f t="shared" si="233"/>
        <v>-28.760326864412392</v>
      </c>
      <c r="O927" s="14">
        <f t="shared" si="240"/>
        <v>0</v>
      </c>
      <c r="P927" s="14">
        <f t="shared" si="234"/>
        <v>0</v>
      </c>
    </row>
    <row r="928" spans="1:16" x14ac:dyDescent="0.25">
      <c r="A928" s="14">
        <f t="shared" si="226"/>
        <v>4.5199999999999259</v>
      </c>
      <c r="B928" s="14">
        <f t="shared" si="235"/>
        <v>30.649363039231201</v>
      </c>
      <c r="C928" s="14">
        <f t="shared" si="236"/>
        <v>-32.658463096919633</v>
      </c>
      <c r="D928" s="14">
        <f t="shared" si="237"/>
        <v>0</v>
      </c>
      <c r="E928" s="14">
        <f t="shared" si="227"/>
        <v>0</v>
      </c>
      <c r="F928" s="14">
        <f t="shared" si="238"/>
        <v>-8.7832863777448651</v>
      </c>
      <c r="G928" s="14">
        <f t="shared" si="228"/>
        <v>-0.97913716270079121</v>
      </c>
      <c r="H928" s="14">
        <f t="shared" si="229"/>
        <v>8.7285399701265476</v>
      </c>
      <c r="I928" s="14">
        <f t="shared" si="230"/>
        <v>1.8715420832259089</v>
      </c>
      <c r="J928" s="14">
        <f t="shared" si="239"/>
        <v>-16.73290344224246</v>
      </c>
      <c r="K928" s="14">
        <f t="shared" si="231"/>
        <v>-83.618104885378116</v>
      </c>
      <c r="L928" s="14">
        <f t="shared" si="232"/>
        <v>16.837242273504742</v>
      </c>
      <c r="M928" s="14">
        <f t="shared" si="241"/>
        <v>17.306585567480067</v>
      </c>
      <c r="N928" s="14">
        <f t="shared" si="233"/>
        <v>-28.843991381623603</v>
      </c>
      <c r="O928" s="14">
        <f t="shared" si="240"/>
        <v>0</v>
      </c>
      <c r="P928" s="14">
        <f t="shared" si="234"/>
        <v>0</v>
      </c>
    </row>
    <row r="929" spans="1:16" x14ac:dyDescent="0.25">
      <c r="A929" s="14">
        <f t="shared" si="226"/>
        <v>4.5249999999999257</v>
      </c>
      <c r="B929" s="14">
        <f t="shared" si="235"/>
        <v>30.649363039231201</v>
      </c>
      <c r="C929" s="14">
        <f t="shared" si="236"/>
        <v>-32.805452215389678</v>
      </c>
      <c r="D929" s="14">
        <f t="shared" si="237"/>
        <v>0</v>
      </c>
      <c r="E929" s="14">
        <f t="shared" si="227"/>
        <v>0</v>
      </c>
      <c r="F929" s="14">
        <f t="shared" si="238"/>
        <v>-8.7882745486775491</v>
      </c>
      <c r="G929" s="14">
        <f t="shared" si="228"/>
        <v>-0.97685983189036685</v>
      </c>
      <c r="H929" s="14">
        <f t="shared" si="229"/>
        <v>8.7338144250821301</v>
      </c>
      <c r="I929" s="14">
        <f t="shared" si="230"/>
        <v>1.8666577840664571</v>
      </c>
      <c r="J929" s="14">
        <f t="shared" si="239"/>
        <v>-16.738234370117048</v>
      </c>
      <c r="K929" s="14">
        <f t="shared" si="231"/>
        <v>-83.636633960459193</v>
      </c>
      <c r="L929" s="14">
        <f t="shared" si="232"/>
        <v>16.841998132994302</v>
      </c>
      <c r="M929" s="14">
        <f t="shared" si="241"/>
        <v>17.306585567480067</v>
      </c>
      <c r="N929" s="14">
        <f t="shared" si="233"/>
        <v>-28.927682553474188</v>
      </c>
      <c r="O929" s="14">
        <f t="shared" si="240"/>
        <v>0</v>
      </c>
      <c r="P929" s="14">
        <f t="shared" si="234"/>
        <v>0</v>
      </c>
    </row>
    <row r="930" spans="1:16" x14ac:dyDescent="0.25">
      <c r="A930" s="14">
        <f t="shared" si="226"/>
        <v>4.5299999999999256</v>
      </c>
      <c r="B930" s="14">
        <f t="shared" si="235"/>
        <v>30.649363039231201</v>
      </c>
      <c r="C930" s="14">
        <f t="shared" si="236"/>
        <v>-32.952686333859702</v>
      </c>
      <c r="D930" s="14">
        <f t="shared" si="237"/>
        <v>0</v>
      </c>
      <c r="E930" s="14">
        <f t="shared" si="227"/>
        <v>0</v>
      </c>
      <c r="F930" s="14">
        <f t="shared" si="238"/>
        <v>-8.793239934465289</v>
      </c>
      <c r="G930" s="14">
        <f t="shared" si="228"/>
        <v>-0.97458565433978261</v>
      </c>
      <c r="H930" s="14">
        <f t="shared" si="229"/>
        <v>8.7390646723451031</v>
      </c>
      <c r="I930" s="14">
        <f t="shared" si="230"/>
        <v>1.8617848557947583</v>
      </c>
      <c r="J930" s="14">
        <f t="shared" si="239"/>
        <v>-16.743539046755323</v>
      </c>
      <c r="K930" s="14">
        <f t="shared" si="231"/>
        <v>-83.655104269904371</v>
      </c>
      <c r="L930" s="14">
        <f t="shared" si="232"/>
        <v>16.846730919068154</v>
      </c>
      <c r="M930" s="14">
        <f t="shared" si="241"/>
        <v>17.306585567480067</v>
      </c>
      <c r="N930" s="14">
        <f t="shared" si="233"/>
        <v>-29.011400248707965</v>
      </c>
      <c r="O930" s="14">
        <f t="shared" si="240"/>
        <v>0</v>
      </c>
      <c r="P930" s="14">
        <f t="shared" si="234"/>
        <v>0</v>
      </c>
    </row>
    <row r="931" spans="1:16" x14ac:dyDescent="0.25">
      <c r="A931" s="14">
        <f t="shared" si="226"/>
        <v>4.5349999999999255</v>
      </c>
      <c r="B931" s="14">
        <f t="shared" si="235"/>
        <v>30.649363039231201</v>
      </c>
      <c r="C931" s="14">
        <f t="shared" si="236"/>
        <v>-33.100165452329747</v>
      </c>
      <c r="D931" s="14">
        <f t="shared" si="237"/>
        <v>0</v>
      </c>
      <c r="E931" s="14">
        <f t="shared" si="227"/>
        <v>0</v>
      </c>
      <c r="F931" s="14">
        <f t="shared" si="238"/>
        <v>-8.7981826224440951</v>
      </c>
      <c r="G931" s="14">
        <f t="shared" si="228"/>
        <v>-0.97231464333788231</v>
      </c>
      <c r="H931" s="14">
        <f t="shared" si="229"/>
        <v>8.7442908055615352</v>
      </c>
      <c r="I931" s="14">
        <f t="shared" si="230"/>
        <v>1.8569232825780688</v>
      </c>
      <c r="J931" s="14">
        <f t="shared" si="239"/>
        <v>-16.748817592727516</v>
      </c>
      <c r="K931" s="14">
        <f t="shared" si="231"/>
        <v>-83.673516039718649</v>
      </c>
      <c r="L931" s="14">
        <f t="shared" si="232"/>
        <v>16.851440734603056</v>
      </c>
      <c r="M931" s="14">
        <f t="shared" si="241"/>
        <v>17.306585567480067</v>
      </c>
      <c r="N931" s="14">
        <f t="shared" si="233"/>
        <v>-29.095144336671602</v>
      </c>
      <c r="O931" s="14">
        <f t="shared" si="240"/>
        <v>0</v>
      </c>
      <c r="P931" s="14">
        <f t="shared" si="234"/>
        <v>0</v>
      </c>
    </row>
    <row r="932" spans="1:16" x14ac:dyDescent="0.25">
      <c r="A932" s="14">
        <f t="shared" si="226"/>
        <v>4.5399999999999254</v>
      </c>
      <c r="B932" s="14">
        <f t="shared" si="235"/>
        <v>30.649363039231201</v>
      </c>
      <c r="C932" s="14">
        <f t="shared" si="236"/>
        <v>-33.247889570799799</v>
      </c>
      <c r="D932" s="14">
        <f t="shared" si="237"/>
        <v>0</v>
      </c>
      <c r="E932" s="14">
        <f t="shared" si="227"/>
        <v>0</v>
      </c>
      <c r="F932" s="14">
        <f t="shared" si="238"/>
        <v>-8.803102699787015</v>
      </c>
      <c r="G932" s="14">
        <f t="shared" si="228"/>
        <v>-0.97004681199713483</v>
      </c>
      <c r="H932" s="14">
        <f t="shared" si="229"/>
        <v>8.7494929181942673</v>
      </c>
      <c r="I932" s="14">
        <f t="shared" si="230"/>
        <v>1.8520730485180832</v>
      </c>
      <c r="J932" s="14">
        <f t="shared" si="239"/>
        <v>-16.754070128136544</v>
      </c>
      <c r="K932" s="14">
        <f t="shared" si="231"/>
        <v>-83.69186949473746</v>
      </c>
      <c r="L932" s="14">
        <f t="shared" si="232"/>
        <v>16.85612768210909</v>
      </c>
      <c r="M932" s="14">
        <f t="shared" si="241"/>
        <v>17.306585567480067</v>
      </c>
      <c r="N932" s="14">
        <f t="shared" si="233"/>
        <v>-29.178914687312286</v>
      </c>
      <c r="O932" s="14">
        <f t="shared" si="240"/>
        <v>0</v>
      </c>
      <c r="P932" s="14">
        <f t="shared" si="234"/>
        <v>0</v>
      </c>
    </row>
    <row r="933" spans="1:16" x14ac:dyDescent="0.25">
      <c r="A933" s="14">
        <f t="shared" si="226"/>
        <v>4.5449999999999253</v>
      </c>
      <c r="B933" s="14">
        <f t="shared" si="235"/>
        <v>30.649363039231201</v>
      </c>
      <c r="C933" s="14">
        <f t="shared" si="236"/>
        <v>-33.395858689269829</v>
      </c>
      <c r="D933" s="14">
        <f t="shared" si="237"/>
        <v>0</v>
      </c>
      <c r="E933" s="14">
        <f t="shared" si="227"/>
        <v>0</v>
      </c>
      <c r="F933" s="14">
        <f t="shared" si="238"/>
        <v>-8.8080002535024953</v>
      </c>
      <c r="G933" s="14">
        <f t="shared" si="228"/>
        <v>-0.96778217325482896</v>
      </c>
      <c r="H933" s="14">
        <f t="shared" si="229"/>
        <v>8.754671103521261</v>
      </c>
      <c r="I933" s="14">
        <f t="shared" si="230"/>
        <v>1.8472341376518091</v>
      </c>
      <c r="J933" s="14">
        <f t="shared" si="239"/>
        <v>-16.759296772618939</v>
      </c>
      <c r="K933" s="14">
        <f t="shared" si="231"/>
        <v>-83.710164858634812</v>
      </c>
      <c r="L933" s="14">
        <f t="shared" si="232"/>
        <v>16.86079186372994</v>
      </c>
      <c r="M933" s="14">
        <f t="shared" si="241"/>
        <v>17.306585567480067</v>
      </c>
      <c r="N933" s="14">
        <f t="shared" si="233"/>
        <v>-29.262711171175379</v>
      </c>
      <c r="O933" s="14">
        <f t="shared" si="240"/>
        <v>0</v>
      </c>
      <c r="P933" s="14">
        <f t="shared" si="234"/>
        <v>0</v>
      </c>
    </row>
    <row r="934" spans="1:16" x14ac:dyDescent="0.25">
      <c r="A934" s="14">
        <f t="shared" si="226"/>
        <v>4.5499999999999252</v>
      </c>
      <c r="B934" s="14">
        <f t="shared" si="235"/>
        <v>30.649363039231201</v>
      </c>
      <c r="C934" s="14">
        <f t="shared" si="236"/>
        <v>-33.544072807739852</v>
      </c>
      <c r="D934" s="14">
        <f t="shared" si="237"/>
        <v>0</v>
      </c>
      <c r="E934" s="14">
        <f t="shared" si="227"/>
        <v>0</v>
      </c>
      <c r="F934" s="14">
        <f t="shared" si="238"/>
        <v>-8.812875370432673</v>
      </c>
      <c r="G934" s="14">
        <f t="shared" si="228"/>
        <v>-0.96552073987423825</v>
      </c>
      <c r="H934" s="14">
        <f t="shared" si="229"/>
        <v>8.759825454633873</v>
      </c>
      <c r="I934" s="14">
        <f t="shared" si="230"/>
        <v>1.8424065339524378</v>
      </c>
      <c r="J934" s="14">
        <f t="shared" si="239"/>
        <v>-16.76449764534577</v>
      </c>
      <c r="K934" s="14">
        <f t="shared" si="231"/>
        <v>-83.728402353931202</v>
      </c>
      <c r="L934" s="14">
        <f t="shared" si="232"/>
        <v>16.86543338124326</v>
      </c>
      <c r="M934" s="14">
        <f t="shared" si="241"/>
        <v>17.306585567480067</v>
      </c>
      <c r="N934" s="14">
        <f t="shared" si="233"/>
        <v>-29.346533659402109</v>
      </c>
      <c r="O934" s="14">
        <f t="shared" si="240"/>
        <v>0</v>
      </c>
      <c r="P934" s="14">
        <f t="shared" si="234"/>
        <v>0</v>
      </c>
    </row>
    <row r="935" spans="1:16" x14ac:dyDescent="0.25">
      <c r="A935" s="14">
        <f t="shared" si="226"/>
        <v>4.5549999999999251</v>
      </c>
      <c r="B935" s="14">
        <f t="shared" si="235"/>
        <v>30.649363039231201</v>
      </c>
      <c r="C935" s="14">
        <f t="shared" si="236"/>
        <v>-33.692531926209909</v>
      </c>
      <c r="D935" s="14">
        <f t="shared" si="237"/>
        <v>0</v>
      </c>
      <c r="E935" s="14">
        <f t="shared" si="227"/>
        <v>0</v>
      </c>
      <c r="F935" s="14">
        <f t="shared" si="238"/>
        <v>-8.8177281372517875</v>
      </c>
      <c r="G935" s="14">
        <f t="shared" si="228"/>
        <v>-0.96326252444580707</v>
      </c>
      <c r="H935" s="14">
        <f t="shared" si="229"/>
        <v>8.7649560644352444</v>
      </c>
      <c r="I935" s="14">
        <f t="shared" si="230"/>
        <v>1.8375902213302089</v>
      </c>
      <c r="J935" s="14">
        <f t="shared" si="239"/>
        <v>-16.769672865023594</v>
      </c>
      <c r="K935" s="14">
        <f t="shared" si="231"/>
        <v>-83.746582202001662</v>
      </c>
      <c r="L935" s="14">
        <f t="shared" si="232"/>
        <v>16.870052336060997</v>
      </c>
      <c r="M935" s="14">
        <f t="shared" si="241"/>
        <v>17.306585567480067</v>
      </c>
      <c r="N935" s="14">
        <f t="shared" si="233"/>
        <v>-29.430382023727226</v>
      </c>
      <c r="O935" s="14">
        <f t="shared" si="240"/>
        <v>0</v>
      </c>
      <c r="P935" s="14">
        <f t="shared" si="234"/>
        <v>0</v>
      </c>
    </row>
    <row r="936" spans="1:16" x14ac:dyDescent="0.25">
      <c r="A936" s="14">
        <f t="shared" si="226"/>
        <v>4.559999999999925</v>
      </c>
      <c r="B936" s="14">
        <f t="shared" si="235"/>
        <v>30.649363039231201</v>
      </c>
      <c r="C936" s="14">
        <f t="shared" si="236"/>
        <v>-33.841236044679945</v>
      </c>
      <c r="D936" s="14">
        <f t="shared" si="237"/>
        <v>0</v>
      </c>
      <c r="E936" s="14">
        <f t="shared" si="227"/>
        <v>0</v>
      </c>
      <c r="F936" s="14">
        <f t="shared" si="238"/>
        <v>-8.8225586404645515</v>
      </c>
      <c r="G936" s="14">
        <f t="shared" si="228"/>
        <v>-0.96100753938831063</v>
      </c>
      <c r="H936" s="14">
        <f t="shared" si="229"/>
        <v>8.770063025638672</v>
      </c>
      <c r="I936" s="14">
        <f t="shared" si="230"/>
        <v>1.8327851836332674</v>
      </c>
      <c r="J936" s="14">
        <f t="shared" si="239"/>
        <v>-16.774822549895401</v>
      </c>
      <c r="K936" s="14">
        <f t="shared" si="231"/>
        <v>-83.764704623083503</v>
      </c>
      <c r="L936" s="14">
        <f t="shared" si="232"/>
        <v>16.874648829229749</v>
      </c>
      <c r="M936" s="14">
        <f t="shared" si="241"/>
        <v>17.306585567480067</v>
      </c>
      <c r="N936" s="14">
        <f t="shared" si="233"/>
        <v>-29.514256136476703</v>
      </c>
      <c r="O936" s="14">
        <f t="shared" si="240"/>
        <v>0</v>
      </c>
      <c r="P936" s="14">
        <f t="shared" si="234"/>
        <v>0</v>
      </c>
    </row>
    <row r="937" spans="1:16" x14ac:dyDescent="0.25">
      <c r="A937" s="14">
        <f t="shared" si="226"/>
        <v>4.5649999999999249</v>
      </c>
      <c r="B937" s="14">
        <f t="shared" si="235"/>
        <v>30.649363039231201</v>
      </c>
      <c r="C937" s="14">
        <f t="shared" si="236"/>
        <v>-33.990185163149974</v>
      </c>
      <c r="D937" s="14">
        <f t="shared" si="237"/>
        <v>0</v>
      </c>
      <c r="E937" s="14">
        <f t="shared" si="227"/>
        <v>0</v>
      </c>
      <c r="F937" s="14">
        <f t="shared" si="238"/>
        <v>-8.827366966404572</v>
      </c>
      <c r="G937" s="14">
        <f t="shared" si="228"/>
        <v>-0.9587557969500291</v>
      </c>
      <c r="H937" s="14">
        <f t="shared" si="229"/>
        <v>8.7751464307660054</v>
      </c>
      <c r="I937" s="14">
        <f t="shared" si="230"/>
        <v>1.8279914046485173</v>
      </c>
      <c r="J937" s="14">
        <f t="shared" si="239"/>
        <v>-16.779946817741571</v>
      </c>
      <c r="K937" s="14">
        <f t="shared" si="231"/>
        <v>-83.78276983628426</v>
      </c>
      <c r="L937" s="14">
        <f t="shared" si="232"/>
        <v>16.879222961431143</v>
      </c>
      <c r="M937" s="14">
        <f t="shared" si="241"/>
        <v>17.306585567480067</v>
      </c>
      <c r="N937" s="14">
        <f t="shared" si="233"/>
        <v>-29.59815587056541</v>
      </c>
      <c r="O937" s="14">
        <f t="shared" si="240"/>
        <v>0</v>
      </c>
      <c r="P937" s="14">
        <f t="shared" si="234"/>
        <v>0</v>
      </c>
    </row>
    <row r="938" spans="1:16" x14ac:dyDescent="0.25">
      <c r="A938" s="14">
        <f t="shared" si="226"/>
        <v>4.5699999999999248</v>
      </c>
      <c r="B938" s="14">
        <f t="shared" si="235"/>
        <v>30.649363039231201</v>
      </c>
      <c r="C938" s="14">
        <f t="shared" si="236"/>
        <v>-34.139379281620023</v>
      </c>
      <c r="D938" s="14">
        <f t="shared" si="237"/>
        <v>0</v>
      </c>
      <c r="E938" s="14">
        <f t="shared" si="227"/>
        <v>0</v>
      </c>
      <c r="F938" s="14">
        <f t="shared" si="238"/>
        <v>-8.8321532012328348</v>
      </c>
      <c r="G938" s="14">
        <f t="shared" si="228"/>
        <v>-0.95650730920990223</v>
      </c>
      <c r="H938" s="14">
        <f t="shared" si="229"/>
        <v>8.780206372146127</v>
      </c>
      <c r="I938" s="14">
        <f t="shared" si="230"/>
        <v>1.8232088681024679</v>
      </c>
      <c r="J938" s="14">
        <f t="shared" si="239"/>
        <v>-16.78504578588084</v>
      </c>
      <c r="K938" s="14">
        <f t="shared" si="231"/>
        <v>-83.800778059589319</v>
      </c>
      <c r="L938" s="14">
        <f t="shared" si="232"/>
        <v>16.883774832982215</v>
      </c>
      <c r="M938" s="14">
        <f t="shared" si="241"/>
        <v>17.306585567480067</v>
      </c>
      <c r="N938" s="14">
        <f t="shared" si="233"/>
        <v>-29.682081099494816</v>
      </c>
      <c r="O938" s="14">
        <f t="shared" si="240"/>
        <v>0</v>
      </c>
      <c r="P938" s="14">
        <f t="shared" si="234"/>
        <v>0</v>
      </c>
    </row>
    <row r="939" spans="1:16" x14ac:dyDescent="0.25">
      <c r="A939" s="14">
        <f t="shared" si="226"/>
        <v>4.5749999999999247</v>
      </c>
      <c r="B939" s="14">
        <f t="shared" si="235"/>
        <v>30.649363039231201</v>
      </c>
      <c r="C939" s="14">
        <f t="shared" si="236"/>
        <v>-34.288818400090065</v>
      </c>
      <c r="D939" s="14">
        <f t="shared" si="237"/>
        <v>0</v>
      </c>
      <c r="E939" s="14">
        <f t="shared" si="227"/>
        <v>0</v>
      </c>
      <c r="F939" s="14">
        <f t="shared" si="238"/>
        <v>-8.8369174309361522</v>
      </c>
      <c r="G939" s="14">
        <f t="shared" si="228"/>
        <v>-0.95426208807869228</v>
      </c>
      <c r="H939" s="14">
        <f t="shared" si="229"/>
        <v>8.7852429419133813</v>
      </c>
      <c r="I939" s="14">
        <f t="shared" si="230"/>
        <v>1.8184375576620744</v>
      </c>
      <c r="J939" s="14">
        <f t="shared" si="239"/>
        <v>-16.790119571171275</v>
      </c>
      <c r="K939" s="14">
        <f t="shared" si="231"/>
        <v>-83.818729509869712</v>
      </c>
      <c r="L939" s="14">
        <f t="shared" si="232"/>
        <v>16.88830454383579</v>
      </c>
      <c r="M939" s="14">
        <f t="shared" si="241"/>
        <v>17.306585567480067</v>
      </c>
      <c r="N939" s="14">
        <f t="shared" si="233"/>
        <v>-29.766031697350673</v>
      </c>
      <c r="O939" s="14">
        <f t="shared" si="240"/>
        <v>0</v>
      </c>
      <c r="P939" s="14">
        <f t="shared" si="234"/>
        <v>0</v>
      </c>
    </row>
    <row r="940" spans="1:16" x14ac:dyDescent="0.25">
      <c r="A940" s="14">
        <f t="shared" si="226"/>
        <v>4.5799999999999246</v>
      </c>
      <c r="B940" s="14">
        <f t="shared" si="235"/>
        <v>30.649363039231201</v>
      </c>
      <c r="C940" s="14">
        <f t="shared" si="236"/>
        <v>-34.438502518560099</v>
      </c>
      <c r="D940" s="14">
        <f t="shared" si="237"/>
        <v>0</v>
      </c>
      <c r="E940" s="14">
        <f t="shared" si="227"/>
        <v>0</v>
      </c>
      <c r="F940" s="14">
        <f t="shared" si="238"/>
        <v>-8.8416597413256817</v>
      </c>
      <c r="G940" s="14">
        <f t="shared" si="228"/>
        <v>-0.95202014530012702</v>
      </c>
      <c r="H940" s="14">
        <f t="shared" si="229"/>
        <v>8.7902562320060973</v>
      </c>
      <c r="I940" s="14">
        <f t="shared" si="230"/>
        <v>1.8136774569355738</v>
      </c>
      <c r="J940" s="14">
        <f t="shared" si="239"/>
        <v>-16.795168290011244</v>
      </c>
      <c r="K940" s="14">
        <f t="shared" si="231"/>
        <v>-83.836624402889569</v>
      </c>
      <c r="L940" s="14">
        <f t="shared" si="232"/>
        <v>16.892812193580898</v>
      </c>
      <c r="M940" s="14">
        <f t="shared" si="241"/>
        <v>17.306585567480067</v>
      </c>
      <c r="N940" s="14">
        <f t="shared" si="233"/>
        <v>-29.850007538800728</v>
      </c>
      <c r="O940" s="14">
        <f t="shared" si="240"/>
        <v>0</v>
      </c>
      <c r="P940" s="14">
        <f t="shared" si="234"/>
        <v>0</v>
      </c>
    </row>
    <row r="941" spans="1:16" x14ac:dyDescent="0.25">
      <c r="A941" s="14">
        <f t="shared" si="226"/>
        <v>4.5849999999999245</v>
      </c>
      <c r="B941" s="14">
        <f t="shared" si="235"/>
        <v>30.649363039231201</v>
      </c>
      <c r="C941" s="14">
        <f t="shared" si="236"/>
        <v>-34.588431637030141</v>
      </c>
      <c r="D941" s="14">
        <f t="shared" si="237"/>
        <v>0</v>
      </c>
      <c r="E941" s="14">
        <f t="shared" si="227"/>
        <v>0</v>
      </c>
      <c r="F941" s="14">
        <f t="shared" si="238"/>
        <v>-8.8463802180354598</v>
      </c>
      <c r="G941" s="14">
        <f t="shared" si="228"/>
        <v>-0.949781492452065</v>
      </c>
      <c r="H941" s="14">
        <f t="shared" si="229"/>
        <v>8.7952463341650997</v>
      </c>
      <c r="I941" s="14">
        <f t="shared" si="230"/>
        <v>1.8089285494733134</v>
      </c>
      <c r="J941" s="14">
        <f t="shared" si="239"/>
        <v>-16.800192058340418</v>
      </c>
      <c r="K941" s="14">
        <f t="shared" si="231"/>
        <v>-83.854462953313842</v>
      </c>
      <c r="L941" s="14">
        <f t="shared" si="232"/>
        <v>16.897297881443176</v>
      </c>
      <c r="M941" s="14">
        <f t="shared" si="241"/>
        <v>17.306585567480067</v>
      </c>
      <c r="N941" s="14">
        <f t="shared" si="233"/>
        <v>-29.934008499092432</v>
      </c>
      <c r="O941" s="14">
        <f t="shared" si="240"/>
        <v>0</v>
      </c>
      <c r="P941" s="14">
        <f t="shared" si="234"/>
        <v>0</v>
      </c>
    </row>
    <row r="942" spans="1:16" x14ac:dyDescent="0.25">
      <c r="A942" s="14">
        <f t="shared" si="226"/>
        <v>4.5899999999999244</v>
      </c>
      <c r="B942" s="14">
        <f t="shared" si="235"/>
        <v>30.649363039231201</v>
      </c>
      <c r="C942" s="14">
        <f t="shared" si="236"/>
        <v>-34.738605755500174</v>
      </c>
      <c r="D942" s="14">
        <f t="shared" si="237"/>
        <v>0</v>
      </c>
      <c r="E942" s="14">
        <f t="shared" si="227"/>
        <v>0</v>
      </c>
      <c r="F942" s="14">
        <f t="shared" si="238"/>
        <v>-8.8510789465209445</v>
      </c>
      <c r="G942" s="14">
        <f t="shared" si="228"/>
        <v>-0.94754614094762124</v>
      </c>
      <c r="H942" s="14">
        <f t="shared" si="229"/>
        <v>8.8002133399322542</v>
      </c>
      <c r="I942" s="14">
        <f t="shared" si="230"/>
        <v>1.8041908187685753</v>
      </c>
      <c r="J942" s="14">
        <f t="shared" si="239"/>
        <v>-16.805190991640757</v>
      </c>
      <c r="K942" s="14">
        <f t="shared" si="231"/>
        <v>-83.872245374715675</v>
      </c>
      <c r="L942" s="14">
        <f t="shared" si="232"/>
        <v>16.90176170628531</v>
      </c>
      <c r="M942" s="14">
        <f t="shared" si="241"/>
        <v>17.306585567480067</v>
      </c>
      <c r="N942" s="14">
        <f t="shared" si="233"/>
        <v>-30.018034454050635</v>
      </c>
      <c r="O942" s="14">
        <f t="shared" si="240"/>
        <v>0</v>
      </c>
      <c r="P942" s="14">
        <f t="shared" si="234"/>
        <v>0</v>
      </c>
    </row>
    <row r="943" spans="1:16" x14ac:dyDescent="0.25">
      <c r="A943" s="14">
        <f t="shared" si="226"/>
        <v>4.5949999999999243</v>
      </c>
      <c r="B943" s="14">
        <f t="shared" si="235"/>
        <v>30.649363039231201</v>
      </c>
      <c r="C943" s="14">
        <f t="shared" si="236"/>
        <v>-34.889024873970229</v>
      </c>
      <c r="D943" s="14">
        <f t="shared" si="237"/>
        <v>0</v>
      </c>
      <c r="E943" s="14">
        <f t="shared" si="227"/>
        <v>0</v>
      </c>
      <c r="F943" s="14">
        <f t="shared" si="238"/>
        <v>-8.8557560120576273</v>
      </c>
      <c r="G943" s="14">
        <f t="shared" si="228"/>
        <v>-0.94531410203632171</v>
      </c>
      <c r="H943" s="14">
        <f t="shared" si="229"/>
        <v>8.8051573406490622</v>
      </c>
      <c r="I943" s="14">
        <f t="shared" si="230"/>
        <v>1.7994642482583938</v>
      </c>
      <c r="J943" s="14">
        <f t="shared" si="239"/>
        <v>-16.810165204937512</v>
      </c>
      <c r="K943" s="14">
        <f t="shared" si="231"/>
        <v>-83.889971879583868</v>
      </c>
      <c r="L943" s="14">
        <f t="shared" si="232"/>
        <v>16.906203766607451</v>
      </c>
      <c r="M943" s="14">
        <f t="shared" si="241"/>
        <v>17.306585567480067</v>
      </c>
      <c r="N943" s="14">
        <f t="shared" si="233"/>
        <v>-30.102085280075322</v>
      </c>
      <c r="O943" s="14">
        <f t="shared" si="240"/>
        <v>0</v>
      </c>
      <c r="P943" s="14">
        <f t="shared" si="234"/>
        <v>0</v>
      </c>
    </row>
    <row r="944" spans="1:16" x14ac:dyDescent="0.25">
      <c r="A944" s="14">
        <f t="shared" si="226"/>
        <v>4.5999999999999241</v>
      </c>
      <c r="B944" s="14">
        <f t="shared" si="235"/>
        <v>30.649363039231201</v>
      </c>
      <c r="C944" s="14">
        <f t="shared" si="236"/>
        <v>-35.039688992440276</v>
      </c>
      <c r="D944" s="14">
        <f t="shared" si="237"/>
        <v>0</v>
      </c>
      <c r="E944" s="14">
        <f t="shared" si="227"/>
        <v>0</v>
      </c>
      <c r="F944" s="14">
        <f t="shared" si="238"/>
        <v>-8.8604114997396106</v>
      </c>
      <c r="G944" s="14">
        <f t="shared" si="228"/>
        <v>-0.9430853868052258</v>
      </c>
      <c r="H944" s="14">
        <f t="shared" si="229"/>
        <v>8.8100784274552506</v>
      </c>
      <c r="I944" s="14">
        <f t="shared" si="230"/>
        <v>1.7947488213243676</v>
      </c>
      <c r="J944" s="14">
        <f t="shared" si="239"/>
        <v>-16.815114812800235</v>
      </c>
      <c r="K944" s="14">
        <f t="shared" si="231"/>
        <v>-83.907642679330252</v>
      </c>
      <c r="L944" s="14">
        <f t="shared" si="232"/>
        <v>16.910624160547687</v>
      </c>
      <c r="M944" s="14">
        <f t="shared" si="241"/>
        <v>17.306585567480067</v>
      </c>
      <c r="N944" s="14">
        <f t="shared" si="233"/>
        <v>-30.186160854139324</v>
      </c>
      <c r="O944" s="14">
        <f t="shared" si="240"/>
        <v>0</v>
      </c>
      <c r="P944" s="14">
        <f t="shared" si="234"/>
        <v>0</v>
      </c>
    </row>
    <row r="945" spans="1:16" x14ac:dyDescent="0.25">
      <c r="A945" s="14">
        <f t="shared" si="226"/>
        <v>4.604999999999924</v>
      </c>
      <c r="B945" s="14">
        <f t="shared" si="235"/>
        <v>30.649363039231201</v>
      </c>
      <c r="C945" s="14">
        <f t="shared" si="236"/>
        <v>-35.190598110910301</v>
      </c>
      <c r="D945" s="14">
        <f t="shared" si="237"/>
        <v>0</v>
      </c>
      <c r="E945" s="14">
        <f t="shared" si="227"/>
        <v>0</v>
      </c>
      <c r="F945" s="14">
        <f t="shared" si="238"/>
        <v>-8.8650454944782737</v>
      </c>
      <c r="G945" s="14">
        <f t="shared" si="228"/>
        <v>-0.94086000618007015</v>
      </c>
      <c r="H945" s="14">
        <f t="shared" si="229"/>
        <v>8.8149766912874128</v>
      </c>
      <c r="I945" s="14">
        <f t="shared" si="230"/>
        <v>1.7900445212934673</v>
      </c>
      <c r="J945" s="14">
        <f t="shared" si="239"/>
        <v>-16.8200399293438</v>
      </c>
      <c r="K945" s="14">
        <f t="shared" si="231"/>
        <v>-83.925257984296948</v>
      </c>
      <c r="L945" s="14">
        <f t="shared" si="232"/>
        <v>16.915022985882477</v>
      </c>
      <c r="M945" s="14">
        <f t="shared" si="241"/>
        <v>17.306585567480067</v>
      </c>
      <c r="N945" s="14">
        <f t="shared" si="233"/>
        <v>-30.270261053786044</v>
      </c>
      <c r="O945" s="14">
        <f t="shared" si="240"/>
        <v>0</v>
      </c>
      <c r="P945" s="14">
        <f t="shared" si="234"/>
        <v>0</v>
      </c>
    </row>
    <row r="946" spans="1:16" x14ac:dyDescent="0.25">
      <c r="A946" s="14">
        <f t="shared" si="226"/>
        <v>4.6099999999999239</v>
      </c>
      <c r="B946" s="14">
        <f t="shared" si="235"/>
        <v>30.649363039231201</v>
      </c>
      <c r="C946" s="14">
        <f t="shared" si="236"/>
        <v>-35.341752229380347</v>
      </c>
      <c r="D946" s="14">
        <f t="shared" si="237"/>
        <v>0</v>
      </c>
      <c r="E946" s="14">
        <f t="shared" si="227"/>
        <v>0</v>
      </c>
      <c r="F946" s="14">
        <f t="shared" si="238"/>
        <v>-8.8696580810009085</v>
      </c>
      <c r="G946" s="14">
        <f t="shared" si="228"/>
        <v>-0.93863797092639156</v>
      </c>
      <c r="H946" s="14">
        <f t="shared" si="229"/>
        <v>8.819852222877655</v>
      </c>
      <c r="I946" s="14">
        <f t="shared" si="230"/>
        <v>1.7853513314388354</v>
      </c>
      <c r="J946" s="14">
        <f t="shared" si="239"/>
        <v>-16.824940668229413</v>
      </c>
      <c r="K946" s="14">
        <f t="shared" si="231"/>
        <v>-83.942818003763676</v>
      </c>
      <c r="L946" s="14">
        <f t="shared" si="232"/>
        <v>16.919400340027138</v>
      </c>
      <c r="M946" s="14">
        <f t="shared" si="241"/>
        <v>17.306585567480067</v>
      </c>
      <c r="N946" s="14">
        <f t="shared" si="233"/>
        <v>-30.35438575712719</v>
      </c>
      <c r="O946" s="14">
        <f t="shared" si="240"/>
        <v>0</v>
      </c>
      <c r="P946" s="14">
        <f t="shared" si="234"/>
        <v>0</v>
      </c>
    </row>
    <row r="947" spans="1:16" x14ac:dyDescent="0.25">
      <c r="A947" s="14">
        <f t="shared" si="226"/>
        <v>4.6149999999999238</v>
      </c>
      <c r="B947" s="14">
        <f t="shared" si="235"/>
        <v>30.649363039231201</v>
      </c>
      <c r="C947" s="14">
        <f t="shared" si="236"/>
        <v>-35.493151347850372</v>
      </c>
      <c r="D947" s="14">
        <f t="shared" si="237"/>
        <v>0</v>
      </c>
      <c r="E947" s="14">
        <f t="shared" si="227"/>
        <v>0</v>
      </c>
      <c r="F947" s="14">
        <f t="shared" si="238"/>
        <v>-8.8742493438494243</v>
      </c>
      <c r="G947" s="14">
        <f t="shared" si="228"/>
        <v>-0.93641929165063886</v>
      </c>
      <c r="H947" s="14">
        <f t="shared" si="229"/>
        <v>8.8247051127522926</v>
      </c>
      <c r="I947" s="14">
        <f t="shared" si="230"/>
        <v>1.7806692349805822</v>
      </c>
      <c r="J947" s="14">
        <f t="shared" si="239"/>
        <v>-16.82981714266565</v>
      </c>
      <c r="K947" s="14">
        <f t="shared" si="231"/>
        <v>-83.9603229459549</v>
      </c>
      <c r="L947" s="14">
        <f t="shared" si="232"/>
        <v>16.923756320036311</v>
      </c>
      <c r="M947" s="14">
        <f t="shared" si="241"/>
        <v>17.306585567480067</v>
      </c>
      <c r="N947" s="14">
        <f t="shared" si="233"/>
        <v>-30.438534842840518</v>
      </c>
      <c r="O947" s="14">
        <f t="shared" si="240"/>
        <v>0</v>
      </c>
      <c r="P947" s="14">
        <f t="shared" si="234"/>
        <v>0</v>
      </c>
    </row>
    <row r="948" spans="1:16" x14ac:dyDescent="0.25">
      <c r="A948" s="14">
        <f t="shared" si="226"/>
        <v>4.6199999999999237</v>
      </c>
      <c r="B948" s="14">
        <f t="shared" si="235"/>
        <v>30.649363039231201</v>
      </c>
      <c r="C948" s="14">
        <f t="shared" si="236"/>
        <v>-35.644795466320417</v>
      </c>
      <c r="D948" s="14">
        <f t="shared" si="237"/>
        <v>0</v>
      </c>
      <c r="E948" s="14">
        <f t="shared" si="227"/>
        <v>0</v>
      </c>
      <c r="F948" s="14">
        <f t="shared" si="238"/>
        <v>-8.8788193673790392</v>
      </c>
      <c r="G948" s="14">
        <f t="shared" si="228"/>
        <v>-0.93420397880130257</v>
      </c>
      <c r="H948" s="14">
        <f t="shared" si="229"/>
        <v>8.8295354512305426</v>
      </c>
      <c r="I948" s="14">
        <f t="shared" si="230"/>
        <v>1.7759982150865756</v>
      </c>
      <c r="J948" s="14">
        <f t="shared" si="239"/>
        <v>-16.834669465409497</v>
      </c>
      <c r="K948" s="14">
        <f t="shared" si="231"/>
        <v>-83.977773018046932</v>
      </c>
      <c r="L948" s="14">
        <f t="shared" si="232"/>
        <v>16.928091022604455</v>
      </c>
      <c r="M948" s="14">
        <f t="shared" si="241"/>
        <v>17.306585567480067</v>
      </c>
      <c r="N948" s="14">
        <f t="shared" si="233"/>
        <v>-30.522708190167567</v>
      </c>
      <c r="O948" s="14">
        <f t="shared" si="240"/>
        <v>0</v>
      </c>
      <c r="P948" s="14">
        <f t="shared" si="234"/>
        <v>0</v>
      </c>
    </row>
    <row r="949" spans="1:16" x14ac:dyDescent="0.25">
      <c r="A949" s="14">
        <f t="shared" si="226"/>
        <v>4.6249999999999236</v>
      </c>
      <c r="B949" s="14">
        <f t="shared" si="235"/>
        <v>30.649363039231201</v>
      </c>
      <c r="C949" s="14">
        <f t="shared" si="236"/>
        <v>-35.796684584790455</v>
      </c>
      <c r="D949" s="14">
        <f t="shared" si="237"/>
        <v>0</v>
      </c>
      <c r="E949" s="14">
        <f t="shared" si="227"/>
        <v>0</v>
      </c>
      <c r="F949" s="14">
        <f t="shared" si="238"/>
        <v>-8.8833682357570289</v>
      </c>
      <c r="G949" s="14">
        <f t="shared" si="228"/>
        <v>-0.93199204267002644</v>
      </c>
      <c r="H949" s="14">
        <f t="shared" si="229"/>
        <v>8.8343433284232677</v>
      </c>
      <c r="I949" s="14">
        <f t="shared" si="230"/>
        <v>1.7713382548732255</v>
      </c>
      <c r="J949" s="14">
        <f t="shared" si="239"/>
        <v>-16.839497748767382</v>
      </c>
      <c r="K949" s="14">
        <f t="shared" si="231"/>
        <v>-83.995168426175013</v>
      </c>
      <c r="L949" s="14">
        <f t="shared" si="232"/>
        <v>16.932404544066358</v>
      </c>
      <c r="M949" s="14">
        <f t="shared" si="241"/>
        <v>17.306585567480067</v>
      </c>
      <c r="N949" s="14">
        <f t="shared" si="233"/>
        <v>-30.606905678911403</v>
      </c>
      <c r="O949" s="14">
        <f t="shared" si="240"/>
        <v>0</v>
      </c>
      <c r="P949" s="14">
        <f t="shared" si="234"/>
        <v>0</v>
      </c>
    </row>
    <row r="950" spans="1:16" x14ac:dyDescent="0.25">
      <c r="A950" s="14">
        <f t="shared" si="226"/>
        <v>4.6299999999999235</v>
      </c>
      <c r="B950" s="14">
        <f t="shared" si="235"/>
        <v>30.649363039231201</v>
      </c>
      <c r="C950" s="14">
        <f t="shared" si="236"/>
        <v>-35.948818703260486</v>
      </c>
      <c r="D950" s="14">
        <f t="shared" si="237"/>
        <v>0</v>
      </c>
      <c r="E950" s="14">
        <f t="shared" si="227"/>
        <v>0</v>
      </c>
      <c r="F950" s="14">
        <f t="shared" si="238"/>
        <v>-8.8878960329614909</v>
      </c>
      <c r="G950" s="14">
        <f t="shared" si="228"/>
        <v>-0.92978349339271227</v>
      </c>
      <c r="H950" s="14">
        <f t="shared" si="229"/>
        <v>8.8391288342317456</v>
      </c>
      <c r="I950" s="14">
        <f t="shared" si="230"/>
        <v>1.766689337406262</v>
      </c>
      <c r="J950" s="14">
        <f t="shared" si="239"/>
        <v>-16.844302104596224</v>
      </c>
      <c r="K950" s="14">
        <f t="shared" si="231"/>
        <v>-84.012509375440317</v>
      </c>
      <c r="L950" s="14">
        <f t="shared" si="232"/>
        <v>16.936696980397617</v>
      </c>
      <c r="M950" s="14">
        <f t="shared" si="241"/>
        <v>17.306585567480067</v>
      </c>
      <c r="N950" s="14">
        <f t="shared" si="233"/>
        <v>-30.691127189434383</v>
      </c>
      <c r="O950" s="14">
        <f t="shared" si="240"/>
        <v>0</v>
      </c>
      <c r="P950" s="14">
        <f t="shared" si="234"/>
        <v>0</v>
      </c>
    </row>
    <row r="951" spans="1:16" x14ac:dyDescent="0.25">
      <c r="A951" s="14">
        <f t="shared" si="226"/>
        <v>4.6349999999999234</v>
      </c>
      <c r="B951" s="14">
        <f t="shared" si="235"/>
        <v>30.649363039231201</v>
      </c>
      <c r="C951" s="14">
        <f t="shared" si="236"/>
        <v>-36.101197821730537</v>
      </c>
      <c r="D951" s="14">
        <f t="shared" si="237"/>
        <v>0</v>
      </c>
      <c r="E951" s="14">
        <f t="shared" si="227"/>
        <v>0</v>
      </c>
      <c r="F951" s="14">
        <f t="shared" si="238"/>
        <v>-8.8924028427801023</v>
      </c>
      <c r="G951" s="14">
        <f t="shared" si="228"/>
        <v>-0.92757834095062808</v>
      </c>
      <c r="H951" s="14">
        <f t="shared" si="229"/>
        <v>8.8438920583464231</v>
      </c>
      <c r="I951" s="14">
        <f t="shared" si="230"/>
        <v>1.7620514457015088</v>
      </c>
      <c r="J951" s="14">
        <f t="shared" si="239"/>
        <v>-16.849082644304492</v>
      </c>
      <c r="K951" s="14">
        <f t="shared" si="231"/>
        <v>-84.029796069916955</v>
      </c>
      <c r="L951" s="14">
        <f t="shared" si="232"/>
        <v>16.940968427215179</v>
      </c>
      <c r="M951" s="14">
        <f t="shared" si="241"/>
        <v>17.306585567480067</v>
      </c>
      <c r="N951" s="14">
        <f t="shared" si="233"/>
        <v>-30.775372602655906</v>
      </c>
      <c r="O951" s="14">
        <f t="shared" si="240"/>
        <v>0</v>
      </c>
      <c r="P951" s="14">
        <f t="shared" si="234"/>
        <v>0</v>
      </c>
    </row>
    <row r="952" spans="1:16" x14ac:dyDescent="0.25">
      <c r="A952" s="14">
        <f t="shared" si="226"/>
        <v>4.6399999999999233</v>
      </c>
      <c r="B952" s="14">
        <f t="shared" si="235"/>
        <v>30.649363039231201</v>
      </c>
      <c r="C952" s="14">
        <f t="shared" si="236"/>
        <v>-36.253821940200581</v>
      </c>
      <c r="D952" s="14">
        <f t="shared" si="237"/>
        <v>0</v>
      </c>
      <c r="E952" s="14">
        <f t="shared" si="227"/>
        <v>0</v>
      </c>
      <c r="F952" s="14">
        <f t="shared" si="238"/>
        <v>-8.8968887488089479</v>
      </c>
      <c r="G952" s="14">
        <f t="shared" si="228"/>
        <v>-0.92537659517150106</v>
      </c>
      <c r="H952" s="14">
        <f t="shared" si="229"/>
        <v>8.84863309024575</v>
      </c>
      <c r="I952" s="14">
        <f t="shared" si="230"/>
        <v>1.7574245627256513</v>
      </c>
      <c r="J952" s="14">
        <f t="shared" si="239"/>
        <v>-16.853839478853264</v>
      </c>
      <c r="K952" s="14">
        <f t="shared" si="231"/>
        <v>-84.047028712658772</v>
      </c>
      <c r="L952" s="14">
        <f t="shared" si="232"/>
        <v>16.945218979777874</v>
      </c>
      <c r="M952" s="14">
        <f t="shared" si="241"/>
        <v>17.306585567480067</v>
      </c>
      <c r="N952" s="14">
        <f t="shared" si="233"/>
        <v>-30.859641800050174</v>
      </c>
      <c r="O952" s="14">
        <f t="shared" si="240"/>
        <v>0</v>
      </c>
      <c r="P952" s="14">
        <f t="shared" si="234"/>
        <v>0</v>
      </c>
    </row>
    <row r="953" spans="1:16" x14ac:dyDescent="0.25">
      <c r="A953" s="14">
        <f t="shared" si="226"/>
        <v>4.6449999999999232</v>
      </c>
      <c r="B953" s="14">
        <f t="shared" si="235"/>
        <v>30.649363039231201</v>
      </c>
      <c r="C953" s="14">
        <f t="shared" si="236"/>
        <v>-36.406691058670617</v>
      </c>
      <c r="D953" s="14">
        <f t="shared" si="237"/>
        <v>0</v>
      </c>
      <c r="E953" s="14">
        <f t="shared" si="227"/>
        <v>0</v>
      </c>
      <c r="F953" s="14">
        <f t="shared" si="238"/>
        <v>-8.9013538344513528</v>
      </c>
      <c r="G953" s="14">
        <f t="shared" si="228"/>
        <v>-0.92317826573062189</v>
      </c>
      <c r="H953" s="14">
        <f t="shared" si="229"/>
        <v>8.8533520191950128</v>
      </c>
      <c r="I953" s="14">
        <f t="shared" si="230"/>
        <v>1.7528086713969981</v>
      </c>
      <c r="J953" s="14">
        <f t="shared" si="239"/>
        <v>-16.858572718757287</v>
      </c>
      <c r="K953" s="14">
        <f t="shared" si="231"/>
        <v>-84.064207505706236</v>
      </c>
      <c r="L953" s="14">
        <f t="shared" si="232"/>
        <v>16.949448732986923</v>
      </c>
      <c r="M953" s="14">
        <f t="shared" si="241"/>
        <v>17.306585567480067</v>
      </c>
      <c r="N953" s="14">
        <f t="shared" si="233"/>
        <v>-30.943934663643962</v>
      </c>
      <c r="O953" s="14">
        <f t="shared" si="240"/>
        <v>0</v>
      </c>
      <c r="P953" s="14">
        <f t="shared" si="234"/>
        <v>0</v>
      </c>
    </row>
    <row r="954" spans="1:16" x14ac:dyDescent="0.25">
      <c r="A954" s="14">
        <f t="shared" si="226"/>
        <v>4.6499999999999231</v>
      </c>
      <c r="B954" s="14">
        <f t="shared" si="235"/>
        <v>30.649363039231201</v>
      </c>
      <c r="C954" s="14">
        <f t="shared" si="236"/>
        <v>-36.559805177140646</v>
      </c>
      <c r="D954" s="14">
        <f t="shared" si="237"/>
        <v>0</v>
      </c>
      <c r="E954" s="14">
        <f t="shared" si="227"/>
        <v>0</v>
      </c>
      <c r="F954" s="14">
        <f t="shared" si="238"/>
        <v>-8.9057981829167119</v>
      </c>
      <c r="G954" s="14">
        <f t="shared" si="228"/>
        <v>-0.92098336215192722</v>
      </c>
      <c r="H954" s="14">
        <f t="shared" si="229"/>
        <v>8.8580489342451667</v>
      </c>
      <c r="I954" s="14">
        <f t="shared" si="230"/>
        <v>1.7482037545862386</v>
      </c>
      <c r="J954" s="14">
        <f t="shared" si="239"/>
        <v>-16.863282474086063</v>
      </c>
      <c r="K954" s="14">
        <f t="shared" si="231"/>
        <v>-84.081332650093216</v>
      </c>
      <c r="L954" s="14">
        <f t="shared" si="232"/>
        <v>16.953657781386518</v>
      </c>
      <c r="M954" s="14">
        <f t="shared" si="241"/>
        <v>17.306585567480067</v>
      </c>
      <c r="N954" s="14">
        <f t="shared" si="233"/>
        <v>-31.028251076014392</v>
      </c>
      <c r="O954" s="14">
        <f t="shared" si="240"/>
        <v>0</v>
      </c>
      <c r="P954" s="14">
        <f t="shared" si="234"/>
        <v>0</v>
      </c>
    </row>
    <row r="955" spans="1:16" x14ac:dyDescent="0.25">
      <c r="A955" s="14">
        <f t="shared" si="226"/>
        <v>4.654999999999923</v>
      </c>
      <c r="B955" s="14">
        <f t="shared" si="235"/>
        <v>30.649363039231201</v>
      </c>
      <c r="C955" s="14">
        <f t="shared" si="236"/>
        <v>-36.713164295610696</v>
      </c>
      <c r="D955" s="14">
        <f t="shared" si="237"/>
        <v>0</v>
      </c>
      <c r="E955" s="14">
        <f t="shared" si="227"/>
        <v>0</v>
      </c>
      <c r="F955" s="14">
        <f t="shared" si="238"/>
        <v>-8.9102218772193975</v>
      </c>
      <c r="G955" s="14">
        <f t="shared" si="228"/>
        <v>-0.91879189380909265</v>
      </c>
      <c r="H955" s="14">
        <f t="shared" si="229"/>
        <v>8.8627239242317515</v>
      </c>
      <c r="I955" s="14">
        <f t="shared" si="230"/>
        <v>1.7436097951171932</v>
      </c>
      <c r="J955" s="14">
        <f t="shared" si="239"/>
        <v>-16.867968854464905</v>
      </c>
      <c r="K955" s="14">
        <f t="shared" si="231"/>
        <v>-84.098404345853666</v>
      </c>
      <c r="L955" s="14">
        <f t="shared" si="232"/>
        <v>16.957846219164352</v>
      </c>
      <c r="M955" s="14">
        <f t="shared" si="241"/>
        <v>17.306585567480067</v>
      </c>
      <c r="N955" s="14">
        <f t="shared" si="233"/>
        <v>-31.112590920286717</v>
      </c>
      <c r="O955" s="14">
        <f t="shared" si="240"/>
        <v>0</v>
      </c>
      <c r="P955" s="14">
        <f t="shared" si="234"/>
        <v>0</v>
      </c>
    </row>
    <row r="956" spans="1:16" x14ac:dyDescent="0.25">
      <c r="A956" s="14">
        <f t="shared" si="226"/>
        <v>4.6599999999999229</v>
      </c>
      <c r="B956" s="14">
        <f t="shared" si="235"/>
        <v>30.649363039231201</v>
      </c>
      <c r="C956" s="14">
        <f t="shared" si="236"/>
        <v>-36.866768414080724</v>
      </c>
      <c r="D956" s="14">
        <f t="shared" si="237"/>
        <v>0</v>
      </c>
      <c r="E956" s="14">
        <f t="shared" si="227"/>
        <v>0</v>
      </c>
      <c r="F956" s="14">
        <f t="shared" si="238"/>
        <v>-8.9146250001776277</v>
      </c>
      <c r="G956" s="14">
        <f t="shared" si="228"/>
        <v>-0.91660386992660758</v>
      </c>
      <c r="H956" s="14">
        <f t="shared" si="229"/>
        <v>8.8673770777737619</v>
      </c>
      <c r="I956" s="14">
        <f t="shared" si="230"/>
        <v>1.7390267757675602</v>
      </c>
      <c r="J956" s="14">
        <f t="shared" si="239"/>
        <v>-16.872631969076036</v>
      </c>
      <c r="K956" s="14">
        <f t="shared" si="231"/>
        <v>-84.115422792028397</v>
      </c>
      <c r="L956" s="14">
        <f t="shared" si="232"/>
        <v>16.962014140152199</v>
      </c>
      <c r="M956" s="14">
        <f t="shared" si="241"/>
        <v>17.306585567480067</v>
      </c>
      <c r="N956" s="14">
        <f t="shared" si="233"/>
        <v>-31.196954080132098</v>
      </c>
      <c r="O956" s="14">
        <f t="shared" si="240"/>
        <v>0</v>
      </c>
      <c r="P956" s="14">
        <f t="shared" si="234"/>
        <v>0</v>
      </c>
    </row>
    <row r="957" spans="1:16" x14ac:dyDescent="0.25">
      <c r="A957" s="14">
        <f t="shared" si="226"/>
        <v>4.6649999999999228</v>
      </c>
      <c r="B957" s="14">
        <f t="shared" si="235"/>
        <v>30.649363039231201</v>
      </c>
      <c r="C957" s="14">
        <f t="shared" si="236"/>
        <v>-37.020617532550773</v>
      </c>
      <c r="D957" s="14">
        <f t="shared" si="237"/>
        <v>0</v>
      </c>
      <c r="E957" s="14">
        <f t="shared" si="227"/>
        <v>0</v>
      </c>
      <c r="F957" s="14">
        <f t="shared" si="238"/>
        <v>-8.9190076344124183</v>
      </c>
      <c r="G957" s="14">
        <f t="shared" si="228"/>
        <v>-0.91441929958085011</v>
      </c>
      <c r="H957" s="14">
        <f t="shared" si="229"/>
        <v>8.8720084832726052</v>
      </c>
      <c r="I957" s="14">
        <f t="shared" si="230"/>
        <v>1.7344546792696558</v>
      </c>
      <c r="J957" s="14">
        <f t="shared" si="239"/>
        <v>-16.877271926659674</v>
      </c>
      <c r="K957" s="14">
        <f t="shared" si="231"/>
        <v>-84.132388186671534</v>
      </c>
      <c r="L957" s="14">
        <f t="shared" si="232"/>
        <v>16.966161637826488</v>
      </c>
      <c r="M957" s="14">
        <f t="shared" si="241"/>
        <v>17.306585567480067</v>
      </c>
      <c r="N957" s="14">
        <f t="shared" si="233"/>
        <v>-31.281340439765398</v>
      </c>
      <c r="O957" s="14">
        <f t="shared" si="240"/>
        <v>0</v>
      </c>
      <c r="P957" s="14">
        <f t="shared" si="234"/>
        <v>0</v>
      </c>
    </row>
    <row r="958" spans="1:16" x14ac:dyDescent="0.25">
      <c r="A958" s="14">
        <f t="shared" si="226"/>
        <v>4.6699999999999227</v>
      </c>
      <c r="B958" s="14">
        <f t="shared" si="235"/>
        <v>30.649363039231201</v>
      </c>
      <c r="C958" s="14">
        <f t="shared" si="236"/>
        <v>-37.1747116510208</v>
      </c>
      <c r="D958" s="14">
        <f t="shared" si="237"/>
        <v>0</v>
      </c>
      <c r="E958" s="14">
        <f t="shared" si="227"/>
        <v>0</v>
      </c>
      <c r="F958" s="14">
        <f t="shared" si="238"/>
        <v>-8.9233698623465099</v>
      </c>
      <c r="G958" s="14">
        <f t="shared" si="228"/>
        <v>-0.91223819170117748</v>
      </c>
      <c r="H958" s="14">
        <f t="shared" si="229"/>
        <v>8.8766182289110382</v>
      </c>
      <c r="I958" s="14">
        <f t="shared" si="230"/>
        <v>1.7298934883111499</v>
      </c>
      <c r="J958" s="14">
        <f t="shared" si="239"/>
        <v>-16.88188883551512</v>
      </c>
      <c r="K958" s="14">
        <f t="shared" si="231"/>
        <v>-84.149300726857206</v>
      </c>
      <c r="L958" s="14">
        <f t="shared" si="232"/>
        <v>16.970288805308865</v>
      </c>
      <c r="M958" s="14">
        <f t="shared" si="241"/>
        <v>17.306585567480067</v>
      </c>
      <c r="N958" s="14">
        <f t="shared" si="233"/>
        <v>-31.365749883942975</v>
      </c>
      <c r="O958" s="14">
        <f t="shared" si="240"/>
        <v>0</v>
      </c>
      <c r="P958" s="14">
        <f t="shared" si="234"/>
        <v>0</v>
      </c>
    </row>
    <row r="959" spans="1:16" x14ac:dyDescent="0.25">
      <c r="A959" s="14">
        <f t="shared" si="226"/>
        <v>4.6749999999999226</v>
      </c>
      <c r="B959" s="14">
        <f t="shared" si="235"/>
        <v>30.649363039231201</v>
      </c>
      <c r="C959" s="14">
        <f t="shared" si="236"/>
        <v>-37.329050769490848</v>
      </c>
      <c r="D959" s="14">
        <f t="shared" si="237"/>
        <v>0</v>
      </c>
      <c r="E959" s="14">
        <f t="shared" si="227"/>
        <v>0</v>
      </c>
      <c r="F959" s="14">
        <f t="shared" si="238"/>
        <v>-8.9277117662033323</v>
      </c>
      <c r="G959" s="14">
        <f t="shared" si="228"/>
        <v>-0.91006055507096606</v>
      </c>
      <c r="H959" s="14">
        <f t="shared" si="229"/>
        <v>8.8812064026521398</v>
      </c>
      <c r="I959" s="14">
        <f t="shared" si="230"/>
        <v>1.725343185535795</v>
      </c>
      <c r="J959" s="14">
        <f t="shared" si="239"/>
        <v>-16.88648280350186</v>
      </c>
      <c r="K959" s="14">
        <f t="shared" si="231"/>
        <v>-84.166160608686013</v>
      </c>
      <c r="L959" s="14">
        <f t="shared" si="232"/>
        <v>16.974395735366809</v>
      </c>
      <c r="M959" s="14">
        <f t="shared" si="241"/>
        <v>17.306585567480067</v>
      </c>
      <c r="N959" s="14">
        <f t="shared" si="233"/>
        <v>-31.450182297960485</v>
      </c>
      <c r="O959" s="14">
        <f t="shared" si="240"/>
        <v>0</v>
      </c>
      <c r="P959" s="14">
        <f t="shared" si="234"/>
        <v>0</v>
      </c>
    </row>
    <row r="960" spans="1:16" x14ac:dyDescent="0.25">
      <c r="A960" s="14">
        <f t="shared" si="226"/>
        <v>4.6799999999999224</v>
      </c>
      <c r="B960" s="14">
        <f t="shared" si="235"/>
        <v>30.649363039231201</v>
      </c>
      <c r="C960" s="14">
        <f t="shared" si="236"/>
        <v>-37.483634887960903</v>
      </c>
      <c r="D960" s="14">
        <f t="shared" si="237"/>
        <v>0</v>
      </c>
      <c r="E960" s="14">
        <f t="shared" si="227"/>
        <v>0</v>
      </c>
      <c r="F960" s="14">
        <f t="shared" si="238"/>
        <v>-8.9320334280060063</v>
      </c>
      <c r="G960" s="14">
        <f t="shared" si="228"/>
        <v>-0.90788639832869344</v>
      </c>
      <c r="H960" s="14">
        <f t="shared" si="229"/>
        <v>8.8857730922383151</v>
      </c>
      <c r="I960" s="14">
        <f t="shared" si="230"/>
        <v>1.7208037535441516</v>
      </c>
      <c r="J960" s="14">
        <f t="shared" si="239"/>
        <v>-16.891053938040667</v>
      </c>
      <c r="K960" s="14">
        <f t="shared" si="231"/>
        <v>-84.182968027291466</v>
      </c>
      <c r="L960" s="14">
        <f t="shared" si="232"/>
        <v>16.978482520414207</v>
      </c>
      <c r="M960" s="14">
        <f t="shared" si="241"/>
        <v>17.306585567480067</v>
      </c>
      <c r="N960" s="14">
        <f t="shared" si="233"/>
        <v>-31.534637567650687</v>
      </c>
      <c r="O960" s="14">
        <f t="shared" si="240"/>
        <v>0</v>
      </c>
      <c r="P960" s="14">
        <f t="shared" si="234"/>
        <v>0</v>
      </c>
    </row>
    <row r="961" spans="1:16" x14ac:dyDescent="0.25">
      <c r="A961" s="14">
        <f t="shared" ref="A961:A1024" si="242">A960+$A$22</f>
        <v>4.6849999999999223</v>
      </c>
      <c r="B961" s="14">
        <f t="shared" si="235"/>
        <v>30.649363039231201</v>
      </c>
      <c r="C961" s="14">
        <f t="shared" si="236"/>
        <v>-37.638464006430937</v>
      </c>
      <c r="D961" s="14">
        <f t="shared" si="237"/>
        <v>0</v>
      </c>
      <c r="E961" s="14">
        <f t="shared" ref="E961:E1023" si="243">IF(AND(C962-C961&lt;0,C961&lt;$B$18),0,1)</f>
        <v>0</v>
      </c>
      <c r="F961" s="14">
        <f t="shared" si="238"/>
        <v>-8.9363349295763346</v>
      </c>
      <c r="G961" s="14">
        <f t="shared" ref="G961:G1024" si="244">$F961*COS(PI()/180*$K960)</f>
        <v>-0.90571572996898742</v>
      </c>
      <c r="H961" s="14">
        <f t="shared" ref="H961:H1024" si="245">$F961*SIN(PI()/180*$K960)</f>
        <v>8.8903183851903087</v>
      </c>
      <c r="I961" s="14">
        <f t="shared" ref="I961:I1024" si="246">I960+G961*$A$22</f>
        <v>1.7162751748943066</v>
      </c>
      <c r="J961" s="14">
        <f t="shared" si="239"/>
        <v>-16.895602346114714</v>
      </c>
      <c r="K961" s="14">
        <f t="shared" ref="K961:K1024" si="247">180/PI()*ATAN(J961/I961)</f>
        <v>-84.199723176846362</v>
      </c>
      <c r="L961" s="14">
        <f t="shared" ref="L961:L1024" si="248">SQRT(I961^2+J961^2)</f>
        <v>16.982549252511991</v>
      </c>
      <c r="M961" s="14">
        <f t="shared" si="241"/>
        <v>17.306585567480067</v>
      </c>
      <c r="N961" s="14">
        <f t="shared" ref="N961:N1024" si="249">N960+J961*$A$22</f>
        <v>-31.619115579381262</v>
      </c>
      <c r="O961" s="14">
        <f t="shared" si="240"/>
        <v>0</v>
      </c>
      <c r="P961" s="14">
        <f t="shared" ref="P961:P1023" si="250">IF(AND(N962-N961&lt;0,N961&lt;$B$18),0,1)</f>
        <v>0</v>
      </c>
    </row>
    <row r="962" spans="1:16" x14ac:dyDescent="0.25">
      <c r="A962" s="14">
        <f t="shared" si="242"/>
        <v>4.6899999999999222</v>
      </c>
      <c r="B962" s="14">
        <f t="shared" si="235"/>
        <v>30.649363039231201</v>
      </c>
      <c r="C962" s="14">
        <f t="shared" si="236"/>
        <v>-37.793538124900962</v>
      </c>
      <c r="D962" s="14">
        <f t="shared" si="237"/>
        <v>0</v>
      </c>
      <c r="E962" s="14">
        <f t="shared" si="243"/>
        <v>0</v>
      </c>
      <c r="F962" s="14">
        <f t="shared" si="238"/>
        <v>-8.9406163525338638</v>
      </c>
      <c r="G962" s="14">
        <f t="shared" si="244"/>
        <v>-0.90354855834369241</v>
      </c>
      <c r="H962" s="14">
        <f t="shared" si="245"/>
        <v>8.8948423688062608</v>
      </c>
      <c r="I962" s="14">
        <f t="shared" si="246"/>
        <v>1.7117574321025881</v>
      </c>
      <c r="J962" s="14">
        <f t="shared" si="239"/>
        <v>-16.900128134270684</v>
      </c>
      <c r="K962" s="14">
        <f t="shared" si="247"/>
        <v>-84.216426250569214</v>
      </c>
      <c r="L962" s="14">
        <f t="shared" si="248"/>
        <v>16.986596023368719</v>
      </c>
      <c r="M962" s="14">
        <f t="shared" si="241"/>
        <v>17.306585567480067</v>
      </c>
      <c r="N962" s="14">
        <f t="shared" si="249"/>
        <v>-31.703616220052616</v>
      </c>
      <c r="O962" s="14">
        <f t="shared" si="240"/>
        <v>0</v>
      </c>
      <c r="P962" s="14">
        <f t="shared" si="250"/>
        <v>0</v>
      </c>
    </row>
    <row r="963" spans="1:16" x14ac:dyDescent="0.25">
      <c r="A963" s="14">
        <f t="shared" si="242"/>
        <v>4.6949999999999221</v>
      </c>
      <c r="B963" s="14">
        <f t="shared" si="235"/>
        <v>30.649363039231201</v>
      </c>
      <c r="C963" s="14">
        <f t="shared" si="236"/>
        <v>-37.948857243371009</v>
      </c>
      <c r="D963" s="14">
        <f t="shared" si="237"/>
        <v>0</v>
      </c>
      <c r="E963" s="14">
        <f t="shared" si="243"/>
        <v>0</v>
      </c>
      <c r="F963" s="14">
        <f t="shared" si="238"/>
        <v>-8.9448777782949058</v>
      </c>
      <c r="G963" s="14">
        <f t="shared" si="244"/>
        <v>-0.90138489166289526</v>
      </c>
      <c r="H963" s="14">
        <f t="shared" si="245"/>
        <v>8.8993451301607518</v>
      </c>
      <c r="I963" s="14">
        <f t="shared" si="246"/>
        <v>1.7072505076442737</v>
      </c>
      <c r="J963" s="14">
        <f t="shared" si="239"/>
        <v>-16.904631408619881</v>
      </c>
      <c r="K963" s="14">
        <f t="shared" si="247"/>
        <v>-84.233077440730469</v>
      </c>
      <c r="L963" s="14">
        <f t="shared" si="248"/>
        <v>16.990622924341221</v>
      </c>
      <c r="M963" s="14">
        <f t="shared" si="241"/>
        <v>17.306585567480067</v>
      </c>
      <c r="N963" s="14">
        <f t="shared" si="249"/>
        <v>-31.788139377095717</v>
      </c>
      <c r="O963" s="14">
        <f t="shared" si="240"/>
        <v>0</v>
      </c>
      <c r="P963" s="14">
        <f t="shared" si="250"/>
        <v>0</v>
      </c>
    </row>
    <row r="964" spans="1:16" x14ac:dyDescent="0.25">
      <c r="A964" s="14">
        <f t="shared" si="242"/>
        <v>4.699999999999922</v>
      </c>
      <c r="B964" s="14">
        <f t="shared" si="235"/>
        <v>30.649363039231201</v>
      </c>
      <c r="C964" s="14">
        <f t="shared" si="236"/>
        <v>-38.104421361841048</v>
      </c>
      <c r="D964" s="14">
        <f t="shared" si="237"/>
        <v>0</v>
      </c>
      <c r="E964" s="14">
        <f t="shared" si="243"/>
        <v>0</v>
      </c>
      <c r="F964" s="14">
        <f t="shared" si="238"/>
        <v>-8.9491192880716319</v>
      </c>
      <c r="G964" s="14">
        <f t="shared" si="244"/>
        <v>-0.89922473799599334</v>
      </c>
      <c r="H964" s="14">
        <f t="shared" si="245"/>
        <v>8.9038267561039017</v>
      </c>
      <c r="I964" s="14">
        <f t="shared" si="246"/>
        <v>1.7027543839542938</v>
      </c>
      <c r="J964" s="14">
        <f t="shared" si="239"/>
        <v>-16.909112274839362</v>
      </c>
      <c r="K964" s="14">
        <f t="shared" si="247"/>
        <v>-84.249676938658808</v>
      </c>
      <c r="L964" s="14">
        <f t="shared" si="248"/>
        <v>16.994630046435219</v>
      </c>
      <c r="M964" s="14">
        <f t="shared" si="241"/>
        <v>17.306585567480067</v>
      </c>
      <c r="N964" s="14">
        <f t="shared" si="249"/>
        <v>-31.872684938469913</v>
      </c>
      <c r="O964" s="14">
        <f t="shared" si="240"/>
        <v>0</v>
      </c>
      <c r="P964" s="14">
        <f t="shared" si="250"/>
        <v>0</v>
      </c>
    </row>
    <row r="965" spans="1:16" x14ac:dyDescent="0.25">
      <c r="A965" s="14">
        <f t="shared" si="242"/>
        <v>4.7049999999999219</v>
      </c>
      <c r="B965" s="14">
        <f t="shared" si="235"/>
        <v>30.649363039231201</v>
      </c>
      <c r="C965" s="14">
        <f t="shared" si="236"/>
        <v>-38.26023048031108</v>
      </c>
      <c r="D965" s="14">
        <f t="shared" si="237"/>
        <v>0</v>
      </c>
      <c r="E965" s="14">
        <f t="shared" si="243"/>
        <v>0</v>
      </c>
      <c r="F965" s="14">
        <f t="shared" si="238"/>
        <v>-8.9533409628711595</v>
      </c>
      <c r="G965" s="14">
        <f t="shared" si="244"/>
        <v>-0.89706810527271674</v>
      </c>
      <c r="H965" s="14">
        <f t="shared" si="245"/>
        <v>8.9082873332604784</v>
      </c>
      <c r="I965" s="14">
        <f t="shared" si="246"/>
        <v>1.6982690434279302</v>
      </c>
      <c r="J965" s="14">
        <f t="shared" si="239"/>
        <v>-16.913570838173062</v>
      </c>
      <c r="K965" s="14">
        <f t="shared" si="247"/>
        <v>-84.266224934747314</v>
      </c>
      <c r="L965" s="14">
        <f t="shared" si="248"/>
        <v>16.998617480305974</v>
      </c>
      <c r="M965" s="14">
        <f t="shared" si="241"/>
        <v>17.306585567480067</v>
      </c>
      <c r="N965" s="14">
        <f t="shared" si="249"/>
        <v>-31.957252792660778</v>
      </c>
      <c r="O965" s="14">
        <f t="shared" si="240"/>
        <v>0</v>
      </c>
      <c r="P965" s="14">
        <f t="shared" si="250"/>
        <v>0</v>
      </c>
    </row>
    <row r="966" spans="1:16" x14ac:dyDescent="0.25">
      <c r="A966" s="14">
        <f t="shared" si="242"/>
        <v>4.7099999999999218</v>
      </c>
      <c r="B966" s="14">
        <f t="shared" si="235"/>
        <v>30.649363039231201</v>
      </c>
      <c r="C966" s="14">
        <f t="shared" si="236"/>
        <v>-38.416284598781118</v>
      </c>
      <c r="D966" s="14">
        <f t="shared" si="237"/>
        <v>0</v>
      </c>
      <c r="E966" s="14">
        <f t="shared" si="243"/>
        <v>0</v>
      </c>
      <c r="F966" s="14">
        <f t="shared" si="238"/>
        <v>-8.9575428834946784</v>
      </c>
      <c r="G966" s="14">
        <f t="shared" si="244"/>
        <v>-0.89491500128417156</v>
      </c>
      <c r="H966" s="14">
        <f t="shared" si="245"/>
        <v>8.9127269480290217</v>
      </c>
      <c r="I966" s="14">
        <f t="shared" si="246"/>
        <v>1.6937944684215094</v>
      </c>
      <c r="J966" s="14">
        <f t="shared" si="239"/>
        <v>-16.918007203432918</v>
      </c>
      <c r="K966" s="14">
        <f t="shared" si="247"/>
        <v>-84.282721618459604</v>
      </c>
      <c r="L966" s="14">
        <f t="shared" si="248"/>
        <v>17.002585316258919</v>
      </c>
      <c r="M966" s="14">
        <f t="shared" si="241"/>
        <v>17.306585567480067</v>
      </c>
      <c r="N966" s="14">
        <f t="shared" si="249"/>
        <v>-32.041842828677943</v>
      </c>
      <c r="O966" s="14">
        <f t="shared" si="240"/>
        <v>0</v>
      </c>
      <c r="P966" s="14">
        <f t="shared" si="250"/>
        <v>0</v>
      </c>
    </row>
    <row r="967" spans="1:16" x14ac:dyDescent="0.25">
      <c r="A967" s="14">
        <f t="shared" si="242"/>
        <v>4.7149999999999217</v>
      </c>
      <c r="B967" s="14">
        <f t="shared" si="235"/>
        <v>30.649363039231201</v>
      </c>
      <c r="C967" s="14">
        <f t="shared" si="236"/>
        <v>-38.572583717251163</v>
      </c>
      <c r="D967" s="14">
        <f t="shared" si="237"/>
        <v>0</v>
      </c>
      <c r="E967" s="14">
        <f t="shared" si="243"/>
        <v>0</v>
      </c>
      <c r="F967" s="14">
        <f t="shared" si="238"/>
        <v>-8.9617251305365659</v>
      </c>
      <c r="G967" s="14">
        <f t="shared" si="244"/>
        <v>-0.89276543368386896</v>
      </c>
      <c r="H967" s="14">
        <f t="shared" si="245"/>
        <v>8.9171456865809855</v>
      </c>
      <c r="I967" s="14">
        <f t="shared" si="246"/>
        <v>1.68933064125309</v>
      </c>
      <c r="J967" s="14">
        <f t="shared" si="239"/>
        <v>-16.922421475000014</v>
      </c>
      <c r="K967" s="14">
        <f t="shared" si="247"/>
        <v>-84.299167178335978</v>
      </c>
      <c r="L967" s="14">
        <f t="shared" si="248"/>
        <v>17.006533644250325</v>
      </c>
      <c r="M967" s="14">
        <f t="shared" si="241"/>
        <v>17.306585567480067</v>
      </c>
      <c r="N967" s="14">
        <f t="shared" si="249"/>
        <v>-32.126454936052944</v>
      </c>
      <c r="O967" s="14">
        <f t="shared" si="240"/>
        <v>0</v>
      </c>
      <c r="P967" s="14">
        <f t="shared" si="250"/>
        <v>0</v>
      </c>
    </row>
    <row r="968" spans="1:16" x14ac:dyDescent="0.25">
      <c r="A968" s="14">
        <f t="shared" si="242"/>
        <v>4.7199999999999216</v>
      </c>
      <c r="B968" s="14">
        <f t="shared" si="235"/>
        <v>30.649363039231201</v>
      </c>
      <c r="C968" s="14">
        <f t="shared" si="236"/>
        <v>-38.729127835721187</v>
      </c>
      <c r="D968" s="14">
        <f t="shared" si="237"/>
        <v>0</v>
      </c>
      <c r="E968" s="14">
        <f t="shared" si="243"/>
        <v>0</v>
      </c>
      <c r="F968" s="14">
        <f t="shared" si="238"/>
        <v>-8.9658877843835665</v>
      </c>
      <c r="G968" s="14">
        <f t="shared" si="244"/>
        <v>-0.89061940998874345</v>
      </c>
      <c r="H968" s="14">
        <f t="shared" si="245"/>
        <v>8.9215436348599315</v>
      </c>
      <c r="I968" s="14">
        <f t="shared" si="246"/>
        <v>1.6848775442031463</v>
      </c>
      <c r="J968" s="14">
        <f t="shared" si="239"/>
        <v>-16.926813756825716</v>
      </c>
      <c r="K968" s="14">
        <f t="shared" si="247"/>
        <v>-84.315561801999408</v>
      </c>
      <c r="L968" s="14">
        <f t="shared" si="248"/>
        <v>17.010462553887955</v>
      </c>
      <c r="M968" s="14">
        <f t="shared" si="241"/>
        <v>17.306585567480067</v>
      </c>
      <c r="N968" s="14">
        <f t="shared" si="249"/>
        <v>-32.211089004837071</v>
      </c>
      <c r="O968" s="14">
        <f t="shared" si="240"/>
        <v>0</v>
      </c>
      <c r="P968" s="14">
        <f t="shared" si="250"/>
        <v>0</v>
      </c>
    </row>
    <row r="969" spans="1:16" x14ac:dyDescent="0.25">
      <c r="A969" s="14">
        <f t="shared" si="242"/>
        <v>4.7249999999999215</v>
      </c>
      <c r="B969" s="14">
        <f t="shared" si="235"/>
        <v>30.649363039231201</v>
      </c>
      <c r="C969" s="14">
        <f t="shared" si="236"/>
        <v>-38.885916954191259</v>
      </c>
      <c r="D969" s="14">
        <f t="shared" si="237"/>
        <v>0</v>
      </c>
      <c r="E969" s="14">
        <f t="shared" si="243"/>
        <v>0</v>
      </c>
      <c r="F969" s="14">
        <f t="shared" si="238"/>
        <v>-8.970030925213953</v>
      </c>
      <c r="G969" s="14">
        <f t="shared" si="244"/>
        <v>-0.88847693758018309</v>
      </c>
      <c r="H969" s="14">
        <f t="shared" si="245"/>
        <v>8.9259208785806976</v>
      </c>
      <c r="I969" s="14">
        <f t="shared" si="246"/>
        <v>1.6804351595152454</v>
      </c>
      <c r="J969" s="14">
        <f t="shared" si="239"/>
        <v>-16.931184152432813</v>
      </c>
      <c r="K969" s="14">
        <f t="shared" si="247"/>
        <v>-84.331905676161554</v>
      </c>
      <c r="L969" s="14">
        <f t="shared" si="248"/>
        <v>17.014372134431735</v>
      </c>
      <c r="M969" s="14">
        <f t="shared" si="241"/>
        <v>17.306585567480067</v>
      </c>
      <c r="N969" s="14">
        <f t="shared" si="249"/>
        <v>-32.295744925599237</v>
      </c>
      <c r="O969" s="14">
        <f t="shared" si="240"/>
        <v>0</v>
      </c>
      <c r="P969" s="14">
        <f t="shared" si="250"/>
        <v>0</v>
      </c>
    </row>
    <row r="970" spans="1:16" x14ac:dyDescent="0.25">
      <c r="A970" s="14">
        <f t="shared" si="242"/>
        <v>4.7299999999999214</v>
      </c>
      <c r="B970" s="14">
        <f t="shared" si="235"/>
        <v>30.649363039231201</v>
      </c>
      <c r="C970" s="14">
        <f t="shared" si="236"/>
        <v>-39.042951072661268</v>
      </c>
      <c r="D970" s="14">
        <f t="shared" si="237"/>
        <v>0</v>
      </c>
      <c r="E970" s="14">
        <f t="shared" si="243"/>
        <v>0</v>
      </c>
      <c r="F970" s="14">
        <f t="shared" si="238"/>
        <v>-8.9741546329967399</v>
      </c>
      <c r="G970" s="14">
        <f t="shared" si="244"/>
        <v>-0.88633802370504189</v>
      </c>
      <c r="H970" s="14">
        <f t="shared" si="245"/>
        <v>8.9302775032286359</v>
      </c>
      <c r="I970" s="14">
        <f t="shared" si="246"/>
        <v>1.6760034693967201</v>
      </c>
      <c r="J970" s="14">
        <f t="shared" si="239"/>
        <v>-16.935532764916669</v>
      </c>
      <c r="K970" s="14">
        <f t="shared" si="247"/>
        <v>-84.348198986628773</v>
      </c>
      <c r="L970" s="14">
        <f t="shared" si="248"/>
        <v>17.018262474794419</v>
      </c>
      <c r="M970" s="14">
        <f t="shared" si="241"/>
        <v>17.306585567480067</v>
      </c>
      <c r="N970" s="14">
        <f t="shared" si="249"/>
        <v>-32.380422589423823</v>
      </c>
      <c r="O970" s="14">
        <f t="shared" si="240"/>
        <v>0</v>
      </c>
      <c r="P970" s="14">
        <f t="shared" si="250"/>
        <v>0</v>
      </c>
    </row>
    <row r="971" spans="1:16" x14ac:dyDescent="0.25">
      <c r="A971" s="14">
        <f t="shared" si="242"/>
        <v>4.7349999999999213</v>
      </c>
      <c r="B971" s="14">
        <f t="shared" si="235"/>
        <v>30.649363039231201</v>
      </c>
      <c r="C971" s="14">
        <f t="shared" si="236"/>
        <v>-39.20023019113134</v>
      </c>
      <c r="D971" s="14">
        <f t="shared" si="237"/>
        <v>0</v>
      </c>
      <c r="E971" s="14">
        <f t="shared" si="243"/>
        <v>0</v>
      </c>
      <c r="F971" s="14">
        <f t="shared" si="238"/>
        <v>-8.9782589874908716</v>
      </c>
      <c r="G971" s="14">
        <f t="shared" si="244"/>
        <v>-0.88420267547664078</v>
      </c>
      <c r="H971" s="14">
        <f t="shared" si="245"/>
        <v>8.9346135940588152</v>
      </c>
      <c r="I971" s="14">
        <f t="shared" si="246"/>
        <v>1.6715824560193369</v>
      </c>
      <c r="J971" s="14">
        <f t="shared" si="239"/>
        <v>-16.939859696946375</v>
      </c>
      <c r="K971" s="14">
        <f t="shared" si="247"/>
        <v>-84.36444191830789</v>
      </c>
      <c r="L971" s="14">
        <f t="shared" si="248"/>
        <v>17.022133663542292</v>
      </c>
      <c r="M971" s="14">
        <f t="shared" si="241"/>
        <v>17.306585567480067</v>
      </c>
      <c r="N971" s="14">
        <f t="shared" si="249"/>
        <v>-32.465121887908552</v>
      </c>
      <c r="O971" s="14">
        <f t="shared" si="240"/>
        <v>0</v>
      </c>
      <c r="P971" s="14">
        <f t="shared" si="250"/>
        <v>0</v>
      </c>
    </row>
    <row r="972" spans="1:16" x14ac:dyDescent="0.25">
      <c r="A972" s="14">
        <f t="shared" si="242"/>
        <v>4.7399999999999212</v>
      </c>
      <c r="B972" s="14">
        <f t="shared" si="235"/>
        <v>30.649363039231201</v>
      </c>
      <c r="C972" s="14">
        <f t="shared" si="236"/>
        <v>-39.357754309601347</v>
      </c>
      <c r="D972" s="14">
        <f t="shared" si="237"/>
        <v>0</v>
      </c>
      <c r="E972" s="14">
        <f t="shared" si="243"/>
        <v>0</v>
      </c>
      <c r="F972" s="14">
        <f t="shared" si="238"/>
        <v>-8.9823440682444904</v>
      </c>
      <c r="G972" s="14">
        <f t="shared" si="244"/>
        <v>-0.8820708998757969</v>
      </c>
      <c r="H972" s="14">
        <f t="shared" si="245"/>
        <v>8.9389292360952997</v>
      </c>
      <c r="I972" s="14">
        <f t="shared" si="246"/>
        <v>1.6671721015199579</v>
      </c>
      <c r="J972" s="14">
        <f t="shared" si="239"/>
        <v>-16.9441650507659</v>
      </c>
      <c r="K972" s="14">
        <f t="shared" si="247"/>
        <v>-84.380634655212191</v>
      </c>
      <c r="L972" s="14">
        <f t="shared" si="248"/>
        <v>17.025985788895838</v>
      </c>
      <c r="M972" s="14">
        <f t="shared" si="241"/>
        <v>17.306585567480067</v>
      </c>
      <c r="N972" s="14">
        <f t="shared" si="249"/>
        <v>-32.549842713162384</v>
      </c>
      <c r="O972" s="14">
        <f t="shared" si="240"/>
        <v>0</v>
      </c>
      <c r="P972" s="14">
        <f t="shared" si="250"/>
        <v>0</v>
      </c>
    </row>
    <row r="973" spans="1:16" x14ac:dyDescent="0.25">
      <c r="A973" s="14">
        <f t="shared" si="242"/>
        <v>4.7449999999999211</v>
      </c>
      <c r="B973" s="14">
        <f t="shared" si="235"/>
        <v>30.649363039231201</v>
      </c>
      <c r="C973" s="14">
        <f t="shared" si="236"/>
        <v>-39.515523428071404</v>
      </c>
      <c r="D973" s="14">
        <f t="shared" si="237"/>
        <v>0</v>
      </c>
      <c r="E973" s="14">
        <f t="shared" si="243"/>
        <v>0</v>
      </c>
      <c r="F973" s="14">
        <f t="shared" si="238"/>
        <v>-8.9864099545941745</v>
      </c>
      <c r="G973" s="14">
        <f t="shared" si="244"/>
        <v>-0.87994270375179384</v>
      </c>
      <c r="H973" s="14">
        <f t="shared" si="245"/>
        <v>8.9432245141304172</v>
      </c>
      <c r="I973" s="14">
        <f t="shared" si="246"/>
        <v>1.6627723880011989</v>
      </c>
      <c r="J973" s="14">
        <f t="shared" si="239"/>
        <v>-16.948448928195248</v>
      </c>
      <c r="K973" s="14">
        <f t="shared" si="247"/>
        <v>-84.396777380467142</v>
      </c>
      <c r="L973" s="14">
        <f t="shared" si="248"/>
        <v>17.029818938730436</v>
      </c>
      <c r="M973" s="14">
        <f t="shared" si="241"/>
        <v>17.306585567480067</v>
      </c>
      <c r="N973" s="14">
        <f t="shared" si="249"/>
        <v>-32.634584957803362</v>
      </c>
      <c r="O973" s="14">
        <f t="shared" si="240"/>
        <v>0</v>
      </c>
      <c r="P973" s="14">
        <f t="shared" si="250"/>
        <v>0</v>
      </c>
    </row>
    <row r="974" spans="1:16" x14ac:dyDescent="0.25">
      <c r="A974" s="14">
        <f t="shared" si="242"/>
        <v>4.749999999999921</v>
      </c>
      <c r="B974" s="14">
        <f t="shared" si="235"/>
        <v>30.649363039231201</v>
      </c>
      <c r="C974" s="14">
        <f t="shared" si="236"/>
        <v>-39.673537546541453</v>
      </c>
      <c r="D974" s="14">
        <f t="shared" si="237"/>
        <v>0</v>
      </c>
      <c r="E974" s="14">
        <f t="shared" si="243"/>
        <v>0</v>
      </c>
      <c r="F974" s="14">
        <f t="shared" si="238"/>
        <v>-8.9904567256641972</v>
      </c>
      <c r="G974" s="14">
        <f t="shared" si="244"/>
        <v>-0.87781809382340703</v>
      </c>
      <c r="H974" s="14">
        <f t="shared" si="245"/>
        <v>8.9474995127240344</v>
      </c>
      <c r="I974" s="14">
        <f t="shared" si="246"/>
        <v>1.6583832975320818</v>
      </c>
      <c r="J974" s="14">
        <f t="shared" si="239"/>
        <v>-16.952711430631627</v>
      </c>
      <c r="K974" s="14">
        <f t="shared" si="247"/>
        <v>-84.412870276316212</v>
      </c>
      <c r="L974" s="14">
        <f t="shared" si="248"/>
        <v>17.033633200577075</v>
      </c>
      <c r="M974" s="14">
        <f t="shared" si="241"/>
        <v>17.306585567480067</v>
      </c>
      <c r="N974" s="14">
        <f t="shared" si="249"/>
        <v>-32.719348514956522</v>
      </c>
      <c r="O974" s="14">
        <f t="shared" si="240"/>
        <v>0</v>
      </c>
      <c r="P974" s="14">
        <f t="shared" si="250"/>
        <v>0</v>
      </c>
    </row>
    <row r="975" spans="1:16" x14ac:dyDescent="0.25">
      <c r="A975" s="14">
        <f t="shared" si="242"/>
        <v>4.7549999999999208</v>
      </c>
      <c r="B975" s="14">
        <f t="shared" si="235"/>
        <v>30.649363039231201</v>
      </c>
      <c r="C975" s="14">
        <f t="shared" si="236"/>
        <v>-39.831796665011481</v>
      </c>
      <c r="D975" s="14">
        <f t="shared" si="237"/>
        <v>0</v>
      </c>
      <c r="E975" s="14">
        <f t="shared" si="243"/>
        <v>0</v>
      </c>
      <c r="F975" s="14">
        <f t="shared" si="238"/>
        <v>-8.9944844603658485</v>
      </c>
      <c r="G975" s="14">
        <f t="shared" si="244"/>
        <v>-0.8756970766798734</v>
      </c>
      <c r="H975" s="14">
        <f t="shared" si="245"/>
        <v>8.951754316202889</v>
      </c>
      <c r="I975" s="14">
        <f t="shared" si="246"/>
        <v>1.6540048121486823</v>
      </c>
      <c r="J975" s="14">
        <f t="shared" si="239"/>
        <v>-16.956952659050614</v>
      </c>
      <c r="K975" s="14">
        <f t="shared" si="247"/>
        <v>-84.428913524126514</v>
      </c>
      <c r="L975" s="14">
        <f t="shared" si="248"/>
        <v>17.037428661623053</v>
      </c>
      <c r="M975" s="14">
        <f t="shared" si="241"/>
        <v>17.306585567480067</v>
      </c>
      <c r="N975" s="14">
        <f t="shared" si="249"/>
        <v>-32.804133278251776</v>
      </c>
      <c r="O975" s="14">
        <f t="shared" si="240"/>
        <v>0</v>
      </c>
      <c r="P975" s="14">
        <f t="shared" si="250"/>
        <v>0</v>
      </c>
    </row>
    <row r="976" spans="1:16" x14ac:dyDescent="0.25">
      <c r="A976" s="14">
        <f t="shared" si="242"/>
        <v>4.7599999999999207</v>
      </c>
      <c r="B976" s="14">
        <f t="shared" si="235"/>
        <v>30.649363039231201</v>
      </c>
      <c r="C976" s="14">
        <f t="shared" si="236"/>
        <v>-39.990300783481516</v>
      </c>
      <c r="D976" s="14">
        <f t="shared" si="237"/>
        <v>0</v>
      </c>
      <c r="E976" s="14">
        <f t="shared" si="243"/>
        <v>0</v>
      </c>
      <c r="F976" s="14">
        <f t="shared" si="238"/>
        <v>-8.9984932373967368</v>
      </c>
      <c r="G976" s="14">
        <f t="shared" si="244"/>
        <v>-0.87357965878189625</v>
      </c>
      <c r="H976" s="14">
        <f t="shared" si="245"/>
        <v>8.9559890086599214</v>
      </c>
      <c r="I976" s="14">
        <f t="shared" si="246"/>
        <v>1.6496369138547728</v>
      </c>
      <c r="J976" s="14">
        <f t="shared" si="239"/>
        <v>-16.961172714007315</v>
      </c>
      <c r="K976" s="14">
        <f t="shared" si="247"/>
        <v>-84.444907304394519</v>
      </c>
      <c r="L976" s="14">
        <f t="shared" si="248"/>
        <v>17.041205408712688</v>
      </c>
      <c r="M976" s="14">
        <f t="shared" si="241"/>
        <v>17.306585567480067</v>
      </c>
      <c r="N976" s="14">
        <f t="shared" si="249"/>
        <v>-32.888939141821815</v>
      </c>
      <c r="O976" s="14">
        <f t="shared" si="240"/>
        <v>0</v>
      </c>
      <c r="P976" s="14">
        <f t="shared" si="250"/>
        <v>0</v>
      </c>
    </row>
    <row r="977" spans="1:16" x14ac:dyDescent="0.25">
      <c r="A977" s="14">
        <f t="shared" si="242"/>
        <v>4.7649999999999206</v>
      </c>
      <c r="B977" s="14">
        <f t="shared" si="235"/>
        <v>30.649363039231201</v>
      </c>
      <c r="C977" s="14">
        <f t="shared" si="236"/>
        <v>-40.149049901951557</v>
      </c>
      <c r="D977" s="14">
        <f t="shared" si="237"/>
        <v>0</v>
      </c>
      <c r="E977" s="14">
        <f t="shared" si="243"/>
        <v>0</v>
      </c>
      <c r="F977" s="14">
        <f t="shared" si="238"/>
        <v>-9.0024831352400945</v>
      </c>
      <c r="G977" s="14">
        <f t="shared" si="244"/>
        <v>-0.8714658464626156</v>
      </c>
      <c r="H977" s="14">
        <f t="shared" si="245"/>
        <v>8.9602036739535968</v>
      </c>
      <c r="I977" s="14">
        <f t="shared" si="246"/>
        <v>1.6452795846224597</v>
      </c>
      <c r="J977" s="14">
        <f t="shared" si="239"/>
        <v>-16.965371695637547</v>
      </c>
      <c r="K977" s="14">
        <f t="shared" si="247"/>
        <v>-84.460851796751697</v>
      </c>
      <c r="L977" s="14">
        <f t="shared" si="248"/>
        <v>17.044963528348045</v>
      </c>
      <c r="M977" s="14">
        <f t="shared" si="241"/>
        <v>17.306585567480067</v>
      </c>
      <c r="N977" s="14">
        <f t="shared" si="249"/>
        <v>-32.973766000300003</v>
      </c>
      <c r="O977" s="14">
        <f t="shared" si="240"/>
        <v>0</v>
      </c>
      <c r="P977" s="14">
        <f t="shared" si="250"/>
        <v>0</v>
      </c>
    </row>
    <row r="978" spans="1:16" x14ac:dyDescent="0.25">
      <c r="A978" s="14">
        <f t="shared" si="242"/>
        <v>4.7699999999999205</v>
      </c>
      <c r="B978" s="14">
        <f t="shared" si="235"/>
        <v>30.649363039231201</v>
      </c>
      <c r="C978" s="14">
        <f t="shared" si="236"/>
        <v>-40.30804402042159</v>
      </c>
      <c r="D978" s="14">
        <f t="shared" si="237"/>
        <v>0</v>
      </c>
      <c r="E978" s="14">
        <f t="shared" si="243"/>
        <v>0</v>
      </c>
      <c r="F978" s="14">
        <f t="shared" si="238"/>
        <v>-9.0064542321641667</v>
      </c>
      <c r="G978" s="14">
        <f t="shared" si="244"/>
        <v>-0.86935564592858883</v>
      </c>
      <c r="H978" s="14">
        <f t="shared" si="245"/>
        <v>8.9643983957073168</v>
      </c>
      <c r="I978" s="14">
        <f t="shared" si="246"/>
        <v>1.6409328063928168</v>
      </c>
      <c r="J978" s="14">
        <f t="shared" si="239"/>
        <v>-16.969549703659009</v>
      </c>
      <c r="K978" s="14">
        <f t="shared" si="247"/>
        <v>-84.47674717997009</v>
      </c>
      <c r="L978" s="14">
        <f t="shared" si="248"/>
        <v>17.048703106689665</v>
      </c>
      <c r="M978" s="14">
        <f t="shared" si="241"/>
        <v>17.306585567480067</v>
      </c>
      <c r="N978" s="14">
        <f t="shared" si="249"/>
        <v>-33.058613748818296</v>
      </c>
      <c r="O978" s="14">
        <f t="shared" si="240"/>
        <v>0</v>
      </c>
      <c r="P978" s="14">
        <f t="shared" si="250"/>
        <v>0</v>
      </c>
    </row>
    <row r="979" spans="1:16" x14ac:dyDescent="0.25">
      <c r="A979" s="14">
        <f t="shared" si="242"/>
        <v>4.7749999999999204</v>
      </c>
      <c r="B979" s="14">
        <f t="shared" si="235"/>
        <v>30.649363039231201</v>
      </c>
      <c r="C979" s="14">
        <f t="shared" si="236"/>
        <v>-40.467283138891631</v>
      </c>
      <c r="D979" s="14">
        <f t="shared" si="237"/>
        <v>0</v>
      </c>
      <c r="E979" s="14">
        <f t="shared" si="243"/>
        <v>0</v>
      </c>
      <c r="F979" s="14">
        <f t="shared" si="238"/>
        <v>-9.0104066062215455</v>
      </c>
      <c r="G979" s="14">
        <f t="shared" si="244"/>
        <v>-0.86724906326076234</v>
      </c>
      <c r="H979" s="14">
        <f t="shared" si="245"/>
        <v>8.9685732573087797</v>
      </c>
      <c r="I979" s="14">
        <f t="shared" si="246"/>
        <v>1.636596561076513</v>
      </c>
      <c r="J979" s="14">
        <f t="shared" si="239"/>
        <v>-16.973706837372465</v>
      </c>
      <c r="K979" s="14">
        <f t="shared" si="247"/>
        <v>-84.492593631967765</v>
      </c>
      <c r="L979" s="14">
        <f t="shared" si="248"/>
        <v>17.052424229557278</v>
      </c>
      <c r="M979" s="14">
        <f t="shared" si="241"/>
        <v>17.306585567480067</v>
      </c>
      <c r="N979" s="14">
        <f t="shared" si="249"/>
        <v>-33.143482283005156</v>
      </c>
      <c r="O979" s="14">
        <f t="shared" si="240"/>
        <v>0</v>
      </c>
      <c r="P979" s="14">
        <f t="shared" si="250"/>
        <v>0</v>
      </c>
    </row>
    <row r="980" spans="1:16" x14ac:dyDescent="0.25">
      <c r="A980" s="14">
        <f t="shared" si="242"/>
        <v>4.7799999999999203</v>
      </c>
      <c r="B980" s="14">
        <f t="shared" si="235"/>
        <v>30.649363039231201</v>
      </c>
      <c r="C980" s="14">
        <f t="shared" si="236"/>
        <v>-40.626767257361678</v>
      </c>
      <c r="D980" s="14">
        <f t="shared" si="237"/>
        <v>0</v>
      </c>
      <c r="E980" s="14">
        <f t="shared" si="243"/>
        <v>0</v>
      </c>
      <c r="F980" s="14">
        <f t="shared" si="238"/>
        <v>-9.0143403352485567</v>
      </c>
      <c r="G980" s="14">
        <f t="shared" si="244"/>
        <v>-0.86514610441544826</v>
      </c>
      <c r="H980" s="14">
        <f t="shared" si="245"/>
        <v>8.9727283419093791</v>
      </c>
      <c r="I980" s="14">
        <f t="shared" si="246"/>
        <v>1.6322708305544358</v>
      </c>
      <c r="J980" s="14">
        <f t="shared" si="239"/>
        <v>-16.977843195662917</v>
      </c>
      <c r="K980" s="14">
        <f t="shared" si="247"/>
        <v>-84.50839132981443</v>
      </c>
      <c r="L980" s="14">
        <f t="shared" si="248"/>
        <v>17.05612698243058</v>
      </c>
      <c r="M980" s="14">
        <f t="shared" si="241"/>
        <v>17.306585567480067</v>
      </c>
      <c r="N980" s="14">
        <f t="shared" si="249"/>
        <v>-33.228371498983471</v>
      </c>
      <c r="O980" s="14">
        <f t="shared" si="240"/>
        <v>0</v>
      </c>
      <c r="P980" s="14">
        <f t="shared" si="250"/>
        <v>0</v>
      </c>
    </row>
    <row r="981" spans="1:16" x14ac:dyDescent="0.25">
      <c r="A981" s="14">
        <f t="shared" si="242"/>
        <v>4.7849999999999202</v>
      </c>
      <c r="B981" s="14">
        <f t="shared" si="235"/>
        <v>30.649363039231201</v>
      </c>
      <c r="C981" s="14">
        <f t="shared" si="236"/>
        <v>-40.786496375831717</v>
      </c>
      <c r="D981" s="14">
        <f t="shared" si="237"/>
        <v>0</v>
      </c>
      <c r="E981" s="14">
        <f t="shared" si="243"/>
        <v>0</v>
      </c>
      <c r="F981" s="14">
        <f t="shared" si="238"/>
        <v>-9.0182554968646915</v>
      </c>
      <c r="G981" s="14">
        <f t="shared" si="244"/>
        <v>-0.86304677522527129</v>
      </c>
      <c r="H981" s="14">
        <f t="shared" si="245"/>
        <v>8.9768637324236735</v>
      </c>
      <c r="I981" s="14">
        <f t="shared" si="246"/>
        <v>1.6279555966783095</v>
      </c>
      <c r="J981" s="14">
        <f t="shared" si="239"/>
        <v>-16.9819588770008</v>
      </c>
      <c r="K981" s="14">
        <f t="shared" si="247"/>
        <v>-84.524140449736819</v>
      </c>
      <c r="L981" s="14">
        <f t="shared" si="248"/>
        <v>17.059811450449931</v>
      </c>
      <c r="M981" s="14">
        <f t="shared" si="241"/>
        <v>17.306585567480067</v>
      </c>
      <c r="N981" s="14">
        <f t="shared" si="249"/>
        <v>-33.313281293368476</v>
      </c>
      <c r="O981" s="14">
        <f t="shared" si="240"/>
        <v>0</v>
      </c>
      <c r="P981" s="14">
        <f t="shared" si="250"/>
        <v>0</v>
      </c>
    </row>
    <row r="982" spans="1:16" x14ac:dyDescent="0.25">
      <c r="A982" s="14">
        <f t="shared" si="242"/>
        <v>4.7899999999999201</v>
      </c>
      <c r="B982" s="14">
        <f t="shared" si="235"/>
        <v>30.649363039231201</v>
      </c>
      <c r="C982" s="14">
        <f t="shared" si="236"/>
        <v>-40.946470494301749</v>
      </c>
      <c r="D982" s="14">
        <f t="shared" si="237"/>
        <v>0</v>
      </c>
      <c r="E982" s="14">
        <f t="shared" si="243"/>
        <v>0</v>
      </c>
      <c r="F982" s="14">
        <f t="shared" si="238"/>
        <v>-9.0221521684719796</v>
      </c>
      <c r="G982" s="14">
        <f t="shared" si="244"/>
        <v>-0.86095108140013721</v>
      </c>
      <c r="H982" s="14">
        <f t="shared" si="245"/>
        <v>8.9809795115287727</v>
      </c>
      <c r="I982" s="14">
        <f t="shared" si="246"/>
        <v>1.6236508412713089</v>
      </c>
      <c r="J982" s="14">
        <f t="shared" si="239"/>
        <v>-16.986053979443156</v>
      </c>
      <c r="K982" s="14">
        <f t="shared" si="247"/>
        <v>-84.539841167124081</v>
      </c>
      <c r="L982" s="14">
        <f t="shared" si="248"/>
        <v>17.063477718417126</v>
      </c>
      <c r="M982" s="14">
        <f t="shared" si="241"/>
        <v>17.306585567480067</v>
      </c>
      <c r="N982" s="14">
        <f t="shared" si="249"/>
        <v>-33.39821156326569</v>
      </c>
      <c r="O982" s="14">
        <f t="shared" si="240"/>
        <v>0</v>
      </c>
      <c r="P982" s="14">
        <f t="shared" si="250"/>
        <v>0</v>
      </c>
    </row>
    <row r="983" spans="1:16" x14ac:dyDescent="0.25">
      <c r="A983" s="14">
        <f t="shared" si="242"/>
        <v>4.79499999999992</v>
      </c>
      <c r="B983" s="14">
        <f t="shared" si="235"/>
        <v>30.649363039231201</v>
      </c>
      <c r="C983" s="14">
        <f t="shared" si="236"/>
        <v>-41.106689612771802</v>
      </c>
      <c r="D983" s="14">
        <f t="shared" si="237"/>
        <v>0</v>
      </c>
      <c r="E983" s="14">
        <f t="shared" si="243"/>
        <v>0</v>
      </c>
      <c r="F983" s="14">
        <f t="shared" si="238"/>
        <v>-9.0260304272544492</v>
      </c>
      <c r="G983" s="14">
        <f t="shared" si="244"/>
        <v>-0.85885902852818741</v>
      </c>
      <c r="H983" s="14">
        <f t="shared" si="245"/>
        <v>8.9850757616638255</v>
      </c>
      <c r="I983" s="14">
        <f t="shared" si="246"/>
        <v>1.6193565461286679</v>
      </c>
      <c r="J983" s="14">
        <f t="shared" si="239"/>
        <v>-16.990128600634836</v>
      </c>
      <c r="K983" s="14">
        <f t="shared" si="247"/>
        <v>-84.55549365653313</v>
      </c>
      <c r="L983" s="14">
        <f t="shared" si="248"/>
        <v>17.067125870796161</v>
      </c>
      <c r="M983" s="14">
        <f t="shared" si="241"/>
        <v>17.306585567480067</v>
      </c>
      <c r="N983" s="14">
        <f t="shared" si="249"/>
        <v>-33.483162206268865</v>
      </c>
      <c r="O983" s="14">
        <f t="shared" si="240"/>
        <v>0</v>
      </c>
      <c r="P983" s="14">
        <f t="shared" si="250"/>
        <v>0</v>
      </c>
    </row>
    <row r="984" spans="1:16" x14ac:dyDescent="0.25">
      <c r="A984" s="14">
        <f t="shared" si="242"/>
        <v>4.7999999999999199</v>
      </c>
      <c r="B984" s="14">
        <f t="shared" ref="B984:B1022" si="251">IF(E984=0,B983,$B$19*A984)</f>
        <v>30.649363039231201</v>
      </c>
      <c r="C984" s="14">
        <f t="shared" si="236"/>
        <v>-41.267153731241834</v>
      </c>
      <c r="D984" s="14">
        <f t="shared" si="237"/>
        <v>0</v>
      </c>
      <c r="E984" s="14">
        <f t="shared" si="243"/>
        <v>0</v>
      </c>
      <c r="F984" s="14">
        <f t="shared" si="238"/>
        <v>-9.02989035017759</v>
      </c>
      <c r="G984" s="14">
        <f t="shared" si="244"/>
        <v>-0.85677062207674637</v>
      </c>
      <c r="H984" s="14">
        <f t="shared" si="245"/>
        <v>8.9891525650295083</v>
      </c>
      <c r="I984" s="14">
        <f t="shared" si="246"/>
        <v>1.6150726930182842</v>
      </c>
      <c r="J984" s="14">
        <f t="shared" si="239"/>
        <v>-16.994182837809689</v>
      </c>
      <c r="K984" s="14">
        <f t="shared" si="247"/>
        <v>-84.571098091694054</v>
      </c>
      <c r="L984" s="14">
        <f t="shared" si="248"/>
        <v>17.070755991713977</v>
      </c>
      <c r="M984" s="14">
        <f t="shared" si="241"/>
        <v>17.306585567480067</v>
      </c>
      <c r="N984" s="14">
        <f t="shared" si="249"/>
        <v>-33.568133120457915</v>
      </c>
      <c r="O984" s="14">
        <f t="shared" si="240"/>
        <v>0</v>
      </c>
      <c r="P984" s="14">
        <f t="shared" si="250"/>
        <v>0</v>
      </c>
    </row>
    <row r="985" spans="1:16" x14ac:dyDescent="0.25">
      <c r="A985" s="14">
        <f t="shared" si="242"/>
        <v>4.8049999999999198</v>
      </c>
      <c r="B985" s="14">
        <f t="shared" si="251"/>
        <v>30.649363039231201</v>
      </c>
      <c r="C985" s="14">
        <f t="shared" ref="C985:C1024" si="252">$B$20*A985+0.5*$B$16*A985^2+$B$17</f>
        <v>-41.427862849711872</v>
      </c>
      <c r="D985" s="14">
        <f t="shared" ref="D985:D1024" si="253">IF(E985=1,C985,$B$18)</f>
        <v>0</v>
      </c>
      <c r="E985" s="14">
        <f t="shared" si="243"/>
        <v>0</v>
      </c>
      <c r="F985" s="14">
        <f t="shared" ref="F985:F1024" si="254">-$E$13*L984^2</f>
        <v>-9.0337320139877981</v>
      </c>
      <c r="G985" s="14">
        <f t="shared" si="244"/>
        <v>-0.8546858673932598</v>
      </c>
      <c r="H985" s="14">
        <f t="shared" si="245"/>
        <v>8.9932100035874996</v>
      </c>
      <c r="I985" s="14">
        <f t="shared" si="246"/>
        <v>1.6107992636813178</v>
      </c>
      <c r="J985" s="14">
        <f t="shared" ref="J985:J1024" si="255">J984+(H985+$B$16)*$A$22</f>
        <v>-16.998216787791751</v>
      </c>
      <c r="K985" s="14">
        <f t="shared" si="247"/>
        <v>-84.586654645515267</v>
      </c>
      <c r="L985" s="14">
        <f t="shared" si="248"/>
        <v>17.074368164961232</v>
      </c>
      <c r="M985" s="14">
        <f t="shared" si="241"/>
        <v>17.306585567480067</v>
      </c>
      <c r="N985" s="14">
        <f t="shared" si="249"/>
        <v>-33.653124204396875</v>
      </c>
      <c r="O985" s="14">
        <f t="shared" ref="O985:O1024" si="256">IF(P985=1,N985,$B$18)</f>
        <v>0</v>
      </c>
      <c r="P985" s="14">
        <f t="shared" si="250"/>
        <v>0</v>
      </c>
    </row>
    <row r="986" spans="1:16" x14ac:dyDescent="0.25">
      <c r="A986" s="14">
        <f t="shared" si="242"/>
        <v>4.8099999999999197</v>
      </c>
      <c r="B986" s="14">
        <f t="shared" si="251"/>
        <v>30.649363039231201</v>
      </c>
      <c r="C986" s="14">
        <f t="shared" si="252"/>
        <v>-41.588816968181916</v>
      </c>
      <c r="D986" s="14">
        <f t="shared" si="253"/>
        <v>0</v>
      </c>
      <c r="E986" s="14">
        <f t="shared" si="243"/>
        <v>0</v>
      </c>
      <c r="F986" s="14">
        <f t="shared" si="254"/>
        <v>-9.0375554952118886</v>
      </c>
      <c r="G986" s="14">
        <f t="shared" si="244"/>
        <v>-0.85260476970624144</v>
      </c>
      <c r="H986" s="14">
        <f t="shared" si="245"/>
        <v>8.9972481590600122</v>
      </c>
      <c r="I986" s="14">
        <f t="shared" si="246"/>
        <v>1.6065362398327865</v>
      </c>
      <c r="J986" s="14">
        <f t="shared" si="255"/>
        <v>-17.002230546996451</v>
      </c>
      <c r="K986" s="14">
        <f t="shared" si="247"/>
        <v>-84.602163490088856</v>
      </c>
      <c r="L986" s="14">
        <f t="shared" si="248"/>
        <v>17.077962473993065</v>
      </c>
      <c r="M986" s="14">
        <f t="shared" ref="M986:M1024" si="257">IF(P986=0,M985,M985+I986*$A$22)</f>
        <v>17.306585567480067</v>
      </c>
      <c r="N986" s="14">
        <f t="shared" si="249"/>
        <v>-33.73813535713186</v>
      </c>
      <c r="O986" s="14">
        <f t="shared" si="256"/>
        <v>0</v>
      </c>
      <c r="P986" s="14">
        <f t="shared" si="250"/>
        <v>0</v>
      </c>
    </row>
    <row r="987" spans="1:16" x14ac:dyDescent="0.25">
      <c r="A987" s="14">
        <f t="shared" si="242"/>
        <v>4.8149999999999196</v>
      </c>
      <c r="B987" s="14">
        <f t="shared" si="251"/>
        <v>30.649363039231201</v>
      </c>
      <c r="C987" s="14">
        <f t="shared" si="252"/>
        <v>-41.750016086651954</v>
      </c>
      <c r="D987" s="14">
        <f t="shared" si="253"/>
        <v>0</v>
      </c>
      <c r="E987" s="14">
        <f t="shared" si="243"/>
        <v>0</v>
      </c>
      <c r="F987" s="14">
        <f t="shared" si="254"/>
        <v>-9.0413608701565753</v>
      </c>
      <c r="G987" s="14">
        <f t="shared" si="244"/>
        <v>-0.85052733412620141</v>
      </c>
      <c r="H987" s="14">
        <f t="shared" si="245"/>
        <v>9.0012671129293036</v>
      </c>
      <c r="I987" s="14">
        <f t="shared" si="246"/>
        <v>1.6022836031621555</v>
      </c>
      <c r="J987" s="14">
        <f t="shared" si="255"/>
        <v>-17.006224211431803</v>
      </c>
      <c r="K987" s="14">
        <f t="shared" si="247"/>
        <v>-84.617624796695679</v>
      </c>
      <c r="L987" s="14">
        <f t="shared" si="248"/>
        <v>17.081539001929876</v>
      </c>
      <c r="M987" s="14">
        <f t="shared" si="257"/>
        <v>17.306585567480067</v>
      </c>
      <c r="N987" s="14">
        <f t="shared" si="249"/>
        <v>-33.823166478189016</v>
      </c>
      <c r="O987" s="14">
        <f t="shared" si="256"/>
        <v>0</v>
      </c>
      <c r="P987" s="14">
        <f t="shared" si="250"/>
        <v>0</v>
      </c>
    </row>
    <row r="988" spans="1:16" x14ac:dyDescent="0.25">
      <c r="A988" s="14">
        <f t="shared" si="242"/>
        <v>4.8199999999999195</v>
      </c>
      <c r="B988" s="14">
        <f t="shared" si="251"/>
        <v>30.649363039231201</v>
      </c>
      <c r="C988" s="14">
        <f t="shared" si="252"/>
        <v>-41.911460205121983</v>
      </c>
      <c r="D988" s="14">
        <f t="shared" si="253"/>
        <v>0</v>
      </c>
      <c r="E988" s="14">
        <f t="shared" si="243"/>
        <v>0</v>
      </c>
      <c r="F988" s="14">
        <f t="shared" si="254"/>
        <v>-9.0451482149079965</v>
      </c>
      <c r="G988" s="14">
        <f t="shared" si="244"/>
        <v>-0.8484535656465797</v>
      </c>
      <c r="H988" s="14">
        <f t="shared" si="245"/>
        <v>9.0052669464372297</v>
      </c>
      <c r="I988" s="14">
        <f t="shared" si="246"/>
        <v>1.5980413353339225</v>
      </c>
      <c r="J988" s="14">
        <f t="shared" si="255"/>
        <v>-17.010197876699618</v>
      </c>
      <c r="K988" s="14">
        <f t="shared" si="247"/>
        <v>-84.633038735810587</v>
      </c>
      <c r="L988" s="14">
        <f t="shared" si="248"/>
        <v>17.085097831558119</v>
      </c>
      <c r="M988" s="14">
        <f t="shared" si="257"/>
        <v>17.306585567480067</v>
      </c>
      <c r="N988" s="14">
        <f t="shared" si="249"/>
        <v>-33.908217467572513</v>
      </c>
      <c r="O988" s="14">
        <f t="shared" si="256"/>
        <v>0</v>
      </c>
      <c r="P988" s="14">
        <f t="shared" si="250"/>
        <v>0</v>
      </c>
    </row>
    <row r="989" spans="1:16" x14ac:dyDescent="0.25">
      <c r="A989" s="14">
        <f t="shared" si="242"/>
        <v>4.8249999999999194</v>
      </c>
      <c r="B989" s="14">
        <f t="shared" si="251"/>
        <v>30.649363039231201</v>
      </c>
      <c r="C989" s="14">
        <f t="shared" si="252"/>
        <v>-42.07314932359202</v>
      </c>
      <c r="D989" s="14">
        <f t="shared" si="253"/>
        <v>0</v>
      </c>
      <c r="E989" s="14">
        <f t="shared" si="243"/>
        <v>0</v>
      </c>
      <c r="F989" s="14">
        <f t="shared" si="254"/>
        <v>-9.0489176053312708</v>
      </c>
      <c r="G989" s="14">
        <f t="shared" si="244"/>
        <v>-0.84638346914466822</v>
      </c>
      <c r="H989" s="14">
        <f t="shared" si="245"/>
        <v>9.0092477405848292</v>
      </c>
      <c r="I989" s="14">
        <f t="shared" si="246"/>
        <v>1.5938094179881992</v>
      </c>
      <c r="J989" s="14">
        <f t="shared" si="255"/>
        <v>-17.014151637996694</v>
      </c>
      <c r="K989" s="14">
        <f t="shared" si="247"/>
        <v>-84.648405477107502</v>
      </c>
      <c r="L989" s="14">
        <f t="shared" si="248"/>
        <v>17.088639045331067</v>
      </c>
      <c r="M989" s="14">
        <f t="shared" si="257"/>
        <v>17.306585567480067</v>
      </c>
      <c r="N989" s="14">
        <f t="shared" si="249"/>
        <v>-33.993288225762498</v>
      </c>
      <c r="O989" s="14">
        <f t="shared" si="256"/>
        <v>0</v>
      </c>
      <c r="P989" s="14">
        <f t="shared" si="250"/>
        <v>0</v>
      </c>
    </row>
    <row r="990" spans="1:16" x14ac:dyDescent="0.25">
      <c r="A990" s="14">
        <f t="shared" si="242"/>
        <v>4.8299999999999192</v>
      </c>
      <c r="B990" s="14">
        <f t="shared" si="251"/>
        <v>30.649363039231201</v>
      </c>
      <c r="C990" s="14">
        <f t="shared" si="252"/>
        <v>-42.235083442062049</v>
      </c>
      <c r="D990" s="14">
        <f t="shared" si="253"/>
        <v>0</v>
      </c>
      <c r="E990" s="14">
        <f t="shared" si="243"/>
        <v>0</v>
      </c>
      <c r="F990" s="14">
        <f t="shared" si="254"/>
        <v>-9.0526691170700193</v>
      </c>
      <c r="G990" s="14">
        <f t="shared" si="244"/>
        <v>-0.84431704938253516</v>
      </c>
      <c r="H990" s="14">
        <f t="shared" si="245"/>
        <v>9.0132095761318709</v>
      </c>
      <c r="I990" s="14">
        <f t="shared" si="246"/>
        <v>1.5895878327412865</v>
      </c>
      <c r="J990" s="14">
        <f t="shared" si="255"/>
        <v>-17.018085590116034</v>
      </c>
      <c r="K990" s="14">
        <f t="shared" si="247"/>
        <v>-84.6637251894645</v>
      </c>
      <c r="L990" s="14">
        <f t="shared" si="248"/>
        <v>17.092162725369604</v>
      </c>
      <c r="M990" s="14">
        <f t="shared" si="257"/>
        <v>17.306585567480067</v>
      </c>
      <c r="N990" s="14">
        <f t="shared" si="249"/>
        <v>-34.078378653713081</v>
      </c>
      <c r="O990" s="14">
        <f t="shared" si="256"/>
        <v>0</v>
      </c>
      <c r="P990" s="14">
        <f t="shared" si="250"/>
        <v>0</v>
      </c>
    </row>
    <row r="991" spans="1:16" x14ac:dyDescent="0.25">
      <c r="A991" s="14">
        <f t="shared" si="242"/>
        <v>4.8349999999999191</v>
      </c>
      <c r="B991" s="14">
        <f t="shared" si="251"/>
        <v>30.649363039231201</v>
      </c>
      <c r="C991" s="14">
        <f t="shared" si="252"/>
        <v>-42.397262560532099</v>
      </c>
      <c r="D991" s="14">
        <f t="shared" si="253"/>
        <v>0</v>
      </c>
      <c r="E991" s="14">
        <f t="shared" si="243"/>
        <v>0</v>
      </c>
      <c r="F991" s="14">
        <f t="shared" si="254"/>
        <v>-9.0564028255459377</v>
      </c>
      <c r="G991" s="14">
        <f t="shared" si="244"/>
        <v>-0.84225431100793069</v>
      </c>
      <c r="H991" s="14">
        <f t="shared" si="245"/>
        <v>9.0171525335964571</v>
      </c>
      <c r="I991" s="14">
        <f t="shared" si="246"/>
        <v>1.5853765611862467</v>
      </c>
      <c r="J991" s="14">
        <f t="shared" si="255"/>
        <v>-17.021999827448052</v>
      </c>
      <c r="K991" s="14">
        <f t="shared" si="247"/>
        <v>-84.678998040968821</v>
      </c>
      <c r="L991" s="14">
        <f t="shared" si="248"/>
        <v>17.095668953463043</v>
      </c>
      <c r="M991" s="14">
        <f t="shared" si="257"/>
        <v>17.306585567480067</v>
      </c>
      <c r="N991" s="14">
        <f t="shared" si="249"/>
        <v>-34.163488652850319</v>
      </c>
      <c r="O991" s="14">
        <f t="shared" si="256"/>
        <v>0</v>
      </c>
      <c r="P991" s="14">
        <f t="shared" si="250"/>
        <v>0</v>
      </c>
    </row>
    <row r="992" spans="1:16" x14ac:dyDescent="0.25">
      <c r="A992" s="14">
        <f t="shared" si="242"/>
        <v>4.839999999999919</v>
      </c>
      <c r="B992" s="14">
        <f t="shared" si="251"/>
        <v>30.649363039231201</v>
      </c>
      <c r="C992" s="14">
        <f t="shared" si="252"/>
        <v>-42.559686679002141</v>
      </c>
      <c r="D992" s="14">
        <f t="shared" si="253"/>
        <v>0</v>
      </c>
      <c r="E992" s="14">
        <f t="shared" si="243"/>
        <v>0</v>
      </c>
      <c r="F992" s="14">
        <f t="shared" si="254"/>
        <v>-9.060118805958405</v>
      </c>
      <c r="G992" s="14">
        <f t="shared" si="244"/>
        <v>-0.84019525855521138</v>
      </c>
      <c r="H992" s="14">
        <f t="shared" si="245"/>
        <v>9.0210766932546633</v>
      </c>
      <c r="I992" s="14">
        <f t="shared" si="246"/>
        <v>1.5811755848934705</v>
      </c>
      <c r="J992" s="14">
        <f t="shared" si="255"/>
        <v>-17.02589444398178</v>
      </c>
      <c r="K992" s="14">
        <f t="shared" si="247"/>
        <v>-84.694224198921901</v>
      </c>
      <c r="L992" s="14">
        <f t="shared" si="248"/>
        <v>17.099157811069901</v>
      </c>
      <c r="M992" s="14">
        <f t="shared" si="257"/>
        <v>17.306585567480067</v>
      </c>
      <c r="N992" s="14">
        <f t="shared" si="249"/>
        <v>-34.24861812507023</v>
      </c>
      <c r="O992" s="14">
        <f t="shared" si="256"/>
        <v>0</v>
      </c>
      <c r="P992" s="14">
        <f t="shared" si="250"/>
        <v>0</v>
      </c>
    </row>
    <row r="993" spans="1:16" x14ac:dyDescent="0.25">
      <c r="A993" s="14">
        <f t="shared" si="242"/>
        <v>4.8449999999999189</v>
      </c>
      <c r="B993" s="14">
        <f t="shared" si="251"/>
        <v>30.649363039231201</v>
      </c>
      <c r="C993" s="14">
        <f t="shared" si="252"/>
        <v>-42.722355797472176</v>
      </c>
      <c r="D993" s="14">
        <f t="shared" si="253"/>
        <v>0</v>
      </c>
      <c r="E993" s="14">
        <f t="shared" si="243"/>
        <v>0</v>
      </c>
      <c r="F993" s="14">
        <f t="shared" si="254"/>
        <v>-9.063817133284056</v>
      </c>
      <c r="G993" s="14">
        <f t="shared" si="244"/>
        <v>-0.83813989644622977</v>
      </c>
      <c r="H993" s="14">
        <f t="shared" si="245"/>
        <v>9.0249821351401422</v>
      </c>
      <c r="I993" s="14">
        <f t="shared" si="246"/>
        <v>1.5769848854112394</v>
      </c>
      <c r="J993" s="14">
        <f t="shared" si="255"/>
        <v>-17.02976953330608</v>
      </c>
      <c r="K993" s="14">
        <f t="shared" si="247"/>
        <v>-84.709403829844263</v>
      </c>
      <c r="L993" s="14">
        <f t="shared" si="248"/>
        <v>17.10262937931871</v>
      </c>
      <c r="M993" s="14">
        <f t="shared" si="257"/>
        <v>17.306585567480067</v>
      </c>
      <c r="N993" s="14">
        <f t="shared" si="249"/>
        <v>-34.333766972736761</v>
      </c>
      <c r="O993" s="14">
        <f t="shared" si="256"/>
        <v>0</v>
      </c>
      <c r="P993" s="14">
        <f t="shared" si="250"/>
        <v>0</v>
      </c>
    </row>
    <row r="994" spans="1:16" x14ac:dyDescent="0.25">
      <c r="A994" s="14">
        <f t="shared" si="242"/>
        <v>4.8499999999999188</v>
      </c>
      <c r="B994" s="14">
        <f t="shared" si="251"/>
        <v>30.649363039231201</v>
      </c>
      <c r="C994" s="14">
        <f t="shared" si="252"/>
        <v>-42.885269915942217</v>
      </c>
      <c r="D994" s="14">
        <f t="shared" si="253"/>
        <v>0</v>
      </c>
      <c r="E994" s="14">
        <f t="shared" si="243"/>
        <v>0</v>
      </c>
      <c r="F994" s="14">
        <f t="shared" si="254"/>
        <v>-9.067497882276399</v>
      </c>
      <c r="G994" s="14">
        <f t="shared" si="244"/>
        <v>-0.83608822899125068</v>
      </c>
      <c r="H994" s="14">
        <f t="shared" si="245"/>
        <v>9.0288689390437629</v>
      </c>
      <c r="I994" s="14">
        <f t="shared" si="246"/>
        <v>1.5728044442662832</v>
      </c>
      <c r="J994" s="14">
        <f t="shared" si="255"/>
        <v>-17.033625188610863</v>
      </c>
      <c r="K994" s="14">
        <f t="shared" si="247"/>
        <v>-84.724537099480528</v>
      </c>
      <c r="L994" s="14">
        <f t="shared" si="248"/>
        <v>17.106083739008827</v>
      </c>
      <c r="M994" s="14">
        <f t="shared" si="257"/>
        <v>17.306585567480067</v>
      </c>
      <c r="N994" s="14">
        <f t="shared" si="249"/>
        <v>-34.418935098679817</v>
      </c>
      <c r="O994" s="14">
        <f t="shared" si="256"/>
        <v>0</v>
      </c>
      <c r="P994" s="14">
        <f t="shared" si="250"/>
        <v>0</v>
      </c>
    </row>
    <row r="995" spans="1:16" x14ac:dyDescent="0.25">
      <c r="A995" s="14">
        <f t="shared" si="242"/>
        <v>4.8549999999999187</v>
      </c>
      <c r="B995" s="14">
        <f t="shared" si="251"/>
        <v>30.649363039231201</v>
      </c>
      <c r="C995" s="14">
        <f t="shared" si="252"/>
        <v>-43.048429034412251</v>
      </c>
      <c r="D995" s="14">
        <f t="shared" si="253"/>
        <v>0</v>
      </c>
      <c r="E995" s="14">
        <f t="shared" si="243"/>
        <v>0</v>
      </c>
      <c r="F995" s="14">
        <f t="shared" si="254"/>
        <v>-9.0711611274654498</v>
      </c>
      <c r="G995" s="14">
        <f t="shared" si="244"/>
        <v>-0.83404026038983092</v>
      </c>
      <c r="H995" s="14">
        <f t="shared" si="245"/>
        <v>9.0327371845132927</v>
      </c>
      <c r="I995" s="14">
        <f t="shared" si="246"/>
        <v>1.5686342429643341</v>
      </c>
      <c r="J995" s="14">
        <f t="shared" si="255"/>
        <v>-17.037461502688295</v>
      </c>
      <c r="K995" s="14">
        <f t="shared" si="247"/>
        <v>-84.73962417280417</v>
      </c>
      <c r="L995" s="14">
        <f t="shared" si="248"/>
        <v>17.109520970611246</v>
      </c>
      <c r="M995" s="14">
        <f t="shared" si="257"/>
        <v>17.306585567480067</v>
      </c>
      <c r="N995" s="14">
        <f t="shared" si="249"/>
        <v>-34.504122406193261</v>
      </c>
      <c r="O995" s="14">
        <f t="shared" si="256"/>
        <v>0</v>
      </c>
      <c r="P995" s="14">
        <f t="shared" si="250"/>
        <v>0</v>
      </c>
    </row>
    <row r="996" spans="1:16" x14ac:dyDescent="0.25">
      <c r="A996" s="14">
        <f t="shared" si="242"/>
        <v>4.8599999999999186</v>
      </c>
      <c r="B996" s="14">
        <f t="shared" si="251"/>
        <v>30.649363039231201</v>
      </c>
      <c r="C996" s="14">
        <f t="shared" si="252"/>
        <v>-43.211833152882292</v>
      </c>
      <c r="D996" s="14">
        <f t="shared" si="253"/>
        <v>0</v>
      </c>
      <c r="E996" s="14">
        <f t="shared" si="243"/>
        <v>0</v>
      </c>
      <c r="F996" s="14">
        <f t="shared" si="254"/>
        <v>-9.0748069431573661</v>
      </c>
      <c r="G996" s="14">
        <f t="shared" si="244"/>
        <v>-0.83199599473173025</v>
      </c>
      <c r="H996" s="14">
        <f t="shared" si="245"/>
        <v>9.0365869508530423</v>
      </c>
      <c r="I996" s="14">
        <f t="shared" si="246"/>
        <v>1.5644742629906754</v>
      </c>
      <c r="J996" s="14">
        <f t="shared" si="255"/>
        <v>-17.041278567934029</v>
      </c>
      <c r="K996" s="14">
        <f t="shared" si="247"/>
        <v>-84.754665214022438</v>
      </c>
      <c r="L996" s="14">
        <f t="shared" si="248"/>
        <v>17.112941154269418</v>
      </c>
      <c r="M996" s="14">
        <f t="shared" si="257"/>
        <v>17.306585567480067</v>
      </c>
      <c r="N996" s="14">
        <f t="shared" si="249"/>
        <v>-34.589328799032934</v>
      </c>
      <c r="O996" s="14">
        <f t="shared" si="256"/>
        <v>0</v>
      </c>
      <c r="P996" s="14">
        <f t="shared" si="250"/>
        <v>0</v>
      </c>
    </row>
    <row r="997" spans="1:16" x14ac:dyDescent="0.25">
      <c r="A997" s="14">
        <f t="shared" si="242"/>
        <v>4.8649999999999185</v>
      </c>
      <c r="B997" s="14">
        <f t="shared" si="251"/>
        <v>30.649363039231201</v>
      </c>
      <c r="C997" s="14">
        <f t="shared" si="252"/>
        <v>-43.37548227135234</v>
      </c>
      <c r="D997" s="14">
        <f t="shared" si="253"/>
        <v>0</v>
      </c>
      <c r="E997" s="14">
        <f t="shared" si="243"/>
        <v>0</v>
      </c>
      <c r="F997" s="14">
        <f t="shared" si="254"/>
        <v>-9.0784354034341259</v>
      </c>
      <c r="G997" s="14">
        <f t="shared" si="244"/>
        <v>-0.82995543599778165</v>
      </c>
      <c r="H997" s="14">
        <f t="shared" si="245"/>
        <v>9.0404183171235974</v>
      </c>
      <c r="I997" s="14">
        <f t="shared" si="246"/>
        <v>1.5603244858106864</v>
      </c>
      <c r="J997" s="14">
        <f t="shared" si="255"/>
        <v>-17.045076476348409</v>
      </c>
      <c r="K997" s="14">
        <f t="shared" si="247"/>
        <v>-84.769660386581165</v>
      </c>
      <c r="L997" s="14">
        <f t="shared" si="248"/>
        <v>17.116344369800064</v>
      </c>
      <c r="M997" s="14">
        <f t="shared" si="257"/>
        <v>17.306585567480067</v>
      </c>
      <c r="N997" s="14">
        <f t="shared" si="249"/>
        <v>-34.674554181414678</v>
      </c>
      <c r="O997" s="14">
        <f t="shared" si="256"/>
        <v>0</v>
      </c>
      <c r="P997" s="14">
        <f t="shared" si="250"/>
        <v>0</v>
      </c>
    </row>
    <row r="998" spans="1:16" x14ac:dyDescent="0.25">
      <c r="A998" s="14">
        <f t="shared" si="242"/>
        <v>4.8699999999999184</v>
      </c>
      <c r="B998" s="14">
        <f t="shared" si="251"/>
        <v>30.649363039231201</v>
      </c>
      <c r="C998" s="14">
        <f t="shared" si="252"/>
        <v>-43.53937638982238</v>
      </c>
      <c r="D998" s="14">
        <f t="shared" si="253"/>
        <v>0</v>
      </c>
      <c r="E998" s="14">
        <f t="shared" si="243"/>
        <v>0</v>
      </c>
      <c r="F998" s="14">
        <f t="shared" si="254"/>
        <v>-9.0820465821531773</v>
      </c>
      <c r="G998" s="14">
        <f t="shared" si="244"/>
        <v>-0.82791858806077412</v>
      </c>
      <c r="H998" s="14">
        <f t="shared" si="245"/>
        <v>9.0442313621414865</v>
      </c>
      <c r="I998" s="14">
        <f t="shared" si="246"/>
        <v>1.5561848928703825</v>
      </c>
      <c r="J998" s="14">
        <f t="shared" si="255"/>
        <v>-17.048855319537701</v>
      </c>
      <c r="K998" s="14">
        <f t="shared" si="247"/>
        <v>-84.784609853169442</v>
      </c>
      <c r="L998" s="14">
        <f t="shared" si="248"/>
        <v>17.119730696694003</v>
      </c>
      <c r="M998" s="14">
        <f t="shared" si="257"/>
        <v>17.306585567480067</v>
      </c>
      <c r="N998" s="14">
        <f t="shared" si="249"/>
        <v>-34.759798458012369</v>
      </c>
      <c r="O998" s="14">
        <f t="shared" si="256"/>
        <v>0</v>
      </c>
      <c r="P998" s="14">
        <f t="shared" si="250"/>
        <v>0</v>
      </c>
    </row>
    <row r="999" spans="1:16" x14ac:dyDescent="0.25">
      <c r="A999" s="14">
        <f t="shared" si="242"/>
        <v>4.8749999999999183</v>
      </c>
      <c r="B999" s="14">
        <f t="shared" si="251"/>
        <v>30.649363039231201</v>
      </c>
      <c r="C999" s="14">
        <f t="shared" si="252"/>
        <v>-43.703515508292412</v>
      </c>
      <c r="D999" s="14">
        <f t="shared" si="253"/>
        <v>0</v>
      </c>
      <c r="E999" s="14">
        <f t="shared" si="243"/>
        <v>0</v>
      </c>
      <c r="F999" s="14">
        <f t="shared" si="254"/>
        <v>-9.0856405529471349</v>
      </c>
      <c r="G999" s="14">
        <f t="shared" si="244"/>
        <v>-0.82588545468634056</v>
      </c>
      <c r="H999" s="14">
        <f t="shared" si="245"/>
        <v>9.0480261644789177</v>
      </c>
      <c r="I999" s="14">
        <f t="shared" si="246"/>
        <v>1.5520554655969507</v>
      </c>
      <c r="J999" s="14">
        <f t="shared" si="255"/>
        <v>-17.052615188715308</v>
      </c>
      <c r="K999" s="14">
        <f t="shared" si="247"/>
        <v>-84.799513775724421</v>
      </c>
      <c r="L999" s="14">
        <f t="shared" si="248"/>
        <v>17.123100214116992</v>
      </c>
      <c r="M999" s="14">
        <f t="shared" si="257"/>
        <v>17.306585567480067</v>
      </c>
      <c r="N999" s="14">
        <f t="shared" si="249"/>
        <v>-34.845061533955949</v>
      </c>
      <c r="O999" s="14">
        <f t="shared" si="256"/>
        <v>0</v>
      </c>
      <c r="P999" s="14">
        <f t="shared" si="250"/>
        <v>0</v>
      </c>
    </row>
    <row r="1000" spans="1:16" x14ac:dyDescent="0.25">
      <c r="A1000" s="14">
        <f t="shared" si="242"/>
        <v>4.8799999999999182</v>
      </c>
      <c r="B1000" s="14">
        <f t="shared" si="251"/>
        <v>30.649363039231201</v>
      </c>
      <c r="C1000" s="14">
        <f t="shared" si="252"/>
        <v>-43.867899626762437</v>
      </c>
      <c r="D1000" s="14">
        <f t="shared" si="253"/>
        <v>0</v>
      </c>
      <c r="E1000" s="14">
        <f t="shared" si="243"/>
        <v>0</v>
      </c>
      <c r="F1000" s="14">
        <f t="shared" si="254"/>
        <v>-9.089217389223494</v>
      </c>
      <c r="G1000" s="14">
        <f t="shared" si="244"/>
        <v>-0.82385603953382225</v>
      </c>
      <c r="H1000" s="14">
        <f t="shared" si="245"/>
        <v>9.0518028024635182</v>
      </c>
      <c r="I1000" s="14">
        <f t="shared" si="246"/>
        <v>1.5479361853992817</v>
      </c>
      <c r="J1000" s="14">
        <f t="shared" si="255"/>
        <v>-17.056356174702991</v>
      </c>
      <c r="K1000" s="14">
        <f t="shared" si="247"/>
        <v>-84.814372315436003</v>
      </c>
      <c r="L1000" s="14">
        <f t="shared" si="248"/>
        <v>17.12645300091053</v>
      </c>
      <c r="M1000" s="14">
        <f t="shared" si="257"/>
        <v>17.306585567480067</v>
      </c>
      <c r="N1000" s="14">
        <f t="shared" si="249"/>
        <v>-34.930343314829464</v>
      </c>
      <c r="O1000" s="14">
        <f t="shared" si="256"/>
        <v>0</v>
      </c>
      <c r="P1000" s="14">
        <f t="shared" si="250"/>
        <v>0</v>
      </c>
    </row>
    <row r="1001" spans="1:16" x14ac:dyDescent="0.25">
      <c r="A1001" s="14">
        <f t="shared" si="242"/>
        <v>4.8849999999999181</v>
      </c>
      <c r="B1001" s="14">
        <f t="shared" si="251"/>
        <v>30.649363039231201</v>
      </c>
      <c r="C1001" s="14">
        <f t="shared" si="252"/>
        <v>-44.032528745232483</v>
      </c>
      <c r="D1001" s="14">
        <f t="shared" si="253"/>
        <v>0</v>
      </c>
      <c r="E1001" s="14">
        <f t="shared" si="243"/>
        <v>0</v>
      </c>
      <c r="F1001" s="14">
        <f t="shared" si="254"/>
        <v>-9.0927771641643158</v>
      </c>
      <c r="G1001" s="14">
        <f t="shared" si="244"/>
        <v>-0.82183034615713491</v>
      </c>
      <c r="H1001" s="14">
        <f t="shared" si="245"/>
        <v>9.0555613541780673</v>
      </c>
      <c r="I1001" s="14">
        <f t="shared" si="246"/>
        <v>1.5438270336684961</v>
      </c>
      <c r="J1001" s="14">
        <f t="shared" si="255"/>
        <v>-17.0600783679321</v>
      </c>
      <c r="K1001" s="14">
        <f t="shared" si="247"/>
        <v>-84.829185632751432</v>
      </c>
      <c r="L1001" s="14">
        <f t="shared" si="248"/>
        <v>17.129789135592723</v>
      </c>
      <c r="M1001" s="14">
        <f t="shared" si="257"/>
        <v>17.306585567480067</v>
      </c>
      <c r="N1001" s="14">
        <f t="shared" si="249"/>
        <v>-35.015643706669124</v>
      </c>
      <c r="O1001" s="14">
        <f t="shared" si="256"/>
        <v>0</v>
      </c>
      <c r="P1001" s="14">
        <f t="shared" si="250"/>
        <v>0</v>
      </c>
    </row>
    <row r="1002" spans="1:16" x14ac:dyDescent="0.25">
      <c r="A1002" s="14">
        <f t="shared" si="242"/>
        <v>4.889999999999918</v>
      </c>
      <c r="B1002" s="14">
        <f t="shared" si="251"/>
        <v>30.649363039231201</v>
      </c>
      <c r="C1002" s="14">
        <f t="shared" si="252"/>
        <v>-44.197402863702536</v>
      </c>
      <c r="D1002" s="14">
        <f t="shared" si="253"/>
        <v>0</v>
      </c>
      <c r="E1002" s="14">
        <f t="shared" si="243"/>
        <v>0</v>
      </c>
      <c r="F1002" s="14">
        <f t="shared" si="254"/>
        <v>-9.0963199507259862</v>
      </c>
      <c r="G1002" s="14">
        <f t="shared" si="244"/>
        <v>-0.81980837800563677</v>
      </c>
      <c r="H1002" s="14">
        <f t="shared" si="245"/>
        <v>9.0593018974602764</v>
      </c>
      <c r="I1002" s="14">
        <f t="shared" si="246"/>
        <v>1.5397279917784679</v>
      </c>
      <c r="J1002" s="14">
        <f t="shared" si="255"/>
        <v>-17.063781858444798</v>
      </c>
      <c r="K1002" s="14">
        <f t="shared" si="247"/>
        <v>-84.843953887379953</v>
      </c>
      <c r="L1002" s="14">
        <f t="shared" si="248"/>
        <v>17.133108696359105</v>
      </c>
      <c r="M1002" s="14">
        <f t="shared" si="257"/>
        <v>17.306585567480067</v>
      </c>
      <c r="N1002" s="14">
        <f t="shared" si="249"/>
        <v>-35.10096261596135</v>
      </c>
      <c r="O1002" s="14">
        <f t="shared" si="256"/>
        <v>0</v>
      </c>
      <c r="P1002" s="14">
        <f t="shared" si="250"/>
        <v>0</v>
      </c>
    </row>
    <row r="1003" spans="1:16" x14ac:dyDescent="0.25">
      <c r="A1003" s="14">
        <f t="shared" si="242"/>
        <v>4.8949999999999179</v>
      </c>
      <c r="B1003" s="14">
        <f t="shared" si="251"/>
        <v>30.649363039231201</v>
      </c>
      <c r="C1003" s="14">
        <f t="shared" si="252"/>
        <v>-44.362521982172566</v>
      </c>
      <c r="D1003" s="14">
        <f t="shared" si="253"/>
        <v>0</v>
      </c>
      <c r="E1003" s="14">
        <f t="shared" si="243"/>
        <v>0</v>
      </c>
      <c r="F1003" s="14">
        <f t="shared" si="254"/>
        <v>-9.0998458216389366</v>
      </c>
      <c r="G1003" s="14">
        <f t="shared" si="244"/>
        <v>-0.81779013842498272</v>
      </c>
      <c r="H1003" s="14">
        <f t="shared" si="245"/>
        <v>9.0630245099025561</v>
      </c>
      <c r="I1003" s="14">
        <f t="shared" si="246"/>
        <v>1.535639041086343</v>
      </c>
      <c r="J1003" s="14">
        <f t="shared" si="255"/>
        <v>-17.067466735895287</v>
      </c>
      <c r="K1003" s="14">
        <f t="shared" si="247"/>
        <v>-84.858677238297403</v>
      </c>
      <c r="L1003" s="14">
        <f t="shared" si="248"/>
        <v>17.136411761083494</v>
      </c>
      <c r="M1003" s="14">
        <f t="shared" si="257"/>
        <v>17.306585567480067</v>
      </c>
      <c r="N1003" s="14">
        <f t="shared" si="249"/>
        <v>-35.186299949640826</v>
      </c>
      <c r="O1003" s="14">
        <f t="shared" si="256"/>
        <v>0</v>
      </c>
      <c r="P1003" s="14">
        <f t="shared" si="250"/>
        <v>0</v>
      </c>
    </row>
    <row r="1004" spans="1:16" x14ac:dyDescent="0.25">
      <c r="A1004" s="14">
        <f t="shared" si="242"/>
        <v>4.8999999999999178</v>
      </c>
      <c r="B1004" s="14">
        <f t="shared" si="251"/>
        <v>30.649363039231201</v>
      </c>
      <c r="C1004" s="14">
        <f t="shared" si="252"/>
        <v>-44.527886100642604</v>
      </c>
      <c r="D1004" s="14">
        <f t="shared" si="253"/>
        <v>0</v>
      </c>
      <c r="E1004" s="14">
        <f t="shared" si="243"/>
        <v>0</v>
      </c>
      <c r="F1004" s="14">
        <f t="shared" si="254"/>
        <v>-9.1033548494074203</v>
      </c>
      <c r="G1004" s="14">
        <f t="shared" si="244"/>
        <v>-0.81577563065797887</v>
      </c>
      <c r="H1004" s="14">
        <f t="shared" si="245"/>
        <v>9.0667292688518142</v>
      </c>
      <c r="I1004" s="14">
        <f t="shared" si="246"/>
        <v>1.5315601629330531</v>
      </c>
      <c r="J1004" s="14">
        <f t="shared" si="255"/>
        <v>-17.071133089551029</v>
      </c>
      <c r="K1004" s="14">
        <f t="shared" si="247"/>
        <v>-84.873355843750716</v>
      </c>
      <c r="L1004" s="14">
        <f t="shared" si="248"/>
        <v>17.139698407318829</v>
      </c>
      <c r="M1004" s="14">
        <f t="shared" si="257"/>
        <v>17.306585567480067</v>
      </c>
      <c r="N1004" s="14">
        <f t="shared" si="249"/>
        <v>-35.271655615088584</v>
      </c>
      <c r="O1004" s="14">
        <f t="shared" si="256"/>
        <v>0</v>
      </c>
      <c r="P1004" s="14">
        <f t="shared" si="250"/>
        <v>0</v>
      </c>
    </row>
    <row r="1005" spans="1:16" x14ac:dyDescent="0.25">
      <c r="A1005" s="14">
        <f t="shared" si="242"/>
        <v>4.9049999999999176</v>
      </c>
      <c r="B1005" s="14">
        <f t="shared" si="251"/>
        <v>30.649363039231201</v>
      </c>
      <c r="C1005" s="14">
        <f t="shared" si="252"/>
        <v>-44.693495219112648</v>
      </c>
      <c r="D1005" s="14">
        <f t="shared" si="253"/>
        <v>0</v>
      </c>
      <c r="E1005" s="14">
        <f t="shared" si="243"/>
        <v>0</v>
      </c>
      <c r="F1005" s="14">
        <f t="shared" si="254"/>
        <v>-9.1068471063092744</v>
      </c>
      <c r="G1005" s="14">
        <f t="shared" si="244"/>
        <v>-0.81376485784543384</v>
      </c>
      <c r="H1005" s="14">
        <f t="shared" si="245"/>
        <v>9.0704162514092701</v>
      </c>
      <c r="I1005" s="14">
        <f t="shared" si="246"/>
        <v>1.5274913386438258</v>
      </c>
      <c r="J1005" s="14">
        <f t="shared" si="255"/>
        <v>-17.074781008293982</v>
      </c>
      <c r="K1005" s="14">
        <f t="shared" si="247"/>
        <v>-84.887989861262469</v>
      </c>
      <c r="L1005" s="14">
        <f t="shared" si="248"/>
        <v>17.142968712298018</v>
      </c>
      <c r="M1005" s="14">
        <f t="shared" si="257"/>
        <v>17.306585567480067</v>
      </c>
      <c r="N1005" s="14">
        <f t="shared" si="249"/>
        <v>-35.357029520130055</v>
      </c>
      <c r="O1005" s="14">
        <f t="shared" si="256"/>
        <v>0</v>
      </c>
      <c r="P1005" s="14">
        <f t="shared" si="250"/>
        <v>0</v>
      </c>
    </row>
    <row r="1006" spans="1:16" x14ac:dyDescent="0.25">
      <c r="A1006" s="14">
        <f t="shared" si="242"/>
        <v>4.9099999999999175</v>
      </c>
      <c r="B1006" s="14">
        <f t="shared" si="251"/>
        <v>30.649363039231201</v>
      </c>
      <c r="C1006" s="14">
        <f t="shared" si="252"/>
        <v>-44.859349337582685</v>
      </c>
      <c r="D1006" s="14">
        <f t="shared" si="253"/>
        <v>0</v>
      </c>
      <c r="E1006" s="14">
        <f t="shared" si="243"/>
        <v>0</v>
      </c>
      <c r="F1006" s="14">
        <f t="shared" si="254"/>
        <v>-9.1103226643956905</v>
      </c>
      <c r="G1006" s="14">
        <f t="shared" si="244"/>
        <v>-0.81175782302699728</v>
      </c>
      <c r="H1006" s="14">
        <f t="shared" si="245"/>
        <v>9.0740855344302478</v>
      </c>
      <c r="I1006" s="14">
        <f t="shared" si="246"/>
        <v>1.5234325495286909</v>
      </c>
      <c r="J1006" s="14">
        <f t="shared" si="255"/>
        <v>-17.078410580621831</v>
      </c>
      <c r="K1006" s="14">
        <f t="shared" si="247"/>
        <v>-84.902579447635333</v>
      </c>
      <c r="L1006" s="14">
        <f t="shared" si="248"/>
        <v>17.146222752934804</v>
      </c>
      <c r="M1006" s="14">
        <f t="shared" si="257"/>
        <v>17.306585567480067</v>
      </c>
      <c r="N1006" s="14">
        <f t="shared" si="249"/>
        <v>-35.442421573033165</v>
      </c>
      <c r="O1006" s="14">
        <f t="shared" si="256"/>
        <v>0</v>
      </c>
      <c r="P1006" s="14">
        <f t="shared" si="250"/>
        <v>0</v>
      </c>
    </row>
    <row r="1007" spans="1:16" x14ac:dyDescent="0.25">
      <c r="A1007" s="14">
        <f t="shared" si="242"/>
        <v>4.9149999999999174</v>
      </c>
      <c r="B1007" s="14">
        <f t="shared" si="251"/>
        <v>30.649363039231201</v>
      </c>
      <c r="C1007" s="14">
        <f t="shared" si="252"/>
        <v>-45.0254484560527</v>
      </c>
      <c r="D1007" s="14">
        <f t="shared" si="253"/>
        <v>0</v>
      </c>
      <c r="E1007" s="14">
        <f t="shared" si="243"/>
        <v>0</v>
      </c>
      <c r="F1007" s="14">
        <f t="shared" si="254"/>
        <v>-9.1137815954910337</v>
      </c>
      <c r="G1007" s="14">
        <f t="shared" si="244"/>
        <v>-0.80975452914199886</v>
      </c>
      <c r="H1007" s="14">
        <f t="shared" si="245"/>
        <v>9.077737194524035</v>
      </c>
      <c r="I1007" s="14">
        <f t="shared" si="246"/>
        <v>1.519383776882981</v>
      </c>
      <c r="J1007" s="14">
        <f t="shared" si="255"/>
        <v>-17.082021894649213</v>
      </c>
      <c r="K1007" s="14">
        <f t="shared" si="247"/>
        <v>-84.917124758956504</v>
      </c>
      <c r="L1007" s="14">
        <f t="shared" si="248"/>
        <v>17.149460605824615</v>
      </c>
      <c r="M1007" s="14">
        <f t="shared" si="257"/>
        <v>17.306585567480067</v>
      </c>
      <c r="N1007" s="14">
        <f t="shared" si="249"/>
        <v>-35.52783168250641</v>
      </c>
      <c r="O1007" s="14">
        <f t="shared" si="256"/>
        <v>0</v>
      </c>
      <c r="P1007" s="14">
        <f t="shared" si="250"/>
        <v>0</v>
      </c>
    </row>
    <row r="1008" spans="1:16" x14ac:dyDescent="0.25">
      <c r="A1008" s="14">
        <f t="shared" si="242"/>
        <v>4.9199999999999173</v>
      </c>
      <c r="B1008" s="14">
        <f t="shared" si="251"/>
        <v>30.649363039231201</v>
      </c>
      <c r="C1008" s="14">
        <f t="shared" si="252"/>
        <v>-45.191792574522751</v>
      </c>
      <c r="D1008" s="14">
        <f t="shared" si="253"/>
        <v>0</v>
      </c>
      <c r="E1008" s="14">
        <f t="shared" si="243"/>
        <v>0</v>
      </c>
      <c r="F1008" s="14">
        <f t="shared" si="254"/>
        <v>-9.1172239711926419</v>
      </c>
      <c r="G1008" s="14">
        <f t="shared" si="244"/>
        <v>-0.80775497903029447</v>
      </c>
      <c r="H1008" s="14">
        <f t="shared" si="245"/>
        <v>9.0813713080537291</v>
      </c>
      <c r="I1008" s="14">
        <f t="shared" si="246"/>
        <v>1.5153450019878296</v>
      </c>
      <c r="J1008" s="14">
        <f t="shared" si="255"/>
        <v>-17.085615038108944</v>
      </c>
      <c r="K1008" s="14">
        <f t="shared" si="247"/>
        <v>-84.93162595060214</v>
      </c>
      <c r="L1008" s="14">
        <f t="shared" si="248"/>
        <v>17.152682347245399</v>
      </c>
      <c r="M1008" s="14">
        <f t="shared" si="257"/>
        <v>17.306585567480067</v>
      </c>
      <c r="N1008" s="14">
        <f t="shared" si="249"/>
        <v>-35.613259757696952</v>
      </c>
      <c r="O1008" s="14">
        <f t="shared" si="256"/>
        <v>0</v>
      </c>
      <c r="P1008" s="14">
        <f t="shared" si="250"/>
        <v>0</v>
      </c>
    </row>
    <row r="1009" spans="1:16" x14ac:dyDescent="0.25">
      <c r="A1009" s="14">
        <f t="shared" si="242"/>
        <v>4.9249999999999172</v>
      </c>
      <c r="B1009" s="14">
        <f t="shared" si="251"/>
        <v>30.649363039231201</v>
      </c>
      <c r="C1009" s="14">
        <f t="shared" si="252"/>
        <v>-45.358381692992793</v>
      </c>
      <c r="D1009" s="14">
        <f t="shared" si="253"/>
        <v>0</v>
      </c>
      <c r="E1009" s="14">
        <f t="shared" si="243"/>
        <v>0</v>
      </c>
      <c r="F1009" s="14">
        <f t="shared" si="254"/>
        <v>-9.1206498628706214</v>
      </c>
      <c r="G1009" s="14">
        <f t="shared" si="244"/>
        <v>-0.8057591754330794</v>
      </c>
      <c r="H1009" s="14">
        <f t="shared" si="245"/>
        <v>9.0849879511360552</v>
      </c>
      <c r="I1009" s="14">
        <f t="shared" si="246"/>
        <v>1.5113162061106642</v>
      </c>
      <c r="J1009" s="14">
        <f t="shared" si="255"/>
        <v>-17.089190098353264</v>
      </c>
      <c r="K1009" s="14">
        <f t="shared" si="247"/>
        <v>-84.946083177241761</v>
      </c>
      <c r="L1009" s="14">
        <f t="shared" si="248"/>
        <v>17.155888053158542</v>
      </c>
      <c r="M1009" s="14">
        <f t="shared" si="257"/>
        <v>17.306585567480067</v>
      </c>
      <c r="N1009" s="14">
        <f t="shared" si="249"/>
        <v>-35.698705708188719</v>
      </c>
      <c r="O1009" s="14">
        <f t="shared" si="256"/>
        <v>0</v>
      </c>
      <c r="P1009" s="14">
        <f t="shared" si="250"/>
        <v>0</v>
      </c>
    </row>
    <row r="1010" spans="1:16" x14ac:dyDescent="0.25">
      <c r="A1010" s="14">
        <f t="shared" si="242"/>
        <v>4.9299999999999171</v>
      </c>
      <c r="B1010" s="14">
        <f t="shared" si="251"/>
        <v>30.649363039231201</v>
      </c>
      <c r="C1010" s="14">
        <f t="shared" si="252"/>
        <v>-45.525215811462829</v>
      </c>
      <c r="D1010" s="14">
        <f t="shared" si="253"/>
        <v>0</v>
      </c>
      <c r="E1010" s="14">
        <f t="shared" si="243"/>
        <v>0</v>
      </c>
      <c r="F1010" s="14">
        <f t="shared" si="254"/>
        <v>-9.1240593416677473</v>
      </c>
      <c r="G1010" s="14">
        <f t="shared" si="244"/>
        <v>-0.80376712099372316</v>
      </c>
      <c r="H1010" s="14">
        <f t="shared" si="245"/>
        <v>9.0885871996413155</v>
      </c>
      <c r="I1010" s="14">
        <f t="shared" si="246"/>
        <v>1.5072973705056956</v>
      </c>
      <c r="J1010" s="14">
        <f t="shared" si="255"/>
        <v>-17.092747162355057</v>
      </c>
      <c r="K1010" s="14">
        <f t="shared" si="247"/>
        <v>-84.960496592842432</v>
      </c>
      <c r="L1010" s="14">
        <f t="shared" si="248"/>
        <v>17.159077799209673</v>
      </c>
      <c r="M1010" s="14">
        <f t="shared" si="257"/>
        <v>17.306585567480067</v>
      </c>
      <c r="N1010" s="14">
        <f t="shared" si="249"/>
        <v>-35.784169444000497</v>
      </c>
      <c r="O1010" s="14">
        <f t="shared" si="256"/>
        <v>0</v>
      </c>
      <c r="P1010" s="14">
        <f t="shared" si="250"/>
        <v>0</v>
      </c>
    </row>
    <row r="1011" spans="1:16" x14ac:dyDescent="0.25">
      <c r="A1011" s="14">
        <f t="shared" si="242"/>
        <v>4.934999999999917</v>
      </c>
      <c r="B1011" s="14">
        <f t="shared" si="251"/>
        <v>30.649363039231201</v>
      </c>
      <c r="C1011" s="14">
        <f t="shared" si="252"/>
        <v>-45.692294929932885</v>
      </c>
      <c r="D1011" s="14">
        <f t="shared" si="253"/>
        <v>0</v>
      </c>
      <c r="E1011" s="14">
        <f t="shared" si="243"/>
        <v>0</v>
      </c>
      <c r="F1011" s="14">
        <f t="shared" si="254"/>
        <v>-9.1274524784992384</v>
      </c>
      <c r="G1011" s="14">
        <f t="shared" si="244"/>
        <v>-0.8017788182585931</v>
      </c>
      <c r="H1011" s="14">
        <f t="shared" si="245"/>
        <v>9.092169129193195</v>
      </c>
      <c r="I1011" s="14">
        <f t="shared" si="246"/>
        <v>1.5032884764144026</v>
      </c>
      <c r="J1011" s="14">
        <f t="shared" si="255"/>
        <v>-17.09628631670909</v>
      </c>
      <c r="K1011" s="14">
        <f t="shared" si="247"/>
        <v>-84.974866350673295</v>
      </c>
      <c r="L1011" s="14">
        <f t="shared" si="248"/>
        <v>17.162251660729567</v>
      </c>
      <c r="M1011" s="14">
        <f t="shared" si="257"/>
        <v>17.306585567480067</v>
      </c>
      <c r="N1011" s="14">
        <f t="shared" si="249"/>
        <v>-35.869650875584043</v>
      </c>
      <c r="O1011" s="14">
        <f t="shared" si="256"/>
        <v>0</v>
      </c>
      <c r="P1011" s="14">
        <f t="shared" si="250"/>
        <v>0</v>
      </c>
    </row>
    <row r="1012" spans="1:16" x14ac:dyDescent="0.25">
      <c r="A1012" s="14">
        <f t="shared" si="242"/>
        <v>4.9399999999999169</v>
      </c>
      <c r="B1012" s="14">
        <f t="shared" si="251"/>
        <v>30.649363039231201</v>
      </c>
      <c r="C1012" s="14">
        <f t="shared" si="252"/>
        <v>-45.859619048402919</v>
      </c>
      <c r="D1012" s="14">
        <f t="shared" si="253"/>
        <v>0</v>
      </c>
      <c r="E1012" s="14">
        <f t="shared" si="243"/>
        <v>0</v>
      </c>
      <c r="F1012" s="14">
        <f t="shared" si="254"/>
        <v>-9.1308293440526569</v>
      </c>
      <c r="G1012" s="14">
        <f t="shared" si="244"/>
        <v>-0.79979426967785905</v>
      </c>
      <c r="H1012" s="14">
        <f t="shared" si="245"/>
        <v>9.0957338151687104</v>
      </c>
      <c r="I1012" s="14">
        <f t="shared" si="246"/>
        <v>1.4992895050660133</v>
      </c>
      <c r="J1012" s="14">
        <f t="shared" si="255"/>
        <v>-17.099807647633245</v>
      </c>
      <c r="K1012" s="14">
        <f t="shared" si="247"/>
        <v>-84.989192603309661</v>
      </c>
      <c r="L1012" s="14">
        <f t="shared" si="248"/>
        <v>17.165409712735013</v>
      </c>
      <c r="M1012" s="14">
        <f t="shared" si="257"/>
        <v>17.306585567480067</v>
      </c>
      <c r="N1012" s="14">
        <f t="shared" si="249"/>
        <v>-35.955149913822211</v>
      </c>
      <c r="O1012" s="14">
        <f t="shared" si="256"/>
        <v>0</v>
      </c>
      <c r="P1012" s="14">
        <f t="shared" si="250"/>
        <v>0</v>
      </c>
    </row>
    <row r="1013" spans="1:16" x14ac:dyDescent="0.25">
      <c r="A1013" s="14">
        <f t="shared" si="242"/>
        <v>4.9449999999999168</v>
      </c>
      <c r="B1013" s="14">
        <f t="shared" si="251"/>
        <v>30.649363039231201</v>
      </c>
      <c r="C1013" s="14">
        <f t="shared" si="252"/>
        <v>-46.027188166872932</v>
      </c>
      <c r="D1013" s="14">
        <f t="shared" si="253"/>
        <v>0</v>
      </c>
      <c r="E1013" s="14">
        <f t="shared" si="243"/>
        <v>0</v>
      </c>
      <c r="F1013" s="14">
        <f t="shared" si="254"/>
        <v>-9.1341900087877832</v>
      </c>
      <c r="G1013" s="14">
        <f t="shared" si="244"/>
        <v>-0.79781347760631582</v>
      </c>
      <c r="H1013" s="14">
        <f t="shared" si="245"/>
        <v>9.0992813326981086</v>
      </c>
      <c r="I1013" s="14">
        <f t="shared" si="246"/>
        <v>1.4953004376779817</v>
      </c>
      <c r="J1013" s="14">
        <f t="shared" si="255"/>
        <v>-17.103311240969756</v>
      </c>
      <c r="K1013" s="14">
        <f t="shared" si="247"/>
        <v>-85.003475502637329</v>
      </c>
      <c r="L1013" s="14">
        <f t="shared" si="248"/>
        <v>17.168552029929675</v>
      </c>
      <c r="M1013" s="14">
        <f t="shared" si="257"/>
        <v>17.306585567480067</v>
      </c>
      <c r="N1013" s="14">
        <f t="shared" si="249"/>
        <v>-36.040666470027062</v>
      </c>
      <c r="O1013" s="14">
        <f t="shared" si="256"/>
        <v>0</v>
      </c>
      <c r="P1013" s="14">
        <f t="shared" si="250"/>
        <v>0</v>
      </c>
    </row>
    <row r="1014" spans="1:16" x14ac:dyDescent="0.25">
      <c r="A1014" s="14">
        <f t="shared" si="242"/>
        <v>4.9499999999999167</v>
      </c>
      <c r="B1014" s="14">
        <f t="shared" si="251"/>
        <v>30.649363039231201</v>
      </c>
      <c r="C1014" s="14">
        <f t="shared" si="252"/>
        <v>-46.19500228534298</v>
      </c>
      <c r="D1014" s="14">
        <f t="shared" si="253"/>
        <v>0</v>
      </c>
      <c r="E1014" s="14">
        <f t="shared" si="243"/>
        <v>0</v>
      </c>
      <c r="F1014" s="14">
        <f t="shared" si="254"/>
        <v>-9.1375345429364732</v>
      </c>
      <c r="G1014" s="14">
        <f t="shared" si="244"/>
        <v>-0.79583644430418021</v>
      </c>
      <c r="H1014" s="14">
        <f t="shared" si="245"/>
        <v>9.1028117566647797</v>
      </c>
      <c r="I1014" s="14">
        <f t="shared" si="246"/>
        <v>1.4913212554564608</v>
      </c>
      <c r="J1014" s="14">
        <f t="shared" si="255"/>
        <v>-17.106797182186433</v>
      </c>
      <c r="K1014" s="14">
        <f t="shared" si="247"/>
        <v>-85.017715199856752</v>
      </c>
      <c r="L1014" s="14">
        <f t="shared" si="248"/>
        <v>17.171678686704976</v>
      </c>
      <c r="M1014" s="14">
        <f t="shared" si="257"/>
        <v>17.306585567480067</v>
      </c>
      <c r="N1014" s="14">
        <f t="shared" si="249"/>
        <v>-36.126200455937997</v>
      </c>
      <c r="O1014" s="14">
        <f t="shared" si="256"/>
        <v>0</v>
      </c>
      <c r="P1014" s="14">
        <f t="shared" si="250"/>
        <v>0</v>
      </c>
    </row>
    <row r="1015" spans="1:16" x14ac:dyDescent="0.25">
      <c r="A1015" s="14">
        <f t="shared" si="242"/>
        <v>4.9549999999999166</v>
      </c>
      <c r="B1015" s="14">
        <f t="shared" si="251"/>
        <v>30.649363039231201</v>
      </c>
      <c r="C1015" s="14">
        <f t="shared" si="252"/>
        <v>-46.36306140381302</v>
      </c>
      <c r="D1015" s="14">
        <f t="shared" si="253"/>
        <v>0</v>
      </c>
      <c r="E1015" s="14">
        <f t="shared" si="243"/>
        <v>0</v>
      </c>
      <c r="F1015" s="14">
        <f t="shared" si="254"/>
        <v>-9.1408630165025748</v>
      </c>
      <c r="G1015" s="14">
        <f t="shared" si="244"/>
        <v>-0.7938631719379059</v>
      </c>
      <c r="H1015" s="14">
        <f t="shared" si="245"/>
        <v>9.1063251617052003</v>
      </c>
      <c r="I1015" s="14">
        <f t="shared" si="246"/>
        <v>1.4873519395967711</v>
      </c>
      <c r="J1015" s="14">
        <f t="shared" si="255"/>
        <v>-17.110265556377907</v>
      </c>
      <c r="K1015" s="14">
        <f t="shared" si="247"/>
        <v>-85.031911845487286</v>
      </c>
      <c r="L1015" s="14">
        <f t="shared" si="248"/>
        <v>17.174789757140971</v>
      </c>
      <c r="M1015" s="14">
        <f t="shared" si="257"/>
        <v>17.306585567480067</v>
      </c>
      <c r="N1015" s="14">
        <f t="shared" si="249"/>
        <v>-36.21175178371989</v>
      </c>
      <c r="O1015" s="14">
        <f t="shared" si="256"/>
        <v>0</v>
      </c>
      <c r="P1015" s="14">
        <f t="shared" si="250"/>
        <v>0</v>
      </c>
    </row>
    <row r="1016" spans="1:16" x14ac:dyDescent="0.25">
      <c r="A1016" s="14">
        <f t="shared" si="242"/>
        <v>4.9599999999999165</v>
      </c>
      <c r="B1016" s="14">
        <f t="shared" si="251"/>
        <v>30.649363039231201</v>
      </c>
      <c r="C1016" s="14">
        <f t="shared" si="252"/>
        <v>-46.531365522283068</v>
      </c>
      <c r="D1016" s="14">
        <f t="shared" si="253"/>
        <v>0</v>
      </c>
      <c r="E1016" s="14">
        <f t="shared" si="243"/>
        <v>0</v>
      </c>
      <c r="F1016" s="14">
        <f t="shared" si="254"/>
        <v>-9.1441754992618272</v>
      </c>
      <c r="G1016" s="14">
        <f t="shared" si="244"/>
        <v>-0.79189366258096228</v>
      </c>
      <c r="H1016" s="14">
        <f t="shared" si="245"/>
        <v>9.1098216222088784</v>
      </c>
      <c r="I1016" s="14">
        <f t="shared" si="246"/>
        <v>1.4833924712838664</v>
      </c>
      <c r="J1016" s="14">
        <f t="shared" si="255"/>
        <v>-17.113716448266864</v>
      </c>
      <c r="K1016" s="14">
        <f t="shared" si="247"/>
        <v>-85.046065589371239</v>
      </c>
      <c r="L1016" s="14">
        <f t="shared" si="248"/>
        <v>17.177885315007241</v>
      </c>
      <c r="M1016" s="14">
        <f t="shared" si="257"/>
        <v>17.306585567480067</v>
      </c>
      <c r="N1016" s="14">
        <f t="shared" si="249"/>
        <v>-36.297320365961227</v>
      </c>
      <c r="O1016" s="14">
        <f t="shared" si="256"/>
        <v>0</v>
      </c>
      <c r="P1016" s="14">
        <f t="shared" si="250"/>
        <v>0</v>
      </c>
    </row>
    <row r="1017" spans="1:16" x14ac:dyDescent="0.25">
      <c r="A1017" s="14">
        <f t="shared" si="242"/>
        <v>4.9649999999999164</v>
      </c>
      <c r="B1017" s="14">
        <f t="shared" si="251"/>
        <v>30.649363039231201</v>
      </c>
      <c r="C1017" s="14">
        <f t="shared" si="252"/>
        <v>-46.699914640753107</v>
      </c>
      <c r="D1017" s="14">
        <f t="shared" si="253"/>
        <v>0</v>
      </c>
      <c r="E1017" s="14">
        <f t="shared" si="243"/>
        <v>0</v>
      </c>
      <c r="F1017" s="14">
        <f t="shared" si="254"/>
        <v>-9.1474720607617837</v>
      </c>
      <c r="G1017" s="14">
        <f t="shared" si="244"/>
        <v>-0.78992791821464259</v>
      </c>
      <c r="H1017" s="14">
        <f t="shared" si="245"/>
        <v>9.1133012123183175</v>
      </c>
      <c r="I1017" s="14">
        <f t="shared" si="246"/>
        <v>1.4794428316927932</v>
      </c>
      <c r="J1017" s="14">
        <f t="shared" si="255"/>
        <v>-17.117149942205273</v>
      </c>
      <c r="K1017" s="14">
        <f t="shared" si="247"/>
        <v>-85.060176580678032</v>
      </c>
      <c r="L1017" s="14">
        <f t="shared" si="248"/>
        <v>17.18096543376376</v>
      </c>
      <c r="M1017" s="14">
        <f t="shared" si="257"/>
        <v>17.306585567480067</v>
      </c>
      <c r="N1017" s="14">
        <f t="shared" si="249"/>
        <v>-36.382906115672256</v>
      </c>
      <c r="O1017" s="14">
        <f t="shared" si="256"/>
        <v>0</v>
      </c>
      <c r="P1017" s="14">
        <f t="shared" si="250"/>
        <v>0</v>
      </c>
    </row>
    <row r="1018" spans="1:16" x14ac:dyDescent="0.25">
      <c r="A1018" s="14">
        <f t="shared" si="242"/>
        <v>4.9699999999999163</v>
      </c>
      <c r="B1018" s="14">
        <f t="shared" si="251"/>
        <v>30.649363039231201</v>
      </c>
      <c r="C1018" s="14">
        <f t="shared" si="252"/>
        <v>-46.868708759223153</v>
      </c>
      <c r="D1018" s="14">
        <f t="shared" si="253"/>
        <v>0</v>
      </c>
      <c r="E1018" s="14">
        <f t="shared" si="243"/>
        <v>0</v>
      </c>
      <c r="F1018" s="14">
        <f t="shared" si="254"/>
        <v>-9.1507527703217395</v>
      </c>
      <c r="G1018" s="14">
        <f t="shared" si="244"/>
        <v>-0.78796594072884629</v>
      </c>
      <c r="H1018" s="14">
        <f t="shared" si="245"/>
        <v>9.1167640059289834</v>
      </c>
      <c r="I1018" s="14">
        <f t="shared" si="246"/>
        <v>1.4755030019891491</v>
      </c>
      <c r="J1018" s="14">
        <f t="shared" si="255"/>
        <v>-17.120566122175628</v>
      </c>
      <c r="K1018" s="14">
        <f t="shared" si="247"/>
        <v>-85.074244967908285</v>
      </c>
      <c r="L1018" s="14">
        <f t="shared" si="248"/>
        <v>17.184030186561788</v>
      </c>
      <c r="M1018" s="14">
        <f t="shared" si="257"/>
        <v>17.306585567480067</v>
      </c>
      <c r="N1018" s="14">
        <f t="shared" si="249"/>
        <v>-36.468508946283137</v>
      </c>
      <c r="O1018" s="14">
        <f t="shared" si="256"/>
        <v>0</v>
      </c>
      <c r="P1018" s="14">
        <f t="shared" si="250"/>
        <v>0</v>
      </c>
    </row>
    <row r="1019" spans="1:16" x14ac:dyDescent="0.25">
      <c r="A1019" s="14">
        <f t="shared" si="242"/>
        <v>4.9749999999999162</v>
      </c>
      <c r="B1019" s="14">
        <f t="shared" si="251"/>
        <v>30.649363039231201</v>
      </c>
      <c r="C1019" s="14">
        <f t="shared" si="252"/>
        <v>-47.037747877693178</v>
      </c>
      <c r="D1019" s="14">
        <f t="shared" si="253"/>
        <v>0</v>
      </c>
      <c r="E1019" s="14">
        <f t="shared" si="243"/>
        <v>0</v>
      </c>
      <c r="F1019" s="14">
        <f t="shared" si="254"/>
        <v>-9.1540176970326694</v>
      </c>
      <c r="G1019" s="14">
        <f t="shared" si="244"/>
        <v>-0.78600773192286533</v>
      </c>
      <c r="H1019" s="14">
        <f t="shared" si="245"/>
        <v>9.1202100766892844</v>
      </c>
      <c r="I1019" s="14">
        <f t="shared" si="246"/>
        <v>1.4715729633295347</v>
      </c>
      <c r="J1019" s="14">
        <f t="shared" si="255"/>
        <v>-17.123965071792181</v>
      </c>
      <c r="K1019" s="14">
        <f t="shared" si="247"/>
        <v>-85.088270898897818</v>
      </c>
      <c r="L1019" s="14">
        <f t="shared" si="248"/>
        <v>17.187079646244765</v>
      </c>
      <c r="M1019" s="14">
        <f t="shared" si="257"/>
        <v>17.306585567480067</v>
      </c>
      <c r="N1019" s="14">
        <f t="shared" si="249"/>
        <v>-36.554128771642098</v>
      </c>
      <c r="O1019" s="14">
        <f t="shared" si="256"/>
        <v>0</v>
      </c>
      <c r="P1019" s="14">
        <f t="shared" si="250"/>
        <v>0</v>
      </c>
    </row>
    <row r="1020" spans="1:16" x14ac:dyDescent="0.25">
      <c r="A1020" s="14">
        <f t="shared" si="242"/>
        <v>4.979999999999916</v>
      </c>
      <c r="B1020" s="14">
        <f t="shared" si="251"/>
        <v>30.649363039231201</v>
      </c>
      <c r="C1020" s="14">
        <f t="shared" si="252"/>
        <v>-47.207031996163224</v>
      </c>
      <c r="D1020" s="14">
        <f t="shared" si="253"/>
        <v>0</v>
      </c>
      <c r="E1020" s="14">
        <f t="shared" si="243"/>
        <v>0</v>
      </c>
      <c r="F1020" s="14">
        <f t="shared" si="254"/>
        <v>-9.1572669097571922</v>
      </c>
      <c r="G1020" s="14">
        <f t="shared" si="244"/>
        <v>-0.78405329350615904</v>
      </c>
      <c r="H1020" s="14">
        <f t="shared" si="245"/>
        <v>9.1236394980005748</v>
      </c>
      <c r="I1020" s="14">
        <f t="shared" si="246"/>
        <v>1.4676526968620038</v>
      </c>
      <c r="J1020" s="14">
        <f t="shared" si="255"/>
        <v>-17.127346874302177</v>
      </c>
      <c r="K1020" s="14">
        <f t="shared" si="247"/>
        <v>-85.102254520821745</v>
      </c>
      <c r="L1020" s="14">
        <f t="shared" si="248"/>
        <v>17.190113885349184</v>
      </c>
      <c r="M1020" s="14">
        <f t="shared" si="257"/>
        <v>17.306585567480067</v>
      </c>
      <c r="N1020" s="14">
        <f t="shared" si="249"/>
        <v>-36.63976550601361</v>
      </c>
      <c r="O1020" s="14">
        <f t="shared" si="256"/>
        <v>0</v>
      </c>
      <c r="P1020" s="14">
        <f t="shared" si="250"/>
        <v>0</v>
      </c>
    </row>
    <row r="1021" spans="1:16" x14ac:dyDescent="0.25">
      <c r="A1021" s="14">
        <f t="shared" si="242"/>
        <v>4.9849999999999159</v>
      </c>
      <c r="B1021" s="14">
        <f t="shared" si="251"/>
        <v>30.649363039231201</v>
      </c>
      <c r="C1021" s="14">
        <f t="shared" si="252"/>
        <v>-47.376561114633262</v>
      </c>
      <c r="D1021" s="14">
        <f t="shared" si="253"/>
        <v>0</v>
      </c>
      <c r="E1021" s="14">
        <f t="shared" si="243"/>
        <v>0</v>
      </c>
      <c r="F1021" s="14">
        <f t="shared" si="254"/>
        <v>-9.1605004771295189</v>
      </c>
      <c r="G1021" s="14">
        <f t="shared" si="244"/>
        <v>-0.78210262709912792</v>
      </c>
      <c r="H1021" s="14">
        <f t="shared" si="245"/>
        <v>9.1270523430171462</v>
      </c>
      <c r="I1021" s="14">
        <f t="shared" si="246"/>
        <v>1.4637421837265081</v>
      </c>
      <c r="J1021" s="14">
        <f t="shared" si="255"/>
        <v>-17.130711612587092</v>
      </c>
      <c r="K1021" s="14">
        <f t="shared" si="247"/>
        <v>-85.116195980198384</v>
      </c>
      <c r="L1021" s="14">
        <f t="shared" si="248"/>
        <v>17.19313297610551</v>
      </c>
      <c r="M1021" s="14">
        <f t="shared" si="257"/>
        <v>17.306585567480067</v>
      </c>
      <c r="N1021" s="14">
        <f t="shared" si="249"/>
        <v>-36.725419064076547</v>
      </c>
      <c r="O1021" s="14">
        <f t="shared" si="256"/>
        <v>0</v>
      </c>
      <c r="P1021" s="14">
        <f t="shared" si="250"/>
        <v>0</v>
      </c>
    </row>
    <row r="1022" spans="1:16" x14ac:dyDescent="0.25">
      <c r="A1022" s="14">
        <f t="shared" si="242"/>
        <v>4.9899999999999158</v>
      </c>
      <c r="B1022" s="14">
        <f t="shared" si="251"/>
        <v>30.649363039231201</v>
      </c>
      <c r="C1022" s="14">
        <f t="shared" si="252"/>
        <v>-47.546335233103306</v>
      </c>
      <c r="D1022" s="14">
        <f t="shared" si="253"/>
        <v>0</v>
      </c>
      <c r="E1022" s="14">
        <f t="shared" si="243"/>
        <v>0</v>
      </c>
      <c r="F1022" s="14">
        <f t="shared" si="254"/>
        <v>-9.1637184675554479</v>
      </c>
      <c r="G1022" s="14">
        <f t="shared" si="244"/>
        <v>-0.78015573423389284</v>
      </c>
      <c r="H1022" s="14">
        <f t="shared" si="245"/>
        <v>9.1304486846462662</v>
      </c>
      <c r="I1022" s="14">
        <f t="shared" si="246"/>
        <v>1.4598414050553385</v>
      </c>
      <c r="J1022" s="14">
        <f t="shared" si="255"/>
        <v>-17.134059369163861</v>
      </c>
      <c r="K1022" s="14">
        <f t="shared" si="247"/>
        <v>-85.130095422893262</v>
      </c>
      <c r="L1022" s="14">
        <f t="shared" si="248"/>
        <v>17.19613699043904</v>
      </c>
      <c r="M1022" s="14">
        <f t="shared" si="257"/>
        <v>17.306585567480067</v>
      </c>
      <c r="N1022" s="14">
        <f t="shared" si="249"/>
        <v>-36.811089360922367</v>
      </c>
      <c r="O1022" s="14">
        <f t="shared" si="256"/>
        <v>0</v>
      </c>
      <c r="P1022" s="14">
        <f t="shared" si="250"/>
        <v>0</v>
      </c>
    </row>
    <row r="1023" spans="1:16" x14ac:dyDescent="0.25">
      <c r="A1023" s="14">
        <f t="shared" si="242"/>
        <v>4.9949999999999157</v>
      </c>
      <c r="B1023" s="14">
        <f>IF(E1023=0,B1022,$B$19*A1023)</f>
        <v>30.649363039231201</v>
      </c>
      <c r="C1023" s="14">
        <f t="shared" si="252"/>
        <v>-47.716354351573329</v>
      </c>
      <c r="D1023" s="14">
        <f t="shared" si="253"/>
        <v>0</v>
      </c>
      <c r="E1023" s="14">
        <f t="shared" si="243"/>
        <v>0</v>
      </c>
      <c r="F1023" s="14">
        <f t="shared" si="254"/>
        <v>-9.1669209492123205</v>
      </c>
      <c r="G1023" s="14">
        <f t="shared" si="244"/>
        <v>-0.77821261635504546</v>
      </c>
      <c r="H1023" s="14">
        <f t="shared" si="245"/>
        <v>9.1338285955481755</v>
      </c>
      <c r="I1023" s="14">
        <f t="shared" si="246"/>
        <v>1.4559503419735633</v>
      </c>
      <c r="J1023" s="14">
        <f t="shared" si="255"/>
        <v>-17.13739022618612</v>
      </c>
      <c r="K1023" s="14">
        <f t="shared" si="247"/>
        <v>-85.143952994123012</v>
      </c>
      <c r="L1023" s="14">
        <f t="shared" si="248"/>
        <v>17.199125999970825</v>
      </c>
      <c r="M1023" s="14">
        <f t="shared" si="257"/>
        <v>17.306585567480067</v>
      </c>
      <c r="N1023" s="14">
        <f t="shared" si="249"/>
        <v>-36.896776312053298</v>
      </c>
      <c r="O1023" s="14">
        <f t="shared" si="256"/>
        <v>0</v>
      </c>
      <c r="P1023" s="14">
        <f t="shared" si="250"/>
        <v>0</v>
      </c>
    </row>
    <row r="1024" spans="1:16" ht="15.75" thickBot="1" x14ac:dyDescent="0.3">
      <c r="A1024" s="5">
        <f t="shared" si="242"/>
        <v>4.9999999999999156</v>
      </c>
      <c r="B1024" s="5" t="e">
        <f>IF(E1024=0,B1023,$B$19*A1024)</f>
        <v>#REF!</v>
      </c>
      <c r="C1024" s="5">
        <f t="shared" si="252"/>
        <v>-47.886618470043359</v>
      </c>
      <c r="D1024" s="5" t="e">
        <f t="shared" si="253"/>
        <v>#REF!</v>
      </c>
      <c r="E1024" s="5" t="e">
        <f>IF(AND(#REF!-C1024&lt;0,C1024&lt;$B$18),0,1)</f>
        <v>#REF!</v>
      </c>
      <c r="F1024" s="5">
        <f t="shared" si="254"/>
        <v>-9.1701079900490452</v>
      </c>
      <c r="G1024" s="5">
        <f t="shared" si="244"/>
        <v>-0.77627327482042241</v>
      </c>
      <c r="H1024" s="5">
        <f t="shared" si="245"/>
        <v>9.1371921481361511</v>
      </c>
      <c r="I1024" s="5">
        <f t="shared" si="246"/>
        <v>1.4520689755994611</v>
      </c>
      <c r="J1024" s="5">
        <f t="shared" si="255"/>
        <v>-17.140704265445439</v>
      </c>
      <c r="K1024" s="5">
        <f t="shared" si="247"/>
        <v>-85.157768838459319</v>
      </c>
      <c r="L1024" s="5">
        <f t="shared" si="248"/>
        <v>17.202100076018567</v>
      </c>
      <c r="M1024" s="5" t="e">
        <f t="shared" si="257"/>
        <v>#REF!</v>
      </c>
      <c r="N1024" s="5">
        <f t="shared" si="249"/>
        <v>-36.982479833380523</v>
      </c>
      <c r="O1024" s="5" t="e">
        <f t="shared" si="256"/>
        <v>#REF!</v>
      </c>
      <c r="P1024" s="5" t="e">
        <f>IF(AND(#REF!-N1024&lt;0,N1024&lt;$B$18),0,1)</f>
        <v>#REF!</v>
      </c>
    </row>
    <row r="1025" ht="15.75" thickTop="1" x14ac:dyDescent="0.25"/>
  </sheetData>
  <mergeCells count="7">
    <mergeCell ref="N13:P15"/>
    <mergeCell ref="G13:I13"/>
    <mergeCell ref="C15:E15"/>
    <mergeCell ref="C19:E20"/>
    <mergeCell ref="A13:B13"/>
    <mergeCell ref="C13:D13"/>
    <mergeCell ref="E13:F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ScrollBar2">
          <controlPr defaultSize="0" autoLine="0" linkedCell="P16" r:id="rId5">
            <anchor moveWithCells="1">
              <from>
                <xdr:col>17</xdr:col>
                <xdr:colOff>228600</xdr:colOff>
                <xdr:row>37</xdr:row>
                <xdr:rowOff>38100</xdr:rowOff>
              </from>
              <to>
                <xdr:col>17</xdr:col>
                <xdr:colOff>647700</xdr:colOff>
                <xdr:row>43</xdr:row>
                <xdr:rowOff>171450</xdr:rowOff>
              </to>
            </anchor>
          </controlPr>
        </control>
      </mc:Choice>
      <mc:Fallback>
        <control shapeId="1063" r:id="rId4" name="ScrollBar2"/>
      </mc:Fallback>
    </mc:AlternateContent>
    <mc:AlternateContent xmlns:mc="http://schemas.openxmlformats.org/markup-compatibility/2006">
      <mc:Choice Requires="x14">
        <control shapeId="1060" r:id="rId6" name="ScrollBar1">
          <controlPr defaultSize="0" autoLine="0" linkedCell="O16" r:id="rId7">
            <anchor moveWithCells="1">
              <from>
                <xdr:col>17</xdr:col>
                <xdr:colOff>200025</xdr:colOff>
                <xdr:row>24</xdr:row>
                <xdr:rowOff>76200</xdr:rowOff>
              </from>
              <to>
                <xdr:col>17</xdr:col>
                <xdr:colOff>619125</xdr:colOff>
                <xdr:row>31</xdr:row>
                <xdr:rowOff>180975</xdr:rowOff>
              </to>
            </anchor>
          </controlPr>
        </control>
      </mc:Choice>
      <mc:Fallback>
        <control shapeId="1060" r:id="rId6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7D140CB4D34D41911285A61C0083BF" ma:contentTypeVersion="0" ma:contentTypeDescription="Create a new document." ma:contentTypeScope="" ma:versionID="c758a960ab91b6848361bea55377303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964445D-CBA6-47DA-9BC7-0F966790D687}"/>
</file>

<file path=customXml/itemProps2.xml><?xml version="1.0" encoding="utf-8"?>
<ds:datastoreItem xmlns:ds="http://schemas.openxmlformats.org/officeDocument/2006/customXml" ds:itemID="{2432A4D6-5AC9-4AFC-A324-54EF41447122}"/>
</file>

<file path=customXml/itemProps3.xml><?xml version="1.0" encoding="utf-8"?>
<ds:datastoreItem xmlns:ds="http://schemas.openxmlformats.org/officeDocument/2006/customXml" ds:itemID="{8F40717A-7244-4242-9610-50959AA491B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St Mary's Anglican Girls'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rwalsh</dc:creator>
  <cp:lastModifiedBy>St Mary's Anglican Girls' School</cp:lastModifiedBy>
  <dcterms:created xsi:type="dcterms:W3CDTF">2011-02-14T05:15:03Z</dcterms:created>
  <dcterms:modified xsi:type="dcterms:W3CDTF">2013-02-14T05:48:11Z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0x010100A97D140CB4D34D41911285A61C0083BF</vt:lpwstr>
  </property>
</Properties>
</file>